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5.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6.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8.xml" ContentType="application/vnd.openxmlformats-officedocument.drawing+xml"/>
  <Override PartName="/xl/ctrlProps/ctrlProp16.xml" ContentType="application/vnd.ms-excel.controlproperties+xml"/>
  <Override PartName="/xl/ctrlProps/ctrlProp1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workbookProtection workbookPassword="E359" lockStructure="1"/>
  <bookViews>
    <workbookView xWindow="2730" yWindow="1680" windowWidth="19440" windowHeight="10800" tabRatio="942"/>
  </bookViews>
  <sheets>
    <sheet name="Overview" sheetId="41" r:id="rId1"/>
    <sheet name="1. Staff costs" sheetId="40" r:id="rId2"/>
    <sheet name="2-3. Travel Costs&amp;Costs of Stay" sheetId="39" r:id="rId3"/>
    <sheet name="4. Equipment Costs" sheetId="26" r:id="rId4"/>
    <sheet name="5. Subcontracting Costs" sheetId="70" r:id="rId5"/>
    <sheet name="B. Special Mob Strand - Student" sheetId="67" r:id="rId6"/>
    <sheet name="B. Special Mob Strand - Staff" sheetId="72" r:id="rId7"/>
    <sheet name="Co-financing" sheetId="71" r:id="rId8"/>
    <sheet name="Breakdown &amp; Project Funding" sheetId="55" r:id="rId9"/>
    <sheet name="Rates" sheetId="36" state="hidden" r:id="rId10"/>
    <sheet name="Unit Costs &amp; Funding Rule" sheetId="73" r:id="rId11"/>
  </sheets>
  <definedNames>
    <definedName name="_xlnm._FilterDatabase" localSheetId="10" hidden="1">'Unit Costs &amp; Funding Rule'!$B$7:$AB$7</definedName>
    <definedName name="ActionType">Rates!$P$20:$P$21</definedName>
    <definedName name="Category">Rates!$E$3:$L$3</definedName>
    <definedName name="Category2">Rates!$P$28:$P$29</definedName>
    <definedName name="CountryALL">Rates!$C$4:$C$182</definedName>
    <definedName name="CountryEligEquip">Rates!$C$37:$C$182</definedName>
    <definedName name="CountryType">Rates!$C$4:$D$182</definedName>
    <definedName name="Duration">Rates!$P$24:$P$25</definedName>
    <definedName name="EUCountry">Rates!$C$4:$C$36</definedName>
    <definedName name="PartnerN°">Overview!$B$33:$B$87</definedName>
    <definedName name="PartnerN°Ref">Overview!$B$33:$E$87</definedName>
    <definedName name="_xlnm.Print_Area" localSheetId="1">'1. Staff costs'!$A$1:$U$15</definedName>
    <definedName name="_xlnm.Print_Area" localSheetId="2">'2-3. Travel Costs&amp;Costs of Stay'!$A$1:$P$15</definedName>
    <definedName name="_xlnm.Print_Area" localSheetId="3">'4. Equipment Costs'!$A$1:$J$15</definedName>
    <definedName name="_xlnm.Print_Area" localSheetId="4">'5. Subcontracting Costs'!$A$1:$J$15</definedName>
    <definedName name="_xlnm.Print_Area" localSheetId="6">'B. Special Mob Strand - Staff'!$A$1:$S$15</definedName>
    <definedName name="_xlnm.Print_Area" localSheetId="5">'B. Special Mob Strand - Student'!$A$1:$S$15</definedName>
    <definedName name="_xlnm.Print_Area" localSheetId="8">'Breakdown &amp; Project Funding'!$A$1:$J$82</definedName>
    <definedName name="_xlnm.Print_Area" localSheetId="7">'Co-financing'!$A$1:$K$19</definedName>
    <definedName name="_xlnm.Print_Area" localSheetId="0">Overview!$A$1:$M$88</definedName>
    <definedName name="_xlnm.Print_Area" localSheetId="10">'Unit Costs &amp; Funding Rule'!$B$1:$AB$187</definedName>
    <definedName name="_xlnm.Print_Titles" localSheetId="2">'2-3. Travel Costs&amp;Costs of Stay'!$11:$12</definedName>
    <definedName name="_xlnm.Print_Titles" localSheetId="3">'4. Equipment Costs'!$11:$12</definedName>
    <definedName name="_xlnm.Print_Titles" localSheetId="4">'5. Subcontracting Costs'!$11:$12</definedName>
    <definedName name="_xlnm.Print_Titles" localSheetId="6">'B. Special Mob Strand - Staff'!$11:$12</definedName>
    <definedName name="_xlnm.Print_Titles" localSheetId="5">'B. Special Mob Strand - Student'!$11:$12</definedName>
    <definedName name="_xlnm.Print_Titles" localSheetId="8">'Breakdown &amp; Project Funding'!$4:$4</definedName>
    <definedName name="_xlnm.Print_Titles" localSheetId="7">'Co-financing'!$11:$12</definedName>
    <definedName name="Rates">Rates!$E$4:$L$182</definedName>
    <definedName name="SMSCountry">Rates!$N$4:$N$57</definedName>
    <definedName name="StaffSMSDays">Rates!$B$8:$B$63</definedName>
    <definedName name="StudentSMSMonths">Rates!$B$5:$B$15</definedName>
    <definedName name="TravelBands">Rates!$P$4:$P$10</definedName>
    <definedName name="TravelCosts">Rates!$P$4:$Q$10</definedName>
    <definedName name="WorkPackage">Rates!$P$13:$P$17</definedName>
    <definedName name="Z_D7932BCF_3472_4742_BE90_75070A4D3346_.wvu.Cols" localSheetId="1" hidden="1">'1. Staff costs'!$T:$XFD</definedName>
    <definedName name="Z_D7932BCF_3472_4742_BE90_75070A4D3346_.wvu.Cols" localSheetId="2" hidden="1">'2-3. Travel Costs&amp;Costs of Stay'!$P:$XFD</definedName>
    <definedName name="Z_D7932BCF_3472_4742_BE90_75070A4D3346_.wvu.Cols" localSheetId="3" hidden="1">'4. Equipment Costs'!$I:$XFD</definedName>
    <definedName name="Z_D7932BCF_3472_4742_BE90_75070A4D3346_.wvu.Cols" localSheetId="4" hidden="1">'5. Subcontracting Costs'!$J:$XFD</definedName>
    <definedName name="Z_D7932BCF_3472_4742_BE90_75070A4D3346_.wvu.Cols" localSheetId="6" hidden="1">'B. Special Mob Strand - Staff'!$O:$XFD</definedName>
    <definedName name="Z_D7932BCF_3472_4742_BE90_75070A4D3346_.wvu.Cols" localSheetId="5" hidden="1">'B. Special Mob Strand - Student'!$O:$XFD</definedName>
    <definedName name="Z_D7932BCF_3472_4742_BE90_75070A4D3346_.wvu.Cols" localSheetId="8" hidden="1">'Breakdown &amp; Project Funding'!$J:$XFD</definedName>
    <definedName name="Z_D7932BCF_3472_4742_BE90_75070A4D3346_.wvu.Cols" localSheetId="7" hidden="1">'Co-financing'!$K:$XFD</definedName>
    <definedName name="Z_D7932BCF_3472_4742_BE90_75070A4D3346_.wvu.Rows" localSheetId="1" hidden="1">'1. Staff costs'!$15:$1048576,'1. Staff costs'!#REF!</definedName>
    <definedName name="Z_D7932BCF_3472_4742_BE90_75070A4D3346_.wvu.Rows" localSheetId="2" hidden="1">'2-3. Travel Costs&amp;Costs of Stay'!$15:$1048576,'2-3. Travel Costs&amp;Costs of Stay'!#REF!</definedName>
    <definedName name="Z_D7932BCF_3472_4742_BE90_75070A4D3346_.wvu.Rows" localSheetId="3" hidden="1">'4. Equipment Costs'!$15:$1048576,'4. Equipment Costs'!#REF!</definedName>
    <definedName name="Z_D7932BCF_3472_4742_BE90_75070A4D3346_.wvu.Rows" localSheetId="4" hidden="1">'5. Subcontracting Costs'!$15:$1048576,'5. Subcontracting Costs'!#REF!</definedName>
    <definedName name="Z_D7932BCF_3472_4742_BE90_75070A4D3346_.wvu.Rows" localSheetId="6" hidden="1">'B. Special Mob Strand - Staff'!$15:$1048576,'B. Special Mob Strand - Staff'!#REF!</definedName>
    <definedName name="Z_D7932BCF_3472_4742_BE90_75070A4D3346_.wvu.Rows" localSheetId="5" hidden="1">'B. Special Mob Strand - Student'!$15:$1048576,'B. Special Mob Strand - Student'!#REF!</definedName>
    <definedName name="Z_D7932BCF_3472_4742_BE90_75070A4D3346_.wvu.Rows" localSheetId="8" hidden="1">'Breakdown &amp; Project Funding'!$11:$1048576,'Breakdown &amp; Project Funding'!#REF!</definedName>
    <definedName name="Z_D7932BCF_3472_4742_BE90_75070A4D3346_.wvu.Rows" localSheetId="7" hidden="1">'Co-financing'!$15:$1048576,'Co-financing'!#REF!</definedName>
  </definedNames>
  <calcPr calcId="145621"/>
  <customWorkbookViews>
    <customWorkbookView name="test" guid="{D7932BCF-3472-4742-BE90-75070A4D3346}" maximized="1" windowWidth="1916" windowHeight="775" tabRatio="795" activeSheetId="24"/>
  </customWorkbookViews>
</workbook>
</file>

<file path=xl/calcChain.xml><?xml version="1.0" encoding="utf-8"?>
<calcChain xmlns="http://schemas.openxmlformats.org/spreadsheetml/2006/main">
  <c r="O11" i="40" l="1"/>
  <c r="L11" i="40"/>
  <c r="I11" i="40"/>
  <c r="F11" i="40"/>
  <c r="G25" i="55" l="1"/>
  <c r="F25" i="55"/>
  <c r="E25" i="55"/>
  <c r="D25" i="55"/>
  <c r="C25" i="55"/>
  <c r="B6" i="55"/>
  <c r="B7" i="55"/>
  <c r="B8" i="55"/>
  <c r="B9" i="55"/>
  <c r="B5" i="55"/>
  <c r="J9" i="73"/>
  <c r="J10" i="73"/>
  <c r="J11" i="73"/>
  <c r="J12" i="73"/>
  <c r="J13" i="73"/>
  <c r="J14" i="73"/>
  <c r="J8" i="73"/>
  <c r="D9" i="73"/>
  <c r="E9" i="73"/>
  <c r="F9" i="73"/>
  <c r="G9" i="73"/>
  <c r="D10" i="73"/>
  <c r="E10" i="73"/>
  <c r="F10" i="73"/>
  <c r="G10" i="73"/>
  <c r="D11" i="73"/>
  <c r="E11" i="73"/>
  <c r="F11" i="73"/>
  <c r="G11" i="73"/>
  <c r="D12" i="73"/>
  <c r="E12" i="73"/>
  <c r="F12" i="73"/>
  <c r="G12" i="73"/>
  <c r="D13" i="73"/>
  <c r="E13" i="73"/>
  <c r="F13" i="73"/>
  <c r="G13" i="73"/>
  <c r="D14" i="73"/>
  <c r="E14" i="73"/>
  <c r="F14" i="73"/>
  <c r="G14" i="73"/>
  <c r="D15" i="73"/>
  <c r="E15" i="73"/>
  <c r="F15" i="73"/>
  <c r="G15" i="73"/>
  <c r="D16" i="73"/>
  <c r="E16" i="73"/>
  <c r="F16" i="73"/>
  <c r="G16" i="73"/>
  <c r="D17" i="73"/>
  <c r="E17" i="73"/>
  <c r="F17" i="73"/>
  <c r="G17" i="73"/>
  <c r="D18" i="73"/>
  <c r="E18" i="73"/>
  <c r="F18" i="73"/>
  <c r="G18" i="73"/>
  <c r="D19" i="73"/>
  <c r="E19" i="73"/>
  <c r="F19" i="73"/>
  <c r="G19" i="73"/>
  <c r="D20" i="73"/>
  <c r="E20" i="73"/>
  <c r="F20" i="73"/>
  <c r="G20" i="73"/>
  <c r="D21" i="73"/>
  <c r="E21" i="73"/>
  <c r="F21" i="73"/>
  <c r="G21" i="73"/>
  <c r="D22" i="73"/>
  <c r="E22" i="73"/>
  <c r="F22" i="73"/>
  <c r="G22" i="73"/>
  <c r="D23" i="73"/>
  <c r="E23" i="73"/>
  <c r="F23" i="73"/>
  <c r="G23" i="73"/>
  <c r="D24" i="73"/>
  <c r="E24" i="73"/>
  <c r="F24" i="73"/>
  <c r="G24" i="73"/>
  <c r="D25" i="73"/>
  <c r="E25" i="73"/>
  <c r="F25" i="73"/>
  <c r="G25" i="73"/>
  <c r="D26" i="73"/>
  <c r="E26" i="73"/>
  <c r="F26" i="73"/>
  <c r="G26" i="73"/>
  <c r="D27" i="73"/>
  <c r="E27" i="73"/>
  <c r="F27" i="73"/>
  <c r="G27" i="73"/>
  <c r="D28" i="73"/>
  <c r="E28" i="73"/>
  <c r="F28" i="73"/>
  <c r="G28" i="73"/>
  <c r="D29" i="73"/>
  <c r="E29" i="73"/>
  <c r="F29" i="73"/>
  <c r="G29" i="73"/>
  <c r="D30" i="73"/>
  <c r="E30" i="73"/>
  <c r="F30" i="73"/>
  <c r="G30" i="73"/>
  <c r="D31" i="73"/>
  <c r="E31" i="73"/>
  <c r="F31" i="73"/>
  <c r="G31" i="73"/>
  <c r="D32" i="73"/>
  <c r="E32" i="73"/>
  <c r="F32" i="73"/>
  <c r="G32" i="73"/>
  <c r="D33" i="73"/>
  <c r="E33" i="73"/>
  <c r="F33" i="73"/>
  <c r="G33" i="73"/>
  <c r="D34" i="73"/>
  <c r="E34" i="73"/>
  <c r="F34" i="73"/>
  <c r="G34" i="73"/>
  <c r="D35" i="73"/>
  <c r="E35" i="73"/>
  <c r="F35" i="73"/>
  <c r="G35" i="73"/>
  <c r="D36" i="73"/>
  <c r="E36" i="73"/>
  <c r="F36" i="73"/>
  <c r="G36" i="73"/>
  <c r="D37" i="73"/>
  <c r="E37" i="73"/>
  <c r="F37" i="73"/>
  <c r="G37" i="73"/>
  <c r="D38" i="73"/>
  <c r="E38" i="73"/>
  <c r="F38" i="73"/>
  <c r="G38" i="73"/>
  <c r="D39" i="73"/>
  <c r="E39" i="73"/>
  <c r="F39" i="73"/>
  <c r="G39" i="73"/>
  <c r="D40" i="73"/>
  <c r="E40" i="73"/>
  <c r="F40" i="73"/>
  <c r="G40" i="73"/>
  <c r="D41" i="73"/>
  <c r="E41" i="73"/>
  <c r="F41" i="73"/>
  <c r="G41" i="73"/>
  <c r="D42" i="73"/>
  <c r="E42" i="73"/>
  <c r="F42" i="73"/>
  <c r="G42" i="73"/>
  <c r="D43" i="73"/>
  <c r="E43" i="73"/>
  <c r="F43" i="73"/>
  <c r="G43" i="73"/>
  <c r="D44" i="73"/>
  <c r="E44" i="73"/>
  <c r="F44" i="73"/>
  <c r="G44" i="73"/>
  <c r="D45" i="73"/>
  <c r="E45" i="73"/>
  <c r="F45" i="73"/>
  <c r="G45" i="73"/>
  <c r="D46" i="73"/>
  <c r="E46" i="73"/>
  <c r="F46" i="73"/>
  <c r="G46" i="73"/>
  <c r="D47" i="73"/>
  <c r="E47" i="73"/>
  <c r="F47" i="73"/>
  <c r="G47" i="73"/>
  <c r="D48" i="73"/>
  <c r="E48" i="73"/>
  <c r="F48" i="73"/>
  <c r="G48" i="73"/>
  <c r="D49" i="73"/>
  <c r="E49" i="73"/>
  <c r="F49" i="73"/>
  <c r="G49" i="73"/>
  <c r="D50" i="73"/>
  <c r="E50" i="73"/>
  <c r="F50" i="73"/>
  <c r="G50" i="73"/>
  <c r="D51" i="73"/>
  <c r="E51" i="73"/>
  <c r="F51" i="73"/>
  <c r="G51" i="73"/>
  <c r="D52" i="73"/>
  <c r="E52" i="73"/>
  <c r="F52" i="73"/>
  <c r="G52" i="73"/>
  <c r="D53" i="73"/>
  <c r="E53" i="73"/>
  <c r="F53" i="73"/>
  <c r="G53" i="73"/>
  <c r="D54" i="73"/>
  <c r="E54" i="73"/>
  <c r="F54" i="73"/>
  <c r="G54" i="73"/>
  <c r="D55" i="73"/>
  <c r="E55" i="73"/>
  <c r="F55" i="73"/>
  <c r="G55" i="73"/>
  <c r="D56" i="73"/>
  <c r="E56" i="73"/>
  <c r="F56" i="73"/>
  <c r="G56" i="73"/>
  <c r="D57" i="73"/>
  <c r="E57" i="73"/>
  <c r="F57" i="73"/>
  <c r="G57" i="73"/>
  <c r="D58" i="73"/>
  <c r="E58" i="73"/>
  <c r="F58" i="73"/>
  <c r="G58" i="73"/>
  <c r="D59" i="73"/>
  <c r="E59" i="73"/>
  <c r="F59" i="73"/>
  <c r="G59" i="73"/>
  <c r="D60" i="73"/>
  <c r="E60" i="73"/>
  <c r="F60" i="73"/>
  <c r="G60" i="73"/>
  <c r="D61" i="73"/>
  <c r="E61" i="73"/>
  <c r="F61" i="73"/>
  <c r="G61" i="73"/>
  <c r="D62" i="73"/>
  <c r="E62" i="73"/>
  <c r="F62" i="73"/>
  <c r="G62" i="73"/>
  <c r="D63" i="73"/>
  <c r="E63" i="73"/>
  <c r="F63" i="73"/>
  <c r="G63" i="73"/>
  <c r="D64" i="73"/>
  <c r="E64" i="73"/>
  <c r="F64" i="73"/>
  <c r="G64" i="73"/>
  <c r="D65" i="73"/>
  <c r="E65" i="73"/>
  <c r="F65" i="73"/>
  <c r="G65" i="73"/>
  <c r="D66" i="73"/>
  <c r="E66" i="73"/>
  <c r="F66" i="73"/>
  <c r="G66" i="73"/>
  <c r="D67" i="73"/>
  <c r="E67" i="73"/>
  <c r="F67" i="73"/>
  <c r="G67" i="73"/>
  <c r="D68" i="73"/>
  <c r="E68" i="73"/>
  <c r="F68" i="73"/>
  <c r="G68" i="73"/>
  <c r="D69" i="73"/>
  <c r="E69" i="73"/>
  <c r="F69" i="73"/>
  <c r="G69" i="73"/>
  <c r="D70" i="73"/>
  <c r="E70" i="73"/>
  <c r="F70" i="73"/>
  <c r="G70" i="73"/>
  <c r="D71" i="73"/>
  <c r="E71" i="73"/>
  <c r="F71" i="73"/>
  <c r="G71" i="73"/>
  <c r="D72" i="73"/>
  <c r="E72" i="73"/>
  <c r="F72" i="73"/>
  <c r="G72" i="73"/>
  <c r="D73" i="73"/>
  <c r="E73" i="73"/>
  <c r="F73" i="73"/>
  <c r="G73" i="73"/>
  <c r="D74" i="73"/>
  <c r="E74" i="73"/>
  <c r="F74" i="73"/>
  <c r="G74" i="73"/>
  <c r="D75" i="73"/>
  <c r="E75" i="73"/>
  <c r="F75" i="73"/>
  <c r="G75" i="73"/>
  <c r="D76" i="73"/>
  <c r="E76" i="73"/>
  <c r="F76" i="73"/>
  <c r="G76" i="73"/>
  <c r="D77" i="73"/>
  <c r="E77" i="73"/>
  <c r="F77" i="73"/>
  <c r="G77" i="73"/>
  <c r="D78" i="73"/>
  <c r="E78" i="73"/>
  <c r="F78" i="73"/>
  <c r="G78" i="73"/>
  <c r="D79" i="73"/>
  <c r="E79" i="73"/>
  <c r="F79" i="73"/>
  <c r="G79" i="73"/>
  <c r="D80" i="73"/>
  <c r="E80" i="73"/>
  <c r="F80" i="73"/>
  <c r="G80" i="73"/>
  <c r="D81" i="73"/>
  <c r="E81" i="73"/>
  <c r="F81" i="73"/>
  <c r="G81" i="73"/>
  <c r="D82" i="73"/>
  <c r="E82" i="73"/>
  <c r="F82" i="73"/>
  <c r="G82" i="73"/>
  <c r="D83" i="73"/>
  <c r="E83" i="73"/>
  <c r="F83" i="73"/>
  <c r="G83" i="73"/>
  <c r="D84" i="73"/>
  <c r="E84" i="73"/>
  <c r="F84" i="73"/>
  <c r="G84" i="73"/>
  <c r="D85" i="73"/>
  <c r="E85" i="73"/>
  <c r="F85" i="73"/>
  <c r="G85" i="73"/>
  <c r="D86" i="73"/>
  <c r="E86" i="73"/>
  <c r="F86" i="73"/>
  <c r="G86" i="73"/>
  <c r="D87" i="73"/>
  <c r="E87" i="73"/>
  <c r="F87" i="73"/>
  <c r="G87" i="73"/>
  <c r="D88" i="73"/>
  <c r="E88" i="73"/>
  <c r="F88" i="73"/>
  <c r="G88" i="73"/>
  <c r="D89" i="73"/>
  <c r="E89" i="73"/>
  <c r="F89" i="73"/>
  <c r="G89" i="73"/>
  <c r="D90" i="73"/>
  <c r="E90" i="73"/>
  <c r="F90" i="73"/>
  <c r="G90" i="73"/>
  <c r="D91" i="73"/>
  <c r="E91" i="73"/>
  <c r="F91" i="73"/>
  <c r="G91" i="73"/>
  <c r="D92" i="73"/>
  <c r="E92" i="73"/>
  <c r="F92" i="73"/>
  <c r="G92" i="73"/>
  <c r="D93" i="73"/>
  <c r="E93" i="73"/>
  <c r="F93" i="73"/>
  <c r="G93" i="73"/>
  <c r="D94" i="73"/>
  <c r="E94" i="73"/>
  <c r="F94" i="73"/>
  <c r="G94" i="73"/>
  <c r="D95" i="73"/>
  <c r="E95" i="73"/>
  <c r="F95" i="73"/>
  <c r="G95" i="73"/>
  <c r="D96" i="73"/>
  <c r="E96" i="73"/>
  <c r="F96" i="73"/>
  <c r="G96" i="73"/>
  <c r="D97" i="73"/>
  <c r="E97" i="73"/>
  <c r="F97" i="73"/>
  <c r="G97" i="73"/>
  <c r="D98" i="73"/>
  <c r="E98" i="73"/>
  <c r="F98" i="73"/>
  <c r="G98" i="73"/>
  <c r="D99" i="73"/>
  <c r="E99" i="73"/>
  <c r="F99" i="73"/>
  <c r="G99" i="73"/>
  <c r="D100" i="73"/>
  <c r="E100" i="73"/>
  <c r="F100" i="73"/>
  <c r="G100" i="73"/>
  <c r="D101" i="73"/>
  <c r="E101" i="73"/>
  <c r="F101" i="73"/>
  <c r="G101" i="73"/>
  <c r="D102" i="73"/>
  <c r="E102" i="73"/>
  <c r="F102" i="73"/>
  <c r="G102" i="73"/>
  <c r="D103" i="73"/>
  <c r="E103" i="73"/>
  <c r="F103" i="73"/>
  <c r="G103" i="73"/>
  <c r="D104" i="73"/>
  <c r="E104" i="73"/>
  <c r="F104" i="73"/>
  <c r="G104" i="73"/>
  <c r="D105" i="73"/>
  <c r="E105" i="73"/>
  <c r="F105" i="73"/>
  <c r="G105" i="73"/>
  <c r="D106" i="73"/>
  <c r="E106" i="73"/>
  <c r="F106" i="73"/>
  <c r="G106" i="73"/>
  <c r="D107" i="73"/>
  <c r="E107" i="73"/>
  <c r="F107" i="73"/>
  <c r="G107" i="73"/>
  <c r="D108" i="73"/>
  <c r="E108" i="73"/>
  <c r="F108" i="73"/>
  <c r="G108" i="73"/>
  <c r="D109" i="73"/>
  <c r="E109" i="73"/>
  <c r="F109" i="73"/>
  <c r="G109" i="73"/>
  <c r="D110" i="73"/>
  <c r="E110" i="73"/>
  <c r="F110" i="73"/>
  <c r="G110" i="73"/>
  <c r="D111" i="73"/>
  <c r="E111" i="73"/>
  <c r="F111" i="73"/>
  <c r="G111" i="73"/>
  <c r="D112" i="73"/>
  <c r="E112" i="73"/>
  <c r="F112" i="73"/>
  <c r="G112" i="73"/>
  <c r="D113" i="73"/>
  <c r="E113" i="73"/>
  <c r="F113" i="73"/>
  <c r="G113" i="73"/>
  <c r="D114" i="73"/>
  <c r="E114" i="73"/>
  <c r="F114" i="73"/>
  <c r="G114" i="73"/>
  <c r="D115" i="73"/>
  <c r="E115" i="73"/>
  <c r="F115" i="73"/>
  <c r="G115" i="73"/>
  <c r="D116" i="73"/>
  <c r="E116" i="73"/>
  <c r="F116" i="73"/>
  <c r="G116" i="73"/>
  <c r="D117" i="73"/>
  <c r="E117" i="73"/>
  <c r="F117" i="73"/>
  <c r="G117" i="73"/>
  <c r="D118" i="73"/>
  <c r="E118" i="73"/>
  <c r="F118" i="73"/>
  <c r="G118" i="73"/>
  <c r="D119" i="73"/>
  <c r="E119" i="73"/>
  <c r="F119" i="73"/>
  <c r="G119" i="73"/>
  <c r="D120" i="73"/>
  <c r="E120" i="73"/>
  <c r="F120" i="73"/>
  <c r="G120" i="73"/>
  <c r="D121" i="73"/>
  <c r="E121" i="73"/>
  <c r="F121" i="73"/>
  <c r="G121" i="73"/>
  <c r="D122" i="73"/>
  <c r="E122" i="73"/>
  <c r="F122" i="73"/>
  <c r="G122" i="73"/>
  <c r="D123" i="73"/>
  <c r="E123" i="73"/>
  <c r="F123" i="73"/>
  <c r="G123" i="73"/>
  <c r="D124" i="73"/>
  <c r="E124" i="73"/>
  <c r="F124" i="73"/>
  <c r="G124" i="73"/>
  <c r="D125" i="73"/>
  <c r="E125" i="73"/>
  <c r="F125" i="73"/>
  <c r="G125" i="73"/>
  <c r="D126" i="73"/>
  <c r="E126" i="73"/>
  <c r="F126" i="73"/>
  <c r="G126" i="73"/>
  <c r="D127" i="73"/>
  <c r="E127" i="73"/>
  <c r="F127" i="73"/>
  <c r="G127" i="73"/>
  <c r="D128" i="73"/>
  <c r="E128" i="73"/>
  <c r="F128" i="73"/>
  <c r="G128" i="73"/>
  <c r="D129" i="73"/>
  <c r="E129" i="73"/>
  <c r="F129" i="73"/>
  <c r="G129" i="73"/>
  <c r="D130" i="73"/>
  <c r="E130" i="73"/>
  <c r="F130" i="73"/>
  <c r="G130" i="73"/>
  <c r="D131" i="73"/>
  <c r="E131" i="73"/>
  <c r="F131" i="73"/>
  <c r="G131" i="73"/>
  <c r="D132" i="73"/>
  <c r="E132" i="73"/>
  <c r="F132" i="73"/>
  <c r="G132" i="73"/>
  <c r="D133" i="73"/>
  <c r="E133" i="73"/>
  <c r="F133" i="73"/>
  <c r="G133" i="73"/>
  <c r="D134" i="73"/>
  <c r="E134" i="73"/>
  <c r="F134" i="73"/>
  <c r="G134" i="73"/>
  <c r="D135" i="73"/>
  <c r="E135" i="73"/>
  <c r="F135" i="73"/>
  <c r="G135" i="73"/>
  <c r="D136" i="73"/>
  <c r="E136" i="73"/>
  <c r="F136" i="73"/>
  <c r="G136" i="73"/>
  <c r="D137" i="73"/>
  <c r="E137" i="73"/>
  <c r="F137" i="73"/>
  <c r="G137" i="73"/>
  <c r="D138" i="73"/>
  <c r="E138" i="73"/>
  <c r="F138" i="73"/>
  <c r="G138" i="73"/>
  <c r="D139" i="73"/>
  <c r="E139" i="73"/>
  <c r="F139" i="73"/>
  <c r="G139" i="73"/>
  <c r="D140" i="73"/>
  <c r="E140" i="73"/>
  <c r="F140" i="73"/>
  <c r="G140" i="73"/>
  <c r="D141" i="73"/>
  <c r="E141" i="73"/>
  <c r="F141" i="73"/>
  <c r="G141" i="73"/>
  <c r="D142" i="73"/>
  <c r="E142" i="73"/>
  <c r="F142" i="73"/>
  <c r="G142" i="73"/>
  <c r="D143" i="73"/>
  <c r="E143" i="73"/>
  <c r="F143" i="73"/>
  <c r="G143" i="73"/>
  <c r="D144" i="73"/>
  <c r="E144" i="73"/>
  <c r="F144" i="73"/>
  <c r="G144" i="73"/>
  <c r="D145" i="73"/>
  <c r="E145" i="73"/>
  <c r="F145" i="73"/>
  <c r="G145" i="73"/>
  <c r="D146" i="73"/>
  <c r="E146" i="73"/>
  <c r="F146" i="73"/>
  <c r="G146" i="73"/>
  <c r="D147" i="73"/>
  <c r="E147" i="73"/>
  <c r="F147" i="73"/>
  <c r="G147" i="73"/>
  <c r="D148" i="73"/>
  <c r="E148" i="73"/>
  <c r="F148" i="73"/>
  <c r="G148" i="73"/>
  <c r="D149" i="73"/>
  <c r="E149" i="73"/>
  <c r="F149" i="73"/>
  <c r="G149" i="73"/>
  <c r="D150" i="73"/>
  <c r="E150" i="73"/>
  <c r="F150" i="73"/>
  <c r="G150" i="73"/>
  <c r="D151" i="73"/>
  <c r="E151" i="73"/>
  <c r="F151" i="73"/>
  <c r="G151" i="73"/>
  <c r="D152" i="73"/>
  <c r="E152" i="73"/>
  <c r="F152" i="73"/>
  <c r="G152" i="73"/>
  <c r="D153" i="73"/>
  <c r="E153" i="73"/>
  <c r="F153" i="73"/>
  <c r="G153" i="73"/>
  <c r="D154" i="73"/>
  <c r="E154" i="73"/>
  <c r="F154" i="73"/>
  <c r="G154" i="73"/>
  <c r="D155" i="73"/>
  <c r="E155" i="73"/>
  <c r="F155" i="73"/>
  <c r="G155" i="73"/>
  <c r="D156" i="73"/>
  <c r="E156" i="73"/>
  <c r="F156" i="73"/>
  <c r="G156" i="73"/>
  <c r="D157" i="73"/>
  <c r="E157" i="73"/>
  <c r="F157" i="73"/>
  <c r="G157" i="73"/>
  <c r="D158" i="73"/>
  <c r="E158" i="73"/>
  <c r="F158" i="73"/>
  <c r="G158" i="73"/>
  <c r="D159" i="73"/>
  <c r="E159" i="73"/>
  <c r="F159" i="73"/>
  <c r="G159" i="73"/>
  <c r="D160" i="73"/>
  <c r="E160" i="73"/>
  <c r="F160" i="73"/>
  <c r="G160" i="73"/>
  <c r="D161" i="73"/>
  <c r="E161" i="73"/>
  <c r="F161" i="73"/>
  <c r="G161" i="73"/>
  <c r="D162" i="73"/>
  <c r="E162" i="73"/>
  <c r="F162" i="73"/>
  <c r="G162" i="73"/>
  <c r="D163" i="73"/>
  <c r="E163" i="73"/>
  <c r="F163" i="73"/>
  <c r="G163" i="73"/>
  <c r="D164" i="73"/>
  <c r="E164" i="73"/>
  <c r="F164" i="73"/>
  <c r="G164" i="73"/>
  <c r="D165" i="73"/>
  <c r="E165" i="73"/>
  <c r="F165" i="73"/>
  <c r="G165" i="73"/>
  <c r="D166" i="73"/>
  <c r="E166" i="73"/>
  <c r="F166" i="73"/>
  <c r="G166" i="73"/>
  <c r="D167" i="73"/>
  <c r="E167" i="73"/>
  <c r="F167" i="73"/>
  <c r="G167" i="73"/>
  <c r="D168" i="73"/>
  <c r="E168" i="73"/>
  <c r="F168" i="73"/>
  <c r="G168" i="73"/>
  <c r="D169" i="73"/>
  <c r="E169" i="73"/>
  <c r="F169" i="73"/>
  <c r="G169" i="73"/>
  <c r="D170" i="73"/>
  <c r="E170" i="73"/>
  <c r="F170" i="73"/>
  <c r="G170" i="73"/>
  <c r="D171" i="73"/>
  <c r="E171" i="73"/>
  <c r="F171" i="73"/>
  <c r="G171" i="73"/>
  <c r="D172" i="73"/>
  <c r="E172" i="73"/>
  <c r="F172" i="73"/>
  <c r="G172" i="73"/>
  <c r="D173" i="73"/>
  <c r="E173" i="73"/>
  <c r="F173" i="73"/>
  <c r="G173" i="73"/>
  <c r="D174" i="73"/>
  <c r="E174" i="73"/>
  <c r="F174" i="73"/>
  <c r="G174" i="73"/>
  <c r="D175" i="73"/>
  <c r="E175" i="73"/>
  <c r="F175" i="73"/>
  <c r="G175" i="73"/>
  <c r="D176" i="73"/>
  <c r="E176" i="73"/>
  <c r="F176" i="73"/>
  <c r="G176" i="73"/>
  <c r="D177" i="73"/>
  <c r="E177" i="73"/>
  <c r="F177" i="73"/>
  <c r="G177" i="73"/>
  <c r="D178" i="73"/>
  <c r="E178" i="73"/>
  <c r="F178" i="73"/>
  <c r="G178" i="73"/>
  <c r="D179" i="73"/>
  <c r="E179" i="73"/>
  <c r="F179" i="73"/>
  <c r="G179" i="73"/>
  <c r="D180" i="73"/>
  <c r="E180" i="73"/>
  <c r="F180" i="73"/>
  <c r="G180" i="73"/>
  <c r="D181" i="73"/>
  <c r="E181" i="73"/>
  <c r="F181" i="73"/>
  <c r="G181" i="73"/>
  <c r="D182" i="73"/>
  <c r="E182" i="73"/>
  <c r="F182" i="73"/>
  <c r="G182" i="73"/>
  <c r="D183" i="73"/>
  <c r="E183" i="73"/>
  <c r="F183" i="73"/>
  <c r="G183" i="73"/>
  <c r="D184" i="73"/>
  <c r="E184" i="73"/>
  <c r="F184" i="73"/>
  <c r="G184" i="73"/>
  <c r="D185" i="73"/>
  <c r="E185" i="73"/>
  <c r="F185" i="73"/>
  <c r="G185" i="73"/>
  <c r="D186" i="73"/>
  <c r="E186" i="73"/>
  <c r="F186" i="73"/>
  <c r="G186" i="73"/>
  <c r="C9" i="73"/>
  <c r="C10" i="73"/>
  <c r="C11" i="73"/>
  <c r="C12" i="73"/>
  <c r="C13" i="73"/>
  <c r="C14" i="73"/>
  <c r="C15" i="73"/>
  <c r="C16" i="73"/>
  <c r="C17" i="73"/>
  <c r="C18" i="73"/>
  <c r="C19" i="73"/>
  <c r="C20" i="73"/>
  <c r="C21" i="73"/>
  <c r="C22" i="73"/>
  <c r="C23" i="73"/>
  <c r="C24" i="73"/>
  <c r="C25" i="73"/>
  <c r="C26" i="73"/>
  <c r="C27" i="73"/>
  <c r="C28" i="73"/>
  <c r="C29" i="73"/>
  <c r="C30" i="73"/>
  <c r="C31" i="73"/>
  <c r="C32" i="73"/>
  <c r="C33" i="73"/>
  <c r="C34" i="73"/>
  <c r="C35" i="73"/>
  <c r="C36" i="73"/>
  <c r="C37" i="73"/>
  <c r="C38" i="73"/>
  <c r="C39" i="73"/>
  <c r="C40" i="73"/>
  <c r="C41" i="73"/>
  <c r="C42" i="73"/>
  <c r="C43" i="73"/>
  <c r="C44" i="73"/>
  <c r="C45" i="73"/>
  <c r="C46" i="73"/>
  <c r="C47" i="73"/>
  <c r="C48" i="73"/>
  <c r="C49" i="73"/>
  <c r="C50" i="73"/>
  <c r="C51" i="73"/>
  <c r="C52" i="73"/>
  <c r="C53" i="73"/>
  <c r="C54" i="73"/>
  <c r="C55" i="73"/>
  <c r="C56" i="73"/>
  <c r="C57" i="73"/>
  <c r="C58" i="73"/>
  <c r="C59" i="73"/>
  <c r="C60" i="73"/>
  <c r="C61" i="73"/>
  <c r="C62" i="73"/>
  <c r="C63" i="73"/>
  <c r="C64" i="73"/>
  <c r="C65" i="73"/>
  <c r="C66" i="73"/>
  <c r="C67" i="73"/>
  <c r="C68" i="73"/>
  <c r="C69" i="73"/>
  <c r="C70" i="73"/>
  <c r="C71" i="73"/>
  <c r="C72" i="73"/>
  <c r="C73" i="73"/>
  <c r="C74" i="73"/>
  <c r="C75" i="73"/>
  <c r="C76" i="73"/>
  <c r="C77" i="73"/>
  <c r="C78" i="73"/>
  <c r="C79" i="73"/>
  <c r="C80" i="73"/>
  <c r="C81" i="73"/>
  <c r="C82" i="73"/>
  <c r="C83" i="73"/>
  <c r="C84" i="73"/>
  <c r="C85" i="73"/>
  <c r="C86" i="73"/>
  <c r="C87" i="73"/>
  <c r="C88" i="73"/>
  <c r="C89" i="73"/>
  <c r="C90" i="73"/>
  <c r="C91" i="73"/>
  <c r="C92" i="73"/>
  <c r="C93" i="73"/>
  <c r="C94" i="73"/>
  <c r="C95" i="73"/>
  <c r="C96" i="73"/>
  <c r="C97" i="73"/>
  <c r="C98" i="73"/>
  <c r="C99" i="73"/>
  <c r="C100" i="73"/>
  <c r="C101" i="73"/>
  <c r="C102" i="73"/>
  <c r="C103" i="73"/>
  <c r="C104" i="73"/>
  <c r="C105" i="73"/>
  <c r="C106" i="73"/>
  <c r="C107" i="73"/>
  <c r="C108" i="73"/>
  <c r="C109" i="73"/>
  <c r="C110" i="73"/>
  <c r="C111" i="73"/>
  <c r="C112" i="73"/>
  <c r="C113" i="73"/>
  <c r="C114" i="73"/>
  <c r="C115" i="73"/>
  <c r="C116" i="73"/>
  <c r="C117" i="73"/>
  <c r="C118" i="73"/>
  <c r="C119" i="73"/>
  <c r="C120" i="73"/>
  <c r="C121" i="73"/>
  <c r="C122" i="73"/>
  <c r="C123" i="73"/>
  <c r="C124" i="73"/>
  <c r="C125" i="73"/>
  <c r="C126" i="73"/>
  <c r="C127" i="73"/>
  <c r="C128" i="73"/>
  <c r="C129" i="73"/>
  <c r="C130" i="73"/>
  <c r="C131" i="73"/>
  <c r="C132" i="73"/>
  <c r="C133" i="73"/>
  <c r="C134" i="73"/>
  <c r="C135" i="73"/>
  <c r="C136" i="73"/>
  <c r="C137" i="73"/>
  <c r="C138" i="73"/>
  <c r="C139" i="73"/>
  <c r="C140" i="73"/>
  <c r="C141" i="73"/>
  <c r="C142" i="73"/>
  <c r="C143" i="73"/>
  <c r="C144" i="73"/>
  <c r="C145" i="73"/>
  <c r="C146" i="73"/>
  <c r="C147" i="73"/>
  <c r="C148" i="73"/>
  <c r="C149" i="73"/>
  <c r="C150" i="73"/>
  <c r="C151" i="73"/>
  <c r="C152" i="73"/>
  <c r="C153" i="73"/>
  <c r="C154" i="73"/>
  <c r="C155" i="73"/>
  <c r="C156" i="73"/>
  <c r="C157" i="73"/>
  <c r="C158" i="73"/>
  <c r="C159" i="73"/>
  <c r="C160" i="73"/>
  <c r="C161" i="73"/>
  <c r="C162" i="73"/>
  <c r="C163" i="73"/>
  <c r="C164" i="73"/>
  <c r="C165" i="73"/>
  <c r="C166" i="73"/>
  <c r="C167" i="73"/>
  <c r="C168" i="73"/>
  <c r="C169" i="73"/>
  <c r="C170" i="73"/>
  <c r="C171" i="73"/>
  <c r="C172" i="73"/>
  <c r="C173" i="73"/>
  <c r="C174" i="73"/>
  <c r="C175" i="73"/>
  <c r="C176" i="73"/>
  <c r="C177" i="73"/>
  <c r="C178" i="73"/>
  <c r="C179" i="73"/>
  <c r="C180" i="73"/>
  <c r="C181" i="73"/>
  <c r="C182" i="73"/>
  <c r="C183" i="73"/>
  <c r="C184" i="73"/>
  <c r="C185" i="73"/>
  <c r="C186" i="73"/>
  <c r="G8" i="73"/>
  <c r="F8" i="73"/>
  <c r="E8" i="73"/>
  <c r="D8" i="73"/>
  <c r="C8" i="73"/>
  <c r="W9" i="73"/>
  <c r="AB9" i="73" s="1"/>
  <c r="W10" i="73"/>
  <c r="AA10" i="73" s="1"/>
  <c r="W11" i="73"/>
  <c r="AB11" i="73" s="1"/>
  <c r="W12" i="73"/>
  <c r="AA12" i="73" s="1"/>
  <c r="W13" i="73"/>
  <c r="AB13" i="73" s="1"/>
  <c r="W14" i="73"/>
  <c r="AA14" i="73" s="1"/>
  <c r="W15" i="73"/>
  <c r="AB15" i="73" s="1"/>
  <c r="W16" i="73"/>
  <c r="AA16" i="73" s="1"/>
  <c r="W17" i="73"/>
  <c r="AB17" i="73" s="1"/>
  <c r="W18" i="73"/>
  <c r="AA18" i="73" s="1"/>
  <c r="W19" i="73"/>
  <c r="AB19" i="73" s="1"/>
  <c r="W20" i="73"/>
  <c r="AA20" i="73" s="1"/>
  <c r="W21" i="73"/>
  <c r="AB21" i="73" s="1"/>
  <c r="W22" i="73"/>
  <c r="AA22" i="73" s="1"/>
  <c r="W23" i="73"/>
  <c r="AB23" i="73" s="1"/>
  <c r="W24" i="73"/>
  <c r="AA24" i="73" s="1"/>
  <c r="W25" i="73"/>
  <c r="AB25" i="73" s="1"/>
  <c r="W26" i="73"/>
  <c r="AA26" i="73" s="1"/>
  <c r="W27" i="73"/>
  <c r="AB27" i="73" s="1"/>
  <c r="W28" i="73"/>
  <c r="AA28" i="73" s="1"/>
  <c r="W29" i="73"/>
  <c r="AB29" i="73" s="1"/>
  <c r="W30" i="73"/>
  <c r="AA30" i="73" s="1"/>
  <c r="W31" i="73"/>
  <c r="AB31" i="73" s="1"/>
  <c r="W32" i="73"/>
  <c r="AA32" i="73" s="1"/>
  <c r="W33" i="73"/>
  <c r="AB33" i="73" s="1"/>
  <c r="W34" i="73"/>
  <c r="AA34" i="73" s="1"/>
  <c r="W35" i="73"/>
  <c r="AB35" i="73" s="1"/>
  <c r="W36" i="73"/>
  <c r="AA36" i="73" s="1"/>
  <c r="W37" i="73"/>
  <c r="AB37" i="73" s="1"/>
  <c r="W38" i="73"/>
  <c r="AA38" i="73" s="1"/>
  <c r="W39" i="73"/>
  <c r="AB39" i="73" s="1"/>
  <c r="W40" i="73"/>
  <c r="AA40" i="73" s="1"/>
  <c r="W41" i="73"/>
  <c r="AB41" i="73" s="1"/>
  <c r="W42" i="73"/>
  <c r="AA42" i="73" s="1"/>
  <c r="W43" i="73"/>
  <c r="AB43" i="73" s="1"/>
  <c r="W44" i="73"/>
  <c r="AA44" i="73" s="1"/>
  <c r="W45" i="73"/>
  <c r="AB45" i="73" s="1"/>
  <c r="W46" i="73"/>
  <c r="AB46" i="73" s="1"/>
  <c r="W47" i="73"/>
  <c r="AB47" i="73" s="1"/>
  <c r="W48" i="73"/>
  <c r="AB48" i="73" s="1"/>
  <c r="W49" i="73"/>
  <c r="AB49" i="73" s="1"/>
  <c r="W50" i="73"/>
  <c r="AB50" i="73" s="1"/>
  <c r="W51" i="73"/>
  <c r="AB51" i="73" s="1"/>
  <c r="W52" i="73"/>
  <c r="AB52" i="73" s="1"/>
  <c r="W53" i="73"/>
  <c r="AB53" i="73" s="1"/>
  <c r="W54" i="73"/>
  <c r="AB54" i="73" s="1"/>
  <c r="W55" i="73"/>
  <c r="AB55" i="73" s="1"/>
  <c r="W56" i="73"/>
  <c r="AB56" i="73" s="1"/>
  <c r="W57" i="73"/>
  <c r="AB57" i="73"/>
  <c r="W58" i="73"/>
  <c r="AB58" i="73"/>
  <c r="W59" i="73"/>
  <c r="AB59" i="73" s="1"/>
  <c r="W60" i="73"/>
  <c r="AB60" i="73" s="1"/>
  <c r="W61" i="73"/>
  <c r="AA61" i="73" s="1"/>
  <c r="W8" i="73"/>
  <c r="X8" i="73" s="1"/>
  <c r="I9" i="73"/>
  <c r="I10" i="73"/>
  <c r="I11" i="73"/>
  <c r="I12" i="73"/>
  <c r="I13" i="73"/>
  <c r="I14" i="73"/>
  <c r="I8" i="73"/>
  <c r="B9" i="73"/>
  <c r="B10" i="73"/>
  <c r="B11" i="73"/>
  <c r="B12" i="73"/>
  <c r="B13" i="73"/>
  <c r="B14" i="73"/>
  <c r="B15" i="73"/>
  <c r="B16" i="73"/>
  <c r="B17" i="73"/>
  <c r="B18" i="73"/>
  <c r="B19" i="73"/>
  <c r="B20" i="73"/>
  <c r="B21" i="73"/>
  <c r="B22" i="73"/>
  <c r="B23" i="73"/>
  <c r="B24" i="73"/>
  <c r="B25" i="73"/>
  <c r="B26" i="73"/>
  <c r="B27" i="73"/>
  <c r="B28" i="73"/>
  <c r="B29" i="73"/>
  <c r="B30" i="73"/>
  <c r="B31" i="73"/>
  <c r="B32" i="73"/>
  <c r="B33" i="73"/>
  <c r="B34" i="73"/>
  <c r="B35" i="73"/>
  <c r="B36" i="73"/>
  <c r="B37" i="73"/>
  <c r="B38" i="73"/>
  <c r="B39" i="73"/>
  <c r="B40" i="73"/>
  <c r="B41" i="73"/>
  <c r="B42" i="73"/>
  <c r="B43" i="73"/>
  <c r="B44" i="73"/>
  <c r="B45" i="73"/>
  <c r="B46" i="73"/>
  <c r="B47" i="73"/>
  <c r="B48" i="73"/>
  <c r="B49" i="73"/>
  <c r="B50" i="73"/>
  <c r="B51" i="73"/>
  <c r="B52" i="73"/>
  <c r="B53" i="73"/>
  <c r="B54" i="73"/>
  <c r="B55" i="73"/>
  <c r="B56" i="73"/>
  <c r="B57" i="73"/>
  <c r="B58" i="73"/>
  <c r="B59" i="73"/>
  <c r="B60" i="73"/>
  <c r="B61" i="73"/>
  <c r="B62" i="73"/>
  <c r="B63" i="73"/>
  <c r="B64" i="73"/>
  <c r="B65" i="73"/>
  <c r="B66" i="73"/>
  <c r="B67" i="73"/>
  <c r="B68" i="73"/>
  <c r="B69" i="73"/>
  <c r="B70" i="73"/>
  <c r="B71" i="73"/>
  <c r="B72" i="73"/>
  <c r="B73" i="73"/>
  <c r="B74" i="73"/>
  <c r="B75" i="73"/>
  <c r="B76" i="73"/>
  <c r="B77" i="73"/>
  <c r="B78" i="73"/>
  <c r="B79" i="73"/>
  <c r="B80" i="73"/>
  <c r="B81" i="73"/>
  <c r="B82" i="73"/>
  <c r="B83" i="73"/>
  <c r="B84" i="73"/>
  <c r="B85" i="73"/>
  <c r="B86" i="73"/>
  <c r="B87" i="73"/>
  <c r="B88" i="73"/>
  <c r="B89" i="73"/>
  <c r="B90" i="73"/>
  <c r="B91" i="73"/>
  <c r="B92" i="73"/>
  <c r="B93" i="73"/>
  <c r="B94" i="73"/>
  <c r="B95" i="73"/>
  <c r="B96" i="73"/>
  <c r="B97" i="73"/>
  <c r="B98" i="73"/>
  <c r="B99" i="73"/>
  <c r="B100" i="73"/>
  <c r="B101" i="73"/>
  <c r="B102" i="73"/>
  <c r="B103" i="73"/>
  <c r="B104" i="73"/>
  <c r="B105" i="73"/>
  <c r="B106" i="73"/>
  <c r="B107" i="73"/>
  <c r="B108" i="73"/>
  <c r="B109" i="73"/>
  <c r="B110" i="73"/>
  <c r="B111" i="73"/>
  <c r="B112" i="73"/>
  <c r="B113" i="73"/>
  <c r="B114" i="73"/>
  <c r="B115" i="73"/>
  <c r="B116" i="73"/>
  <c r="B117" i="73"/>
  <c r="B118" i="73"/>
  <c r="B119" i="73"/>
  <c r="B120" i="73"/>
  <c r="B121" i="73"/>
  <c r="B122" i="73"/>
  <c r="B123" i="73"/>
  <c r="B124" i="73"/>
  <c r="B125" i="73"/>
  <c r="B126" i="73"/>
  <c r="B127" i="73"/>
  <c r="B128" i="73"/>
  <c r="B129" i="73"/>
  <c r="B130" i="73"/>
  <c r="B131" i="73"/>
  <c r="B132" i="73"/>
  <c r="B133" i="73"/>
  <c r="B134" i="73"/>
  <c r="B135" i="73"/>
  <c r="B136" i="73"/>
  <c r="B137" i="73"/>
  <c r="B138" i="73"/>
  <c r="B139" i="73"/>
  <c r="B140" i="73"/>
  <c r="B141" i="73"/>
  <c r="B142" i="73"/>
  <c r="B143" i="73"/>
  <c r="B144" i="73"/>
  <c r="B145" i="73"/>
  <c r="B146" i="73"/>
  <c r="B147" i="73"/>
  <c r="B148" i="73"/>
  <c r="B149" i="73"/>
  <c r="B150" i="73"/>
  <c r="B151" i="73"/>
  <c r="B152" i="73"/>
  <c r="B153" i="73"/>
  <c r="B154" i="73"/>
  <c r="B155" i="73"/>
  <c r="B156" i="73"/>
  <c r="B157" i="73"/>
  <c r="B158" i="73"/>
  <c r="B159" i="73"/>
  <c r="B160" i="73"/>
  <c r="B161" i="73"/>
  <c r="B162" i="73"/>
  <c r="B163" i="73"/>
  <c r="B164" i="73"/>
  <c r="B165" i="73"/>
  <c r="B166" i="73"/>
  <c r="B167" i="73"/>
  <c r="B168" i="73"/>
  <c r="B169" i="73"/>
  <c r="B170" i="73"/>
  <c r="B171" i="73"/>
  <c r="B172" i="73"/>
  <c r="B173" i="73"/>
  <c r="B174" i="73"/>
  <c r="B175" i="73"/>
  <c r="B176" i="73"/>
  <c r="B177" i="73"/>
  <c r="B178" i="73"/>
  <c r="B179" i="73"/>
  <c r="B180" i="73"/>
  <c r="B181" i="73"/>
  <c r="B182" i="73"/>
  <c r="B183" i="73"/>
  <c r="B184" i="73"/>
  <c r="B185" i="73"/>
  <c r="B186" i="73"/>
  <c r="B8" i="73"/>
  <c r="Y61" i="73"/>
  <c r="Z61" i="73"/>
  <c r="Z60" i="73"/>
  <c r="AA60" i="73"/>
  <c r="X58" i="73"/>
  <c r="Y58" i="73"/>
  <c r="Z58" i="73"/>
  <c r="AA58" i="73"/>
  <c r="Y57" i="73"/>
  <c r="AA57" i="73"/>
  <c r="X57" i="73"/>
  <c r="Z57" i="73"/>
  <c r="X56" i="73"/>
  <c r="Z56" i="73"/>
  <c r="Y55" i="73"/>
  <c r="AA55" i="73"/>
  <c r="X55" i="73"/>
  <c r="Z55" i="73"/>
  <c r="X54" i="73"/>
  <c r="Y54" i="73"/>
  <c r="Z54" i="73"/>
  <c r="AA54" i="73"/>
  <c r="Y53" i="73"/>
  <c r="AA53" i="73"/>
  <c r="X53" i="73"/>
  <c r="Z53" i="73"/>
  <c r="X52" i="73"/>
  <c r="Y52" i="73"/>
  <c r="Z52" i="73"/>
  <c r="AA52" i="73"/>
  <c r="Y51" i="73"/>
  <c r="AA51" i="73"/>
  <c r="X51" i="73"/>
  <c r="Z51" i="73"/>
  <c r="X50" i="73"/>
  <c r="Y50" i="73"/>
  <c r="Z50" i="73"/>
  <c r="AA50" i="73"/>
  <c r="Y49" i="73"/>
  <c r="AA49" i="73"/>
  <c r="X49" i="73"/>
  <c r="Z49" i="73"/>
  <c r="X48" i="73"/>
  <c r="Y48" i="73"/>
  <c r="Z48" i="73"/>
  <c r="AA48" i="73"/>
  <c r="Y47" i="73"/>
  <c r="AA47" i="73"/>
  <c r="X47" i="73"/>
  <c r="Z47" i="73"/>
  <c r="X46" i="73"/>
  <c r="Y46" i="73"/>
  <c r="Z46" i="73"/>
  <c r="AA46" i="73"/>
  <c r="Y45" i="73"/>
  <c r="AA45" i="73"/>
  <c r="X45" i="73"/>
  <c r="Z45" i="73"/>
  <c r="X44" i="73"/>
  <c r="AB44" i="73"/>
  <c r="Z43" i="73"/>
  <c r="X42" i="73"/>
  <c r="Y41" i="73"/>
  <c r="Z42" i="73"/>
  <c r="AA41" i="73"/>
  <c r="AB42" i="73"/>
  <c r="X41" i="73"/>
  <c r="Y42" i="73"/>
  <c r="Z41" i="73"/>
  <c r="AB8" i="73"/>
  <c r="X38" i="73"/>
  <c r="X34" i="73"/>
  <c r="X30" i="73"/>
  <c r="X26" i="73"/>
  <c r="X22" i="73"/>
  <c r="X18" i="73"/>
  <c r="X14" i="73"/>
  <c r="X12" i="73"/>
  <c r="X10" i="73"/>
  <c r="Y39" i="73"/>
  <c r="Y37" i="73"/>
  <c r="Y35" i="73"/>
  <c r="Y33" i="73"/>
  <c r="Y31" i="73"/>
  <c r="Y29" i="73"/>
  <c r="Y27" i="73"/>
  <c r="Y25" i="73"/>
  <c r="Y23" i="73"/>
  <c r="Y21" i="73"/>
  <c r="Y19" i="73"/>
  <c r="Y17" i="73"/>
  <c r="Y15" i="73"/>
  <c r="Y13" i="73"/>
  <c r="Y11" i="73"/>
  <c r="Y9" i="73"/>
  <c r="Z40" i="73"/>
  <c r="Z38" i="73"/>
  <c r="Z36" i="73"/>
  <c r="Z34" i="73"/>
  <c r="Z32" i="73"/>
  <c r="Z30" i="73"/>
  <c r="Z28" i="73"/>
  <c r="Z26" i="73"/>
  <c r="Z24" i="73"/>
  <c r="Z22" i="73"/>
  <c r="Z20" i="73"/>
  <c r="Z18" i="73"/>
  <c r="Z16" i="73"/>
  <c r="Z14" i="73"/>
  <c r="Z12" i="73"/>
  <c r="Z10" i="73"/>
  <c r="AA39" i="73"/>
  <c r="AA37" i="73"/>
  <c r="AA35" i="73"/>
  <c r="AA33" i="73"/>
  <c r="AA31" i="73"/>
  <c r="AA29" i="73"/>
  <c r="AA27" i="73"/>
  <c r="AA25" i="73"/>
  <c r="AA23" i="73"/>
  <c r="AA21" i="73"/>
  <c r="AA19" i="73"/>
  <c r="AA17" i="73"/>
  <c r="AA15" i="73"/>
  <c r="AA13" i="73"/>
  <c r="AA11" i="73"/>
  <c r="AA9" i="73"/>
  <c r="AB40" i="73"/>
  <c r="AB38" i="73"/>
  <c r="AB36" i="73"/>
  <c r="AB34" i="73"/>
  <c r="AB32" i="73"/>
  <c r="AB30" i="73"/>
  <c r="AB28" i="73"/>
  <c r="AB26" i="73"/>
  <c r="AB24" i="73"/>
  <c r="AB22" i="73"/>
  <c r="AB20" i="73"/>
  <c r="AB18" i="73"/>
  <c r="AB16" i="73"/>
  <c r="AB14" i="73"/>
  <c r="AB12" i="73"/>
  <c r="AB10" i="73"/>
  <c r="Y8" i="73"/>
  <c r="AA8" i="73"/>
  <c r="X39" i="73"/>
  <c r="X37" i="73"/>
  <c r="X35" i="73"/>
  <c r="X33" i="73"/>
  <c r="X31" i="73"/>
  <c r="X29" i="73"/>
  <c r="X27" i="73"/>
  <c r="X25" i="73"/>
  <c r="X23" i="73"/>
  <c r="X21" i="73"/>
  <c r="X19" i="73"/>
  <c r="X17" i="73"/>
  <c r="X15" i="73"/>
  <c r="X13" i="73"/>
  <c r="X11" i="73"/>
  <c r="X9" i="73"/>
  <c r="Y40" i="73"/>
  <c r="Y38" i="73"/>
  <c r="Y36" i="73"/>
  <c r="Y34" i="73"/>
  <c r="Y32" i="73"/>
  <c r="Y30" i="73"/>
  <c r="Y28" i="73"/>
  <c r="Y26" i="73"/>
  <c r="Y24" i="73"/>
  <c r="Y22" i="73"/>
  <c r="Y20" i="73"/>
  <c r="Y18" i="73"/>
  <c r="Y16" i="73"/>
  <c r="Y14" i="73"/>
  <c r="Y12" i="73"/>
  <c r="Y10" i="73"/>
  <c r="Z39" i="73"/>
  <c r="Z37" i="73"/>
  <c r="Z35" i="73"/>
  <c r="Z33" i="73"/>
  <c r="Z31" i="73"/>
  <c r="Z29" i="73"/>
  <c r="Z27" i="73"/>
  <c r="Z25" i="73"/>
  <c r="Z23" i="73"/>
  <c r="Z21" i="73"/>
  <c r="Z19" i="73"/>
  <c r="Z17" i="73"/>
  <c r="Z15" i="73"/>
  <c r="Z13" i="73"/>
  <c r="Z11" i="73"/>
  <c r="Z9" i="73"/>
  <c r="N69" i="73"/>
  <c r="N70" i="73"/>
  <c r="N71" i="73"/>
  <c r="N72" i="73"/>
  <c r="N73" i="73"/>
  <c r="N74" i="73"/>
  <c r="N75" i="73"/>
  <c r="N76" i="73"/>
  <c r="N77" i="73"/>
  <c r="N78" i="73"/>
  <c r="N79" i="73"/>
  <c r="N80" i="73"/>
  <c r="N81" i="73"/>
  <c r="N82" i="73"/>
  <c r="N83" i="73"/>
  <c r="N84" i="73"/>
  <c r="N85" i="73"/>
  <c r="N86" i="73"/>
  <c r="N87" i="73"/>
  <c r="N88" i="73"/>
  <c r="N89" i="73"/>
  <c r="N90" i="73"/>
  <c r="N91" i="73"/>
  <c r="N92" i="73"/>
  <c r="N93" i="73"/>
  <c r="N94" i="73"/>
  <c r="N95" i="73"/>
  <c r="N96" i="73"/>
  <c r="N97" i="73"/>
  <c r="N68" i="73"/>
  <c r="N23" i="73"/>
  <c r="N24" i="73"/>
  <c r="N25" i="73"/>
  <c r="N26" i="73"/>
  <c r="N27" i="73"/>
  <c r="N28" i="73"/>
  <c r="N29" i="73"/>
  <c r="N30" i="73"/>
  <c r="N31" i="73"/>
  <c r="N32" i="73"/>
  <c r="N33" i="73"/>
  <c r="N34" i="73"/>
  <c r="N35" i="73"/>
  <c r="N36" i="73"/>
  <c r="N37" i="73"/>
  <c r="N38" i="73"/>
  <c r="N39" i="73"/>
  <c r="N40" i="73"/>
  <c r="N41" i="73"/>
  <c r="N42" i="73"/>
  <c r="N43" i="73"/>
  <c r="N44" i="73"/>
  <c r="N45" i="73"/>
  <c r="N46" i="73"/>
  <c r="N47" i="73"/>
  <c r="N48" i="73"/>
  <c r="N49" i="73"/>
  <c r="N50" i="73"/>
  <c r="N51" i="73"/>
  <c r="N52" i="73"/>
  <c r="N53" i="73"/>
  <c r="N54" i="73"/>
  <c r="N55" i="73"/>
  <c r="N56" i="73"/>
  <c r="N57" i="73"/>
  <c r="N58" i="73"/>
  <c r="N59" i="73"/>
  <c r="N60" i="73"/>
  <c r="N61" i="73"/>
  <c r="N62" i="73"/>
  <c r="N63" i="73"/>
  <c r="N64" i="73"/>
  <c r="N65" i="73"/>
  <c r="N66" i="73"/>
  <c r="N67" i="73"/>
  <c r="N22" i="73"/>
  <c r="N9" i="73"/>
  <c r="N10" i="73"/>
  <c r="N11" i="73"/>
  <c r="N12" i="73"/>
  <c r="N13" i="73"/>
  <c r="N14" i="73"/>
  <c r="N15" i="73"/>
  <c r="N16" i="73"/>
  <c r="N17" i="73"/>
  <c r="N18" i="73"/>
  <c r="N19" i="73"/>
  <c r="N20" i="73"/>
  <c r="N21" i="73"/>
  <c r="N8" i="73"/>
  <c r="M23" i="73"/>
  <c r="M24" i="73"/>
  <c r="M25" i="73"/>
  <c r="M26" i="73"/>
  <c r="M27" i="73"/>
  <c r="M28" i="73"/>
  <c r="M29" i="73"/>
  <c r="M30" i="73"/>
  <c r="M31" i="73"/>
  <c r="M32" i="73"/>
  <c r="M33" i="73"/>
  <c r="M34" i="73"/>
  <c r="M35" i="73"/>
  <c r="M36" i="73"/>
  <c r="M37" i="73"/>
  <c r="M38" i="73"/>
  <c r="M39" i="73"/>
  <c r="M40" i="73"/>
  <c r="M41" i="73"/>
  <c r="M42" i="73"/>
  <c r="M43" i="73"/>
  <c r="M44" i="73"/>
  <c r="M45" i="73"/>
  <c r="M46" i="73"/>
  <c r="M47" i="73"/>
  <c r="M48" i="73"/>
  <c r="M49" i="73"/>
  <c r="M50" i="73"/>
  <c r="M51" i="73"/>
  <c r="M52" i="73"/>
  <c r="M53" i="73"/>
  <c r="M54" i="73"/>
  <c r="M55" i="73"/>
  <c r="M56" i="73"/>
  <c r="M57" i="73"/>
  <c r="M58" i="73"/>
  <c r="M59" i="73"/>
  <c r="M60" i="73"/>
  <c r="M61" i="73"/>
  <c r="M62" i="73"/>
  <c r="M63" i="73"/>
  <c r="M64" i="73"/>
  <c r="M65" i="73"/>
  <c r="M66" i="73"/>
  <c r="M67" i="73"/>
  <c r="M68" i="73"/>
  <c r="M69" i="73"/>
  <c r="M70" i="73"/>
  <c r="M71" i="73"/>
  <c r="M72" i="73"/>
  <c r="M73" i="73"/>
  <c r="M74" i="73"/>
  <c r="M75" i="73"/>
  <c r="M76" i="73"/>
  <c r="M77" i="73"/>
  <c r="M78" i="73"/>
  <c r="M79" i="73"/>
  <c r="M80" i="73"/>
  <c r="M81" i="73"/>
  <c r="M82" i="73"/>
  <c r="M83" i="73"/>
  <c r="M84" i="73"/>
  <c r="M85" i="73"/>
  <c r="M86" i="73"/>
  <c r="M87" i="73"/>
  <c r="M88" i="73"/>
  <c r="M89" i="73"/>
  <c r="M90" i="73"/>
  <c r="M91" i="73"/>
  <c r="M92" i="73"/>
  <c r="M93" i="73"/>
  <c r="M94" i="73"/>
  <c r="M95" i="73"/>
  <c r="M96" i="73"/>
  <c r="M97" i="73"/>
  <c r="M22" i="73"/>
  <c r="M9" i="73"/>
  <c r="M10" i="73"/>
  <c r="M11" i="73"/>
  <c r="M12" i="73"/>
  <c r="M13" i="73"/>
  <c r="M14" i="73"/>
  <c r="M15" i="73"/>
  <c r="M16" i="73"/>
  <c r="M17" i="73"/>
  <c r="M18" i="73"/>
  <c r="M19" i="73"/>
  <c r="M20" i="73"/>
  <c r="M21" i="73"/>
  <c r="M8" i="73"/>
  <c r="K34" i="41"/>
  <c r="K37" i="41"/>
  <c r="K36" i="41"/>
  <c r="K38" i="41"/>
  <c r="K39" i="41"/>
  <c r="K40" i="41"/>
  <c r="K41" i="41"/>
  <c r="K42" i="41"/>
  <c r="K43" i="41"/>
  <c r="K44" i="41"/>
  <c r="K45" i="41"/>
  <c r="K46" i="41"/>
  <c r="K47" i="41"/>
  <c r="K48" i="41"/>
  <c r="K49" i="41"/>
  <c r="K50" i="41"/>
  <c r="K51" i="41"/>
  <c r="K52" i="41"/>
  <c r="K53" i="41"/>
  <c r="K54" i="41"/>
  <c r="K55" i="41"/>
  <c r="K56" i="41"/>
  <c r="K57" i="41"/>
  <c r="K58" i="41"/>
  <c r="K59" i="41"/>
  <c r="K60" i="41"/>
  <c r="K61" i="41"/>
  <c r="K62" i="41"/>
  <c r="K63" i="41"/>
  <c r="K64" i="41"/>
  <c r="K65" i="41"/>
  <c r="K66" i="41"/>
  <c r="K67" i="41"/>
  <c r="K68" i="41"/>
  <c r="K69" i="41"/>
  <c r="K70" i="41"/>
  <c r="K71" i="41"/>
  <c r="K72" i="41"/>
  <c r="K73" i="41"/>
  <c r="K74" i="41"/>
  <c r="K75" i="41"/>
  <c r="K76" i="41"/>
  <c r="K77" i="41"/>
  <c r="K78" i="41"/>
  <c r="K79" i="41"/>
  <c r="K80" i="41"/>
  <c r="K81" i="41"/>
  <c r="K82" i="41"/>
  <c r="K83" i="41"/>
  <c r="K84" i="41"/>
  <c r="K85" i="41"/>
  <c r="K86" i="41"/>
  <c r="K87" i="41"/>
  <c r="H34" i="41"/>
  <c r="H35" i="41"/>
  <c r="H36" i="41"/>
  <c r="H37" i="41"/>
  <c r="H38" i="41"/>
  <c r="H39" i="41"/>
  <c r="H40" i="41"/>
  <c r="H41" i="41"/>
  <c r="H42" i="41"/>
  <c r="H43" i="41"/>
  <c r="H44" i="41"/>
  <c r="H45" i="41"/>
  <c r="H46" i="41"/>
  <c r="H47" i="41"/>
  <c r="H48" i="41"/>
  <c r="H49" i="41"/>
  <c r="H50" i="41"/>
  <c r="H51" i="41"/>
  <c r="H52" i="41"/>
  <c r="H53" i="41"/>
  <c r="H54" i="41"/>
  <c r="H55" i="41"/>
  <c r="H56" i="41"/>
  <c r="H57" i="41"/>
  <c r="H58" i="41"/>
  <c r="H59" i="41"/>
  <c r="H60" i="41"/>
  <c r="H61" i="41"/>
  <c r="H62" i="41"/>
  <c r="H63" i="41"/>
  <c r="H64" i="41"/>
  <c r="H65" i="41"/>
  <c r="H66" i="41"/>
  <c r="H67" i="41"/>
  <c r="H68" i="41"/>
  <c r="H69" i="41"/>
  <c r="H70" i="41"/>
  <c r="H71" i="41"/>
  <c r="H72" i="41"/>
  <c r="H73" i="41"/>
  <c r="H74" i="41"/>
  <c r="H75" i="41"/>
  <c r="H76" i="41"/>
  <c r="H77" i="41"/>
  <c r="H78" i="41"/>
  <c r="H79" i="41"/>
  <c r="H80" i="41"/>
  <c r="H81" i="41"/>
  <c r="H82" i="41"/>
  <c r="H83" i="41"/>
  <c r="H84" i="41"/>
  <c r="H85" i="41"/>
  <c r="H86" i="41"/>
  <c r="H87" i="41"/>
  <c r="G34" i="41"/>
  <c r="G35" i="41"/>
  <c r="G36" i="41"/>
  <c r="G37" i="41"/>
  <c r="G38" i="41"/>
  <c r="G39" i="41"/>
  <c r="G40" i="41"/>
  <c r="G41" i="41"/>
  <c r="G42" i="41"/>
  <c r="G43" i="41"/>
  <c r="G44" i="41"/>
  <c r="G45" i="41"/>
  <c r="G46" i="41"/>
  <c r="G47" i="41"/>
  <c r="G48" i="41"/>
  <c r="G49" i="41"/>
  <c r="G50" i="41"/>
  <c r="G51" i="41"/>
  <c r="G52" i="41"/>
  <c r="G53" i="41"/>
  <c r="G54" i="41"/>
  <c r="G55" i="41"/>
  <c r="G56" i="41"/>
  <c r="G57" i="41"/>
  <c r="G58" i="41"/>
  <c r="G59" i="41"/>
  <c r="G60" i="41"/>
  <c r="G61" i="41"/>
  <c r="G62" i="41"/>
  <c r="G63" i="41"/>
  <c r="G64" i="41"/>
  <c r="G65" i="41"/>
  <c r="G66" i="41"/>
  <c r="G67" i="41"/>
  <c r="G68" i="41"/>
  <c r="G69" i="41"/>
  <c r="G70" i="41"/>
  <c r="G71" i="41"/>
  <c r="G72" i="41"/>
  <c r="G73" i="41"/>
  <c r="G74" i="41"/>
  <c r="G75" i="41"/>
  <c r="G76" i="41"/>
  <c r="G77" i="41"/>
  <c r="G78" i="41"/>
  <c r="G79" i="41"/>
  <c r="G80" i="41"/>
  <c r="G81" i="41"/>
  <c r="G82" i="41"/>
  <c r="G83" i="41"/>
  <c r="G84" i="41"/>
  <c r="G85" i="41"/>
  <c r="G86" i="41"/>
  <c r="G87" i="41"/>
  <c r="F34" i="41"/>
  <c r="F35" i="41"/>
  <c r="F36" i="41"/>
  <c r="F37" i="41"/>
  <c r="F38" i="41"/>
  <c r="F39" i="41"/>
  <c r="F40" i="41"/>
  <c r="F41" i="41"/>
  <c r="F42" i="41"/>
  <c r="F43" i="41"/>
  <c r="F44" i="41"/>
  <c r="F45" i="41"/>
  <c r="F46" i="41"/>
  <c r="F47" i="41"/>
  <c r="F48" i="41"/>
  <c r="F49" i="41"/>
  <c r="F50" i="41"/>
  <c r="F51" i="41"/>
  <c r="F52" i="41"/>
  <c r="F53" i="41"/>
  <c r="F54" i="41"/>
  <c r="F55" i="41"/>
  <c r="F56" i="41"/>
  <c r="F57" i="41"/>
  <c r="F58" i="41"/>
  <c r="F59" i="41"/>
  <c r="F60" i="41"/>
  <c r="F61" i="41"/>
  <c r="F62" i="41"/>
  <c r="F63" i="41"/>
  <c r="F64" i="41"/>
  <c r="F65" i="41"/>
  <c r="F66" i="41"/>
  <c r="F67" i="41"/>
  <c r="F68" i="41"/>
  <c r="F69" i="41"/>
  <c r="F70" i="41"/>
  <c r="F71" i="41"/>
  <c r="F72" i="41"/>
  <c r="F73" i="41"/>
  <c r="F74" i="41"/>
  <c r="F75" i="41"/>
  <c r="F76" i="41"/>
  <c r="F77" i="41"/>
  <c r="F78" i="41"/>
  <c r="F79" i="41"/>
  <c r="F80" i="41"/>
  <c r="F81" i="41"/>
  <c r="F82" i="41"/>
  <c r="F83" i="41"/>
  <c r="F84" i="41"/>
  <c r="F85" i="41"/>
  <c r="F86" i="41"/>
  <c r="F87"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R14" i="72"/>
  <c r="R13" i="72"/>
  <c r="R14" i="67"/>
  <c r="R13" i="67"/>
  <c r="E33" i="41"/>
  <c r="K35" i="41"/>
  <c r="D14" i="72"/>
  <c r="E14" i="72" s="1"/>
  <c r="D13" i="72"/>
  <c r="C14" i="72"/>
  <c r="C13" i="72"/>
  <c r="D13" i="67"/>
  <c r="C14" i="67"/>
  <c r="C13" i="67"/>
  <c r="D14" i="71"/>
  <c r="D13" i="71"/>
  <c r="C14" i="71"/>
  <c r="J14" i="71"/>
  <c r="C13" i="71"/>
  <c r="J13" i="71"/>
  <c r="I13" i="71" s="1"/>
  <c r="E14" i="70"/>
  <c r="E13" i="70"/>
  <c r="D14" i="70"/>
  <c r="I14" i="70"/>
  <c r="D13" i="70"/>
  <c r="I13" i="70"/>
  <c r="H13" i="70" s="1"/>
  <c r="E14" i="26"/>
  <c r="E13" i="26"/>
  <c r="D14" i="26"/>
  <c r="I14" i="26"/>
  <c r="H14" i="26" s="1"/>
  <c r="D13" i="26"/>
  <c r="I13" i="26"/>
  <c r="H13" i="26" s="1"/>
  <c r="C4" i="26" s="1"/>
  <c r="E14" i="39"/>
  <c r="E13" i="39"/>
  <c r="D14" i="39"/>
  <c r="D13" i="39"/>
  <c r="O13" i="39" s="1"/>
  <c r="E14" i="40"/>
  <c r="E13" i="40"/>
  <c r="D14" i="40"/>
  <c r="T14" i="40"/>
  <c r="D13" i="40"/>
  <c r="D14" i="67"/>
  <c r="Q14" i="67" s="1"/>
  <c r="O14" i="39"/>
  <c r="L14" i="39" s="1"/>
  <c r="F4" i="39"/>
  <c r="P14" i="72"/>
  <c r="Q14" i="72"/>
  <c r="P13" i="72"/>
  <c r="Q13" i="72"/>
  <c r="E13" i="72"/>
  <c r="E14" i="67"/>
  <c r="L24" i="41" s="1"/>
  <c r="E13" i="67"/>
  <c r="M14" i="40"/>
  <c r="P14" i="40"/>
  <c r="E12" i="41"/>
  <c r="E11" i="41"/>
  <c r="I14" i="71"/>
  <c r="E22" i="41"/>
  <c r="E21" i="41"/>
  <c r="E20" i="41"/>
  <c r="E17" i="41"/>
  <c r="H28" i="55"/>
  <c r="H29" i="55"/>
  <c r="H30" i="55"/>
  <c r="H31" i="55"/>
  <c r="H32" i="55"/>
  <c r="H33" i="55"/>
  <c r="H34" i="55"/>
  <c r="H35" i="55"/>
  <c r="H36" i="55"/>
  <c r="H37" i="55"/>
  <c r="H38" i="55"/>
  <c r="H39" i="55"/>
  <c r="H40" i="55"/>
  <c r="H41" i="55"/>
  <c r="H42" i="55"/>
  <c r="H43" i="55"/>
  <c r="H44" i="55"/>
  <c r="H45" i="55"/>
  <c r="H46" i="55"/>
  <c r="H47" i="55"/>
  <c r="H48" i="55"/>
  <c r="H49" i="55"/>
  <c r="H50" i="55"/>
  <c r="H51" i="55"/>
  <c r="H52" i="55"/>
  <c r="H53" i="55"/>
  <c r="H54" i="55"/>
  <c r="H55" i="55"/>
  <c r="H56" i="55"/>
  <c r="H57" i="55"/>
  <c r="H58" i="55"/>
  <c r="H59" i="55"/>
  <c r="H60" i="55"/>
  <c r="H61" i="55"/>
  <c r="H62" i="55"/>
  <c r="H63" i="55"/>
  <c r="H64" i="55"/>
  <c r="H65" i="55"/>
  <c r="H66" i="55"/>
  <c r="H67" i="55"/>
  <c r="H68" i="55"/>
  <c r="H69" i="55"/>
  <c r="H70" i="55"/>
  <c r="H71" i="55"/>
  <c r="H72" i="55"/>
  <c r="H73" i="55"/>
  <c r="H74" i="55"/>
  <c r="H75" i="55"/>
  <c r="H76" i="55"/>
  <c r="H77" i="55"/>
  <c r="H78" i="55"/>
  <c r="H79" i="55"/>
  <c r="H80" i="55"/>
  <c r="G6" i="55"/>
  <c r="G7" i="55"/>
  <c r="G8" i="55"/>
  <c r="G9" i="55"/>
  <c r="F9" i="55"/>
  <c r="E6" i="55"/>
  <c r="E7" i="55"/>
  <c r="E9" i="55"/>
  <c r="D6" i="55"/>
  <c r="D7" i="55"/>
  <c r="D9" i="55"/>
  <c r="E13" i="41"/>
  <c r="D8" i="55"/>
  <c r="E8" i="55"/>
  <c r="C9" i="55"/>
  <c r="I9" i="55" s="1"/>
  <c r="L27" i="41"/>
  <c r="O13" i="72"/>
  <c r="M13" i="72" s="1"/>
  <c r="M14" i="39"/>
  <c r="E5" i="55"/>
  <c r="E10" i="55"/>
  <c r="F6" i="39"/>
  <c r="F8" i="39"/>
  <c r="D7" i="39"/>
  <c r="J27" i="41"/>
  <c r="H14" i="70"/>
  <c r="G5" i="55"/>
  <c r="G10" i="55"/>
  <c r="F7" i="55"/>
  <c r="F8" i="55"/>
  <c r="D5" i="39"/>
  <c r="D6" i="39"/>
  <c r="E6" i="39" s="1"/>
  <c r="D4" i="39"/>
  <c r="E4" i="39" s="1"/>
  <c r="D5" i="55"/>
  <c r="D10" i="55" s="1"/>
  <c r="F6" i="55"/>
  <c r="F10" i="55" s="1"/>
  <c r="F5" i="55"/>
  <c r="C4" i="70"/>
  <c r="J34" i="41"/>
  <c r="J42" i="41"/>
  <c r="J50" i="41"/>
  <c r="J58" i="41"/>
  <c r="J66" i="41"/>
  <c r="J74" i="41"/>
  <c r="J82" i="41"/>
  <c r="J37" i="41"/>
  <c r="J45" i="41"/>
  <c r="J51" i="41"/>
  <c r="J55" i="41"/>
  <c r="J59" i="41"/>
  <c r="J63" i="41"/>
  <c r="J67" i="41"/>
  <c r="J71" i="41"/>
  <c r="J75" i="41"/>
  <c r="J79" i="41"/>
  <c r="J83" i="41"/>
  <c r="J87" i="41"/>
  <c r="J33" i="41"/>
  <c r="F18" i="55"/>
  <c r="J24" i="41"/>
  <c r="J25" i="41"/>
  <c r="F17" i="55"/>
  <c r="G17" i="55"/>
  <c r="H33" i="41"/>
  <c r="E18" i="55"/>
  <c r="D31" i="55"/>
  <c r="G80" i="55"/>
  <c r="F32" i="55"/>
  <c r="D30" i="55"/>
  <c r="D56" i="55"/>
  <c r="C72" i="55"/>
  <c r="D73" i="55"/>
  <c r="F66" i="55"/>
  <c r="F49" i="55"/>
  <c r="G59" i="55"/>
  <c r="G44" i="55"/>
  <c r="D59" i="55"/>
  <c r="D42" i="55"/>
  <c r="C48" i="55"/>
  <c r="D44" i="55"/>
  <c r="E75" i="55"/>
  <c r="D79" i="55"/>
  <c r="E66" i="55"/>
  <c r="F61" i="55"/>
  <c r="C68" i="55"/>
  <c r="C60" i="55"/>
  <c r="C61" i="55"/>
  <c r="G77" i="55"/>
  <c r="G79" i="55"/>
  <c r="E40" i="55"/>
  <c r="C40" i="55"/>
  <c r="D54" i="55"/>
  <c r="G29" i="55"/>
  <c r="G46" i="55"/>
  <c r="E55" i="55"/>
  <c r="G72" i="55"/>
  <c r="E26" i="55"/>
  <c r="D45" i="55"/>
  <c r="E63" i="55"/>
  <c r="F78" i="55"/>
  <c r="E70" i="55"/>
  <c r="E46" i="55"/>
  <c r="D76" i="55"/>
  <c r="E64" i="55"/>
  <c r="F74" i="55"/>
  <c r="E34" i="55"/>
  <c r="F26" i="55"/>
  <c r="G41" i="55"/>
  <c r="F63" i="55"/>
  <c r="E74" i="55"/>
  <c r="D38" i="55"/>
  <c r="G53" i="55"/>
  <c r="C38" i="55"/>
  <c r="C39" i="55"/>
  <c r="C42" i="55"/>
  <c r="C56" i="55"/>
  <c r="C65" i="55"/>
  <c r="C45" i="55"/>
  <c r="C36" i="55"/>
  <c r="C79" i="55"/>
  <c r="D60" i="55"/>
  <c r="G60" i="55"/>
  <c r="C27" i="55"/>
  <c r="E79" i="55"/>
  <c r="F71" i="55"/>
  <c r="E61" i="55"/>
  <c r="D39" i="55"/>
  <c r="D50" i="55"/>
  <c r="E51" i="55"/>
  <c r="D72" i="55"/>
  <c r="G57" i="55"/>
  <c r="E42" i="55"/>
  <c r="D51" i="55"/>
  <c r="G38" i="55"/>
  <c r="F36" i="55"/>
  <c r="D66" i="55"/>
  <c r="G64" i="55"/>
  <c r="E49" i="55"/>
  <c r="G37" i="55"/>
  <c r="E32" i="55"/>
  <c r="G69" i="55"/>
  <c r="F73" i="55"/>
  <c r="D41" i="55"/>
  <c r="E31" i="55"/>
  <c r="D37" i="55"/>
  <c r="E30" i="55"/>
  <c r="G52" i="55"/>
  <c r="C53" i="55"/>
  <c r="E62" i="55"/>
  <c r="F43" i="55"/>
  <c r="G75" i="55"/>
  <c r="E37" i="55"/>
  <c r="D29" i="55"/>
  <c r="G47" i="55"/>
  <c r="F54" i="55"/>
  <c r="D28" i="55"/>
  <c r="C74" i="55"/>
  <c r="D77" i="55"/>
  <c r="E65" i="55"/>
  <c r="D78" i="55"/>
  <c r="G26" i="55"/>
  <c r="G67" i="55"/>
  <c r="G45" i="55"/>
  <c r="F79" i="55"/>
  <c r="G28" i="55"/>
  <c r="E77" i="55"/>
  <c r="F30" i="55"/>
  <c r="C57" i="55"/>
  <c r="D62" i="55"/>
  <c r="F47" i="55"/>
  <c r="C71" i="55"/>
  <c r="D49" i="55"/>
  <c r="E59" i="55"/>
  <c r="C50" i="55"/>
  <c r="D46" i="55"/>
  <c r="F50" i="55"/>
  <c r="E33" i="55"/>
  <c r="C52" i="55"/>
  <c r="C28" i="55"/>
  <c r="G78" i="55"/>
  <c r="S14" i="40"/>
  <c r="D69" i="55"/>
  <c r="D57" i="55"/>
  <c r="E50" i="55"/>
  <c r="C37" i="55"/>
  <c r="C76" i="55"/>
  <c r="G66" i="55"/>
  <c r="C51" i="55"/>
  <c r="G33" i="41"/>
  <c r="D18" i="55"/>
  <c r="C54" i="55"/>
  <c r="C59" i="55"/>
  <c r="C63" i="55"/>
  <c r="C35" i="55"/>
  <c r="E60" i="55"/>
  <c r="F39" i="55"/>
  <c r="F59" i="55"/>
  <c r="F52" i="55"/>
  <c r="C47" i="55"/>
  <c r="E67" i="55"/>
  <c r="G40" i="55"/>
  <c r="C32" i="55"/>
  <c r="F56" i="55"/>
  <c r="C55" i="55"/>
  <c r="F55" i="55"/>
  <c r="D47" i="55"/>
  <c r="C41" i="55"/>
  <c r="D26" i="55"/>
  <c r="D74" i="55"/>
  <c r="F45" i="55"/>
  <c r="C78" i="55"/>
  <c r="G39" i="55"/>
  <c r="G31" i="55"/>
  <c r="C66" i="55"/>
  <c r="I66" i="55" s="1"/>
  <c r="G71" i="55"/>
  <c r="E53" i="55"/>
  <c r="F27" i="55"/>
  <c r="F58" i="55"/>
  <c r="E78" i="55"/>
  <c r="F48" i="55"/>
  <c r="C31" i="55"/>
  <c r="F51" i="55"/>
  <c r="E39" i="55"/>
  <c r="E27" i="55"/>
  <c r="C29" i="55"/>
  <c r="C73" i="55"/>
  <c r="G65" i="55"/>
  <c r="C69" i="55"/>
  <c r="G58" i="55"/>
  <c r="G18" i="55"/>
  <c r="G19" i="55" s="1"/>
  <c r="H27" i="55"/>
  <c r="F19" i="55"/>
  <c r="C6" i="55"/>
  <c r="I6" i="55" s="1"/>
  <c r="D27" i="55"/>
  <c r="D17" i="55"/>
  <c r="D19" i="55" s="1"/>
  <c r="E17" i="55"/>
  <c r="E19" i="55" s="1"/>
  <c r="H26" i="55"/>
  <c r="K33" i="41"/>
  <c r="I59" i="55"/>
  <c r="C7" i="55"/>
  <c r="I7" i="55" s="1"/>
  <c r="H17" i="55"/>
  <c r="H18" i="55"/>
  <c r="C8" i="55"/>
  <c r="I8" i="55" s="1"/>
  <c r="F33" i="41"/>
  <c r="C18" i="55"/>
  <c r="C5" i="55"/>
  <c r="I5" i="55" s="1"/>
  <c r="C26" i="55"/>
  <c r="C17" i="55"/>
  <c r="C19" i="55"/>
  <c r="I78" i="55" l="1"/>
  <c r="I79" i="55"/>
  <c r="AB61" i="73"/>
  <c r="X61" i="73"/>
  <c r="X60" i="73"/>
  <c r="Y60" i="73"/>
  <c r="Z59" i="73"/>
  <c r="Y59" i="73"/>
  <c r="AA59" i="73"/>
  <c r="X59" i="73"/>
  <c r="H81" i="55"/>
  <c r="AA56" i="73"/>
  <c r="Y56" i="73"/>
  <c r="Y44" i="73"/>
  <c r="Z44" i="73"/>
  <c r="X43" i="73"/>
  <c r="AA43" i="73"/>
  <c r="Y43" i="73"/>
  <c r="L13" i="72"/>
  <c r="N13" i="72" s="1"/>
  <c r="I18" i="55"/>
  <c r="X16" i="73"/>
  <c r="X20" i="73"/>
  <c r="X24" i="73"/>
  <c r="X28" i="73"/>
  <c r="X32" i="73"/>
  <c r="X36" i="73"/>
  <c r="X40" i="73"/>
  <c r="Z8" i="73"/>
  <c r="H19" i="55"/>
  <c r="I39" i="55"/>
  <c r="I19" i="55"/>
  <c r="M13" i="39"/>
  <c r="D9" i="39" s="1"/>
  <c r="D19" i="41" s="1"/>
  <c r="L13" i="39"/>
  <c r="I34" i="41"/>
  <c r="L34" i="41" s="1"/>
  <c r="I38" i="41"/>
  <c r="I42" i="41"/>
  <c r="L42" i="41" s="1"/>
  <c r="I46" i="41"/>
  <c r="I50" i="41"/>
  <c r="L50" i="41" s="1"/>
  <c r="I54" i="41"/>
  <c r="I58" i="41"/>
  <c r="L58" i="41" s="1"/>
  <c r="I62" i="41"/>
  <c r="I66" i="41"/>
  <c r="L66" i="41" s="1"/>
  <c r="I70" i="41"/>
  <c r="I74" i="41"/>
  <c r="L74" i="41" s="1"/>
  <c r="I78" i="41"/>
  <c r="I82" i="41"/>
  <c r="L82" i="41" s="1"/>
  <c r="I86" i="41"/>
  <c r="I37" i="41"/>
  <c r="L37" i="41" s="1"/>
  <c r="I41" i="41"/>
  <c r="I45" i="41"/>
  <c r="L45" i="41" s="1"/>
  <c r="I49" i="41"/>
  <c r="I53" i="41"/>
  <c r="I57" i="41"/>
  <c r="I61" i="41"/>
  <c r="I65" i="41"/>
  <c r="I69" i="41"/>
  <c r="I73" i="41"/>
  <c r="I77" i="41"/>
  <c r="I81" i="41"/>
  <c r="I85" i="41"/>
  <c r="I36" i="41"/>
  <c r="I44" i="41"/>
  <c r="I52" i="41"/>
  <c r="I60" i="41"/>
  <c r="I68" i="41"/>
  <c r="I76" i="41"/>
  <c r="I84" i="41"/>
  <c r="I39" i="41"/>
  <c r="I47" i="41"/>
  <c r="I55" i="41"/>
  <c r="L55" i="41" s="1"/>
  <c r="I63" i="41"/>
  <c r="L63" i="41" s="1"/>
  <c r="I71" i="41"/>
  <c r="L71" i="41" s="1"/>
  <c r="I79" i="41"/>
  <c r="L79" i="41" s="1"/>
  <c r="I87" i="41"/>
  <c r="L87" i="41" s="1"/>
  <c r="F31" i="55"/>
  <c r="I31" i="55" s="1"/>
  <c r="F64" i="55"/>
  <c r="E54" i="55"/>
  <c r="E44" i="55"/>
  <c r="F35" i="55"/>
  <c r="F44" i="55"/>
  <c r="G50" i="55"/>
  <c r="I50" i="55" s="1"/>
  <c r="D68" i="55"/>
  <c r="E71" i="55"/>
  <c r="F65" i="55"/>
  <c r="E35" i="55"/>
  <c r="D43" i="55"/>
  <c r="C44" i="55"/>
  <c r="I44" i="55" s="1"/>
  <c r="E58" i="55"/>
  <c r="G55" i="55"/>
  <c r="E41" i="55"/>
  <c r="C43" i="55"/>
  <c r="D48" i="55"/>
  <c r="D61" i="55"/>
  <c r="E48" i="55"/>
  <c r="F34" i="55"/>
  <c r="F69" i="55"/>
  <c r="G48" i="55"/>
  <c r="E38" i="55"/>
  <c r="F77" i="55"/>
  <c r="D36" i="55"/>
  <c r="D75" i="55"/>
  <c r="G61" i="55"/>
  <c r="D70" i="55"/>
  <c r="E56" i="55"/>
  <c r="F29" i="55"/>
  <c r="G51" i="55"/>
  <c r="I51" i="55" s="1"/>
  <c r="E80" i="55"/>
  <c r="D32" i="55"/>
  <c r="E57" i="55"/>
  <c r="F70" i="55"/>
  <c r="D67" i="55"/>
  <c r="E29" i="55"/>
  <c r="I29" i="55" s="1"/>
  <c r="D65" i="55"/>
  <c r="I65" i="55" s="1"/>
  <c r="G68" i="55"/>
  <c r="C75" i="55"/>
  <c r="C46" i="55"/>
  <c r="D35" i="55"/>
  <c r="C30" i="55"/>
  <c r="C67" i="55"/>
  <c r="E36" i="55"/>
  <c r="E28" i="55"/>
  <c r="F67" i="55"/>
  <c r="F60" i="55"/>
  <c r="I60" i="55" s="1"/>
  <c r="G73" i="55"/>
  <c r="E69" i="55"/>
  <c r="I69" i="55" s="1"/>
  <c r="G32" i="55"/>
  <c r="E52" i="55"/>
  <c r="D33" i="55"/>
  <c r="G35" i="55"/>
  <c r="F68" i="55"/>
  <c r="E43" i="55"/>
  <c r="C33" i="55"/>
  <c r="F41" i="55"/>
  <c r="D58" i="55"/>
  <c r="F46" i="55"/>
  <c r="G76" i="55"/>
  <c r="G36" i="55"/>
  <c r="G54" i="55"/>
  <c r="C80" i="55"/>
  <c r="G30" i="55"/>
  <c r="D20" i="41"/>
  <c r="I40" i="41"/>
  <c r="I48" i="41"/>
  <c r="I56" i="41"/>
  <c r="I64" i="41"/>
  <c r="I72" i="41"/>
  <c r="I80" i="41"/>
  <c r="I35" i="41"/>
  <c r="I43" i="41"/>
  <c r="I51" i="41"/>
  <c r="L51" i="41" s="1"/>
  <c r="I59" i="41"/>
  <c r="L59" i="41" s="1"/>
  <c r="I67" i="41"/>
  <c r="L67" i="41" s="1"/>
  <c r="I75" i="41"/>
  <c r="L75" i="41" s="1"/>
  <c r="I83" i="41"/>
  <c r="L83" i="41" s="1"/>
  <c r="I33" i="41"/>
  <c r="L33" i="41" s="1"/>
  <c r="C62" i="55"/>
  <c r="F72" i="55"/>
  <c r="D34" i="55"/>
  <c r="G63" i="55"/>
  <c r="G74" i="55"/>
  <c r="I74" i="55" s="1"/>
  <c r="D55" i="55"/>
  <c r="I55" i="55" s="1"/>
  <c r="G62" i="55"/>
  <c r="G56" i="55"/>
  <c r="E76" i="55"/>
  <c r="D40" i="55"/>
  <c r="C58" i="55"/>
  <c r="I58" i="55" s="1"/>
  <c r="F37" i="55"/>
  <c r="I37" i="55" s="1"/>
  <c r="F80" i="55"/>
  <c r="E45" i="55"/>
  <c r="I45" i="55" s="1"/>
  <c r="D63" i="55"/>
  <c r="I63" i="55" s="1"/>
  <c r="D80" i="55"/>
  <c r="G43" i="55"/>
  <c r="G42" i="55"/>
  <c r="E47" i="55"/>
  <c r="I47" i="55" s="1"/>
  <c r="C64" i="55"/>
  <c r="C70" i="55"/>
  <c r="E73" i="55"/>
  <c r="I73" i="55" s="1"/>
  <c r="D64" i="55"/>
  <c r="G27" i="55"/>
  <c r="F28" i="55"/>
  <c r="F75" i="55"/>
  <c r="C34" i="55"/>
  <c r="G33" i="55"/>
  <c r="D52" i="55"/>
  <c r="I52" i="55" s="1"/>
  <c r="D53" i="55"/>
  <c r="G49" i="55"/>
  <c r="D71" i="55"/>
  <c r="I71" i="55" s="1"/>
  <c r="F33" i="55"/>
  <c r="F57" i="55"/>
  <c r="C77" i="55"/>
  <c r="I77" i="55" s="1"/>
  <c r="F42" i="55"/>
  <c r="I42" i="55" s="1"/>
  <c r="E68" i="55"/>
  <c r="F62" i="55"/>
  <c r="E72" i="55"/>
  <c r="I72" i="55" s="1"/>
  <c r="F40" i="55"/>
  <c r="G34" i="55"/>
  <c r="F53" i="55"/>
  <c r="G70" i="55"/>
  <c r="F76" i="55"/>
  <c r="C49" i="55"/>
  <c r="I49" i="55" s="1"/>
  <c r="F38" i="55"/>
  <c r="I17" i="55"/>
  <c r="C10" i="55"/>
  <c r="I26" i="55"/>
  <c r="D81" i="55"/>
  <c r="D21" i="41"/>
  <c r="J36" i="41"/>
  <c r="J40" i="41"/>
  <c r="J44" i="41"/>
  <c r="J48" i="41"/>
  <c r="J52" i="41"/>
  <c r="J56" i="41"/>
  <c r="J60" i="41"/>
  <c r="J64" i="41"/>
  <c r="J68" i="41"/>
  <c r="J72" i="41"/>
  <c r="J76" i="41"/>
  <c r="J80" i="41"/>
  <c r="J84" i="41"/>
  <c r="J35" i="41"/>
  <c r="J39" i="41"/>
  <c r="J43" i="41"/>
  <c r="J47" i="41"/>
  <c r="R14" i="40"/>
  <c r="N14" i="40"/>
  <c r="H14" i="40"/>
  <c r="Q14" i="40"/>
  <c r="K14" i="40"/>
  <c r="C4" i="71"/>
  <c r="P13" i="67"/>
  <c r="Q13" i="67"/>
  <c r="O14" i="72"/>
  <c r="L26" i="41"/>
  <c r="J26" i="41"/>
  <c r="D24" i="41" s="1"/>
  <c r="J85" i="41"/>
  <c r="J81" i="41"/>
  <c r="J77" i="41"/>
  <c r="J73" i="41"/>
  <c r="J69" i="41"/>
  <c r="J65" i="41"/>
  <c r="J61" i="41"/>
  <c r="J57" i="41"/>
  <c r="J53" i="41"/>
  <c r="J49" i="41"/>
  <c r="J41" i="41"/>
  <c r="J86" i="41"/>
  <c r="J78" i="41"/>
  <c r="J70" i="41"/>
  <c r="J62" i="41"/>
  <c r="J54" i="41"/>
  <c r="J46" i="41"/>
  <c r="J38" i="41"/>
  <c r="J14" i="40"/>
  <c r="G14" i="40"/>
  <c r="L25" i="41"/>
  <c r="P14" i="67"/>
  <c r="O14" i="67" s="1"/>
  <c r="N14" i="39"/>
  <c r="T13" i="40"/>
  <c r="I35" i="55" l="1"/>
  <c r="L14" i="67"/>
  <c r="M14" i="67"/>
  <c r="I53" i="55"/>
  <c r="G81" i="55"/>
  <c r="I64" i="55"/>
  <c r="I40" i="55"/>
  <c r="L43" i="41"/>
  <c r="L80" i="41"/>
  <c r="L64" i="41"/>
  <c r="L48" i="41"/>
  <c r="I80" i="55"/>
  <c r="I28" i="55"/>
  <c r="E81" i="55"/>
  <c r="I67" i="55"/>
  <c r="I75" i="55"/>
  <c r="I57" i="55"/>
  <c r="I61" i="55"/>
  <c r="I43" i="55"/>
  <c r="I54" i="55"/>
  <c r="L47" i="41"/>
  <c r="L84" i="41"/>
  <c r="L68" i="41"/>
  <c r="L52" i="41"/>
  <c r="L36" i="41"/>
  <c r="L81" i="41"/>
  <c r="L73" i="41"/>
  <c r="L65" i="41"/>
  <c r="L57" i="41"/>
  <c r="L49" i="41"/>
  <c r="L41" i="41"/>
  <c r="L86" i="41"/>
  <c r="L78" i="41"/>
  <c r="L70" i="41"/>
  <c r="L62" i="41"/>
  <c r="L54" i="41"/>
  <c r="L46" i="41"/>
  <c r="L38" i="41"/>
  <c r="N13" i="39"/>
  <c r="D8" i="39"/>
  <c r="I27" i="55"/>
  <c r="E7" i="40"/>
  <c r="R13" i="40"/>
  <c r="E6" i="40"/>
  <c r="N13" i="40"/>
  <c r="D7" i="40" s="1"/>
  <c r="H13" i="40"/>
  <c r="D5" i="40" s="1"/>
  <c r="M13" i="40"/>
  <c r="G13" i="40"/>
  <c r="E5" i="40"/>
  <c r="E9" i="40" s="1"/>
  <c r="Q13" i="40"/>
  <c r="D8" i="40" s="1"/>
  <c r="J13" i="40"/>
  <c r="E8" i="40"/>
  <c r="K13" i="40"/>
  <c r="D6" i="40" s="1"/>
  <c r="P13" i="40"/>
  <c r="S13" i="40"/>
  <c r="L14" i="72"/>
  <c r="M14" i="72"/>
  <c r="C6" i="72" s="1"/>
  <c r="O13" i="67"/>
  <c r="I34" i="55"/>
  <c r="F81" i="55"/>
  <c r="I70" i="55"/>
  <c r="I76" i="55"/>
  <c r="I62" i="55"/>
  <c r="L35" i="41"/>
  <c r="L72" i="41"/>
  <c r="L56" i="41"/>
  <c r="L40" i="41"/>
  <c r="I33" i="55"/>
  <c r="I30" i="55"/>
  <c r="I46" i="55"/>
  <c r="I32" i="55"/>
  <c r="I56" i="55"/>
  <c r="I36" i="55"/>
  <c r="I38" i="55"/>
  <c r="I48" i="55"/>
  <c r="I41" i="55"/>
  <c r="I68" i="55"/>
  <c r="L39" i="41"/>
  <c r="L76" i="41"/>
  <c r="L60" i="41"/>
  <c r="L44" i="41"/>
  <c r="L85" i="41"/>
  <c r="L77" i="41"/>
  <c r="L69" i="41"/>
  <c r="L61" i="41"/>
  <c r="L53" i="41"/>
  <c r="C81" i="55"/>
  <c r="N14" i="67" l="1"/>
  <c r="L13" i="67"/>
  <c r="M13" i="67"/>
  <c r="C6" i="67" s="1"/>
  <c r="N14" i="72"/>
  <c r="C4" i="72"/>
  <c r="C8" i="72" s="1"/>
  <c r="D9" i="40"/>
  <c r="D17" i="41" s="1"/>
  <c r="I81" i="55"/>
  <c r="D18" i="41"/>
  <c r="E8" i="39"/>
  <c r="D22" i="41" l="1"/>
  <c r="D29" i="41" s="1"/>
  <c r="N13" i="67"/>
  <c r="C4" i="67"/>
  <c r="C8" i="67" s="1"/>
  <c r="H10" i="55" s="1"/>
  <c r="I10" i="55" s="1"/>
</calcChain>
</file>

<file path=xl/sharedStrings.xml><?xml version="1.0" encoding="utf-8"?>
<sst xmlns="http://schemas.openxmlformats.org/spreadsheetml/2006/main" count="775" uniqueCount="383">
  <si>
    <t>Country</t>
  </si>
  <si>
    <t xml:space="preserve">Before completing this table please read carefully the instructions available on </t>
  </si>
  <si>
    <t>Total</t>
  </si>
  <si>
    <t>Action</t>
  </si>
  <si>
    <t>Austria</t>
  </si>
  <si>
    <t>Belgium</t>
  </si>
  <si>
    <t>Cyprus</t>
  </si>
  <si>
    <t>Bulgaria</t>
  </si>
  <si>
    <t>Afghanistan</t>
  </si>
  <si>
    <t>P1</t>
  </si>
  <si>
    <t>P2</t>
  </si>
  <si>
    <t>P3</t>
  </si>
  <si>
    <t>P4</t>
  </si>
  <si>
    <t>P5</t>
  </si>
  <si>
    <t>P6</t>
  </si>
  <si>
    <t>P7</t>
  </si>
  <si>
    <t>P8</t>
  </si>
  <si>
    <t>P9</t>
  </si>
  <si>
    <t>P10</t>
  </si>
  <si>
    <t>P11</t>
  </si>
  <si>
    <t>P12</t>
  </si>
  <si>
    <t>P14</t>
  </si>
  <si>
    <t>P15</t>
  </si>
  <si>
    <t>P16</t>
  </si>
  <si>
    <t>P17</t>
  </si>
  <si>
    <t>P18</t>
  </si>
  <si>
    <t>P19</t>
  </si>
  <si>
    <t>P20</t>
  </si>
  <si>
    <t>Distance</t>
  </si>
  <si>
    <t>Denmark</t>
  </si>
  <si>
    <t>Ireland</t>
  </si>
  <si>
    <t>Liechtenstein</t>
  </si>
  <si>
    <t>Netherlands</t>
  </si>
  <si>
    <t>Norway</t>
  </si>
  <si>
    <t>Sweden</t>
  </si>
  <si>
    <t>Finland</t>
  </si>
  <si>
    <t>France</t>
  </si>
  <si>
    <t>Germany</t>
  </si>
  <si>
    <t>Iceland</t>
  </si>
  <si>
    <t>Italy</t>
  </si>
  <si>
    <t>United Kingdom</t>
  </si>
  <si>
    <t>Czech Republic</t>
  </si>
  <si>
    <t>Greece</t>
  </si>
  <si>
    <t>Malta</t>
  </si>
  <si>
    <t>Portugal</t>
  </si>
  <si>
    <t>Slovenia</t>
  </si>
  <si>
    <t>Spain</t>
  </si>
  <si>
    <t>Croatia</t>
  </si>
  <si>
    <t>Estonia</t>
  </si>
  <si>
    <t>Hungary</t>
  </si>
  <si>
    <t>Latvia</t>
  </si>
  <si>
    <t>Lithuania</t>
  </si>
  <si>
    <t>Poland</t>
  </si>
  <si>
    <t>Romania</t>
  </si>
  <si>
    <t>Turkey</t>
  </si>
  <si>
    <t>Israel</t>
  </si>
  <si>
    <t>Albania</t>
  </si>
  <si>
    <t>Algeria</t>
  </si>
  <si>
    <t>Argentina</t>
  </si>
  <si>
    <t>Armenia</t>
  </si>
  <si>
    <t>Azerbaijan</t>
  </si>
  <si>
    <t>Bangladesh</t>
  </si>
  <si>
    <t>Chile</t>
  </si>
  <si>
    <t>Belarus</t>
  </si>
  <si>
    <t>Bhutan</t>
  </si>
  <si>
    <t>Bolivia</t>
  </si>
  <si>
    <t>Bosnia and Herzegovina</t>
  </si>
  <si>
    <t>Brazil</t>
  </si>
  <si>
    <t>Cambodia</t>
  </si>
  <si>
    <t>China</t>
  </si>
  <si>
    <t>Colombia</t>
  </si>
  <si>
    <t>Costa Rica</t>
  </si>
  <si>
    <t>Cuba</t>
  </si>
  <si>
    <t>Ecuador</t>
  </si>
  <si>
    <t>Egypt</t>
  </si>
  <si>
    <t>Georgia</t>
  </si>
  <si>
    <t>Guatemala</t>
  </si>
  <si>
    <t>Honduras</t>
  </si>
  <si>
    <t>India</t>
  </si>
  <si>
    <t>Indonesia</t>
  </si>
  <si>
    <t>Iran</t>
  </si>
  <si>
    <t>Iraq</t>
  </si>
  <si>
    <t>Jordan</t>
  </si>
  <si>
    <t>Kyrgyzstan</t>
  </si>
  <si>
    <t>Laos</t>
  </si>
  <si>
    <t>Lebanon</t>
  </si>
  <si>
    <t>Libya</t>
  </si>
  <si>
    <t>Malaysia</t>
  </si>
  <si>
    <t>Maldives</t>
  </si>
  <si>
    <t>Mexico</t>
  </si>
  <si>
    <t>Moldova</t>
  </si>
  <si>
    <t>Mongolia</t>
  </si>
  <si>
    <t>Montenegro</t>
  </si>
  <si>
    <t>Morocco</t>
  </si>
  <si>
    <t>Nepal</t>
  </si>
  <si>
    <t>Nicaragua</t>
  </si>
  <si>
    <t>Pakistan</t>
  </si>
  <si>
    <t>Panama</t>
  </si>
  <si>
    <t>Paraguay</t>
  </si>
  <si>
    <t>Philippines</t>
  </si>
  <si>
    <t>Serbia</t>
  </si>
  <si>
    <t>South Africa</t>
  </si>
  <si>
    <t>Syria</t>
  </si>
  <si>
    <t>Tajikistan</t>
  </si>
  <si>
    <t>Thailand</t>
  </si>
  <si>
    <t>Tunisia</t>
  </si>
  <si>
    <t>Turkmenistan</t>
  </si>
  <si>
    <t>Uruguay</t>
  </si>
  <si>
    <t>Uzbekistan</t>
  </si>
  <si>
    <t>Venezuela</t>
  </si>
  <si>
    <t>Vietnam</t>
  </si>
  <si>
    <t>Yemen</t>
  </si>
  <si>
    <t>P21</t>
  </si>
  <si>
    <t>P22</t>
  </si>
  <si>
    <t>P23</t>
  </si>
  <si>
    <t>P24</t>
  </si>
  <si>
    <t>P25</t>
  </si>
  <si>
    <t>P26</t>
  </si>
  <si>
    <t>P27</t>
  </si>
  <si>
    <t>P28</t>
  </si>
  <si>
    <t>P29</t>
  </si>
  <si>
    <t>P30</t>
  </si>
  <si>
    <t>P31</t>
  </si>
  <si>
    <t>P32</t>
  </si>
  <si>
    <t>P33</t>
  </si>
  <si>
    <t>P34</t>
  </si>
  <si>
    <t>P35</t>
  </si>
  <si>
    <t>P36</t>
  </si>
  <si>
    <t>P37</t>
  </si>
  <si>
    <t>P38</t>
  </si>
  <si>
    <t>P39</t>
  </si>
  <si>
    <t>P40</t>
  </si>
  <si>
    <t>TOTAL</t>
  </si>
  <si>
    <t>Teacher/Trainer/Researcher</t>
  </si>
  <si>
    <t>Programme guide and instructions for applicants</t>
  </si>
  <si>
    <t>Manager</t>
  </si>
  <si>
    <t>Nature, type and specifications of the item</t>
  </si>
  <si>
    <t>Key Action 2: Cooperation for innovation and the exchange of good practices</t>
  </si>
  <si>
    <t>Luxembourg</t>
  </si>
  <si>
    <t>Peru</t>
  </si>
  <si>
    <t>Duration number of months</t>
  </si>
  <si>
    <t>P41</t>
  </si>
  <si>
    <t>P42</t>
  </si>
  <si>
    <t>P43</t>
  </si>
  <si>
    <t>P44</t>
  </si>
  <si>
    <t>P45</t>
  </si>
  <si>
    <t>P46</t>
  </si>
  <si>
    <t>P47</t>
  </si>
  <si>
    <t>P48</t>
  </si>
  <si>
    <t>P49</t>
  </si>
  <si>
    <t>P50</t>
  </si>
  <si>
    <t>Partner 
N°</t>
  </si>
  <si>
    <t>Name of Partner</t>
  </si>
  <si>
    <t>100 KM and 499 KM</t>
  </si>
  <si>
    <t>500 KM and 1999 KM</t>
  </si>
  <si>
    <t>2000 KM and 2999 KM</t>
  </si>
  <si>
    <t>8000 KM or more</t>
  </si>
  <si>
    <t>Slovakia</t>
  </si>
  <si>
    <t>3000 KM and 3999 KM</t>
  </si>
  <si>
    <t>4000 KM and 7999 KM</t>
  </si>
  <si>
    <t>Travel Costs</t>
  </si>
  <si>
    <t>P13</t>
  </si>
  <si>
    <t>Staff Costs</t>
  </si>
  <si>
    <t>P51</t>
  </si>
  <si>
    <t>P52</t>
  </si>
  <si>
    <t>P53</t>
  </si>
  <si>
    <t>P54</t>
  </si>
  <si>
    <t>P55</t>
  </si>
  <si>
    <t>Work
Package</t>
  </si>
  <si>
    <t>Total 
(EUR)</t>
  </si>
  <si>
    <t>Total
(EUR)</t>
  </si>
  <si>
    <t>Amount
Excluding VAT
(EUR)</t>
  </si>
  <si>
    <t>1. Staff Costs</t>
  </si>
  <si>
    <t>Palestine</t>
  </si>
  <si>
    <t>Kosovo</t>
  </si>
  <si>
    <t>Project Acronym</t>
  </si>
  <si>
    <t>Project Title</t>
  </si>
  <si>
    <t>Travel 
Costs
(EUR)</t>
  </si>
  <si>
    <t>Development</t>
  </si>
  <si>
    <t>Preparation</t>
  </si>
  <si>
    <t>Management</t>
  </si>
  <si>
    <t>Costs of
Stay
(EUR)</t>
  </si>
  <si>
    <t>PR/PA</t>
  </si>
  <si>
    <t>Countries</t>
  </si>
  <si>
    <t>Budget Breakdown by Workpackage / Budget Headings</t>
  </si>
  <si>
    <t>DISTRIBUTION OF THE GRANT BY ORGANISATION (in EUR)</t>
  </si>
  <si>
    <t>Ukraine</t>
  </si>
  <si>
    <t>Russia</t>
  </si>
  <si>
    <t>Number of Days</t>
  </si>
  <si>
    <t>2-3. Travel Costs &amp; Costs of Stay</t>
  </si>
  <si>
    <t>Total (EUR)</t>
  </si>
  <si>
    <t>4. Equipment Costs</t>
  </si>
  <si>
    <t>5. Subcontracting Costs</t>
  </si>
  <si>
    <t>Subsistence Costs</t>
  </si>
  <si>
    <t>Subsistence
Costs
(EUR)</t>
  </si>
  <si>
    <t>2. Travel Costs</t>
  </si>
  <si>
    <t>3. Costs of Stay</t>
  </si>
  <si>
    <t>Item*</t>
  </si>
  <si>
    <t>Source of Co-financing**</t>
  </si>
  <si>
    <t>Justification***</t>
  </si>
  <si>
    <t>1. Staff 
Costs</t>
  </si>
  <si>
    <t>2. Travel 
Costs</t>
  </si>
  <si>
    <t>3. Costs of 
Stay</t>
  </si>
  <si>
    <t>4. Equipment 
Costs</t>
  </si>
  <si>
    <t>5. Subcontracting 
Costs</t>
  </si>
  <si>
    <t>B. Special Mobility 
Strand</t>
  </si>
  <si>
    <t>A. Grant for Project Activities</t>
  </si>
  <si>
    <t>Total Grant requested from the European Union (A + B)</t>
  </si>
  <si>
    <t>Programme Countries</t>
  </si>
  <si>
    <t>Partner Countries</t>
  </si>
  <si>
    <t>Total Number 
of Days</t>
  </si>
  <si>
    <t>Information for the Co-financing</t>
  </si>
  <si>
    <t>3. Costs 
of Stay</t>
  </si>
  <si>
    <t>4. Equipment
Costs</t>
  </si>
  <si>
    <t>5. Subcontracting
Costs</t>
  </si>
  <si>
    <t>B. Special 
Mobility Strand</t>
  </si>
  <si>
    <t>Budget Breakdown by Programme or Partner Countries / Budget Headings</t>
  </si>
  <si>
    <t>Partner
N°</t>
  </si>
  <si>
    <t>Budget Breakdown by Partner / Work Package</t>
  </si>
  <si>
    <t>Category</t>
  </si>
  <si>
    <t>Students from Partner Countries</t>
  </si>
  <si>
    <t>Students from Programme Countries</t>
  </si>
  <si>
    <t>Number of 
days</t>
  </si>
  <si>
    <t>Number of 
months (per participant)</t>
  </si>
  <si>
    <t>Staff from Partner Countries</t>
  </si>
  <si>
    <t>Staff from Programme Countries</t>
  </si>
  <si>
    <t>Staff</t>
  </si>
  <si>
    <t>Number of 
days (per participant)</t>
  </si>
  <si>
    <t>Student</t>
  </si>
  <si>
    <t>Unit cost 
per day</t>
  </si>
  <si>
    <t>Travel Distance</t>
  </si>
  <si>
    <t>Number of 
Participants</t>
  </si>
  <si>
    <t>Receiving country</t>
  </si>
  <si>
    <t>Student/
Staff</t>
  </si>
  <si>
    <t>Number of 
Days</t>
  </si>
  <si>
    <t>Partner N°</t>
  </si>
  <si>
    <t>Value cannot exceed 80% of total A</t>
  </si>
  <si>
    <t>Name of Partner
(to encode in overview sheet)</t>
  </si>
  <si>
    <t>Country
(to encode in overview sheet)</t>
  </si>
  <si>
    <t>Check
Data
Encoding</t>
  </si>
  <si>
    <t>* e.g.: Equipment,  Staff costs, travel costs and/or costs of stay, printing &amp; publishing</t>
  </si>
  <si>
    <t>** e.g.: governmental grant, organisation/institution's own resources</t>
  </si>
  <si>
    <t>*** e.g.: Preparation of training materials - 2 days x 7,5 hours x 3 persons x € 25</t>
  </si>
  <si>
    <t>EU GRANT REQUESTED FROM THE EUROPEAN UNION (in EUR)</t>
  </si>
  <si>
    <r>
      <rPr>
        <b/>
        <u/>
        <sz val="14"/>
        <rFont val="Arial Narrow"/>
        <family val="2"/>
      </rPr>
      <t>City</t>
    </r>
    <r>
      <rPr>
        <b/>
        <sz val="14"/>
        <rFont val="Arial Narrow"/>
        <family val="2"/>
      </rPr>
      <t xml:space="preserve"> of Departure</t>
    </r>
  </si>
  <si>
    <r>
      <rPr>
        <b/>
        <u/>
        <sz val="14"/>
        <rFont val="Arial Narrow"/>
        <family val="2"/>
      </rPr>
      <t>City</t>
    </r>
    <r>
      <rPr>
        <b/>
        <sz val="14"/>
        <rFont val="Arial Narrow"/>
        <family val="2"/>
      </rPr>
      <t xml:space="preserve"> of Destination</t>
    </r>
  </si>
  <si>
    <t>A.1 Staff Costs</t>
  </si>
  <si>
    <t>A.2 &amp; B Travel Costs</t>
  </si>
  <si>
    <t>A. 3 Costs of Stay</t>
  </si>
  <si>
    <t>A.4 Equipment</t>
  </si>
  <si>
    <t>A.5 Subcontracting</t>
  </si>
  <si>
    <t>B - Special Mobility Strand</t>
  </si>
  <si>
    <t>Subsistence costs for Special Mobility Strand</t>
  </si>
  <si>
    <t xml:space="preserve">* Link to CBHE Call for proposal, forms, annexes and guidelines: </t>
  </si>
  <si>
    <t>B. Special Mobility Strand - Student</t>
  </si>
  <si>
    <t>B. Special Mobility Strand - Staff</t>
  </si>
  <si>
    <t>former Yugoslav Republic of Macedonia</t>
  </si>
  <si>
    <t>Angola</t>
  </si>
  <si>
    <t>Antigua and Barbuda</t>
  </si>
  <si>
    <t>Bahamas</t>
  </si>
  <si>
    <t>Barbados</t>
  </si>
  <si>
    <t>Belize</t>
  </si>
  <si>
    <t>Benin</t>
  </si>
  <si>
    <t>Botswana</t>
  </si>
  <si>
    <t>Burkina Faso</t>
  </si>
  <si>
    <t>Burundi</t>
  </si>
  <si>
    <t>Cameroon</t>
  </si>
  <si>
    <t>Cape Verde</t>
  </si>
  <si>
    <t>Central African Republic</t>
  </si>
  <si>
    <t>Chad</t>
  </si>
  <si>
    <t>Comoros</t>
  </si>
  <si>
    <t>Congo</t>
  </si>
  <si>
    <t>Cook Islands</t>
  </si>
  <si>
    <t>Djibouti</t>
  </si>
  <si>
    <t>Dominica</t>
  </si>
  <si>
    <t>Dominican Republic</t>
  </si>
  <si>
    <t>Equatorial Guinea</t>
  </si>
  <si>
    <t>Eritrea</t>
  </si>
  <si>
    <t>Ethiopia</t>
  </si>
  <si>
    <t>Gabon</t>
  </si>
  <si>
    <t>Gambia</t>
  </si>
  <si>
    <t>Ghana</t>
  </si>
  <si>
    <t>Grenada</t>
  </si>
  <si>
    <t>Guinea</t>
  </si>
  <si>
    <t>Guinea-Bissau</t>
  </si>
  <si>
    <t>Guyana</t>
  </si>
  <si>
    <t>Haiti</t>
  </si>
  <si>
    <t>Ivory Coast</t>
  </si>
  <si>
    <t>Jamaica</t>
  </si>
  <si>
    <t>Kenya</t>
  </si>
  <si>
    <t>Kiribati</t>
  </si>
  <si>
    <t>Lesotho</t>
  </si>
  <si>
    <t>Liberia</t>
  </si>
  <si>
    <t>Madagascar</t>
  </si>
  <si>
    <t>Malawi</t>
  </si>
  <si>
    <t>Mali</t>
  </si>
  <si>
    <t>Marshall Islands</t>
  </si>
  <si>
    <t>Mauritania</t>
  </si>
  <si>
    <t>Mauritius</t>
  </si>
  <si>
    <t>Mozambique</t>
  </si>
  <si>
    <t>Myanmar</t>
  </si>
  <si>
    <t>Namibia</t>
  </si>
  <si>
    <t>Nauru</t>
  </si>
  <si>
    <t>Niger</t>
  </si>
  <si>
    <t>Nigeria</t>
  </si>
  <si>
    <t>Niue</t>
  </si>
  <si>
    <t>Palau</t>
  </si>
  <si>
    <t>Papua New Guinea</t>
  </si>
  <si>
    <t>Rwanda</t>
  </si>
  <si>
    <t>Saint Kitts and Nevis</t>
  </si>
  <si>
    <t>Saint Vincent and the Grenadines</t>
  </si>
  <si>
    <t>Samoa</t>
  </si>
  <si>
    <t>Sao Tome and Principe</t>
  </si>
  <si>
    <t>Senegal</t>
  </si>
  <si>
    <t>Seychelles</t>
  </si>
  <si>
    <t>Sierra Leone</t>
  </si>
  <si>
    <t>Somalia</t>
  </si>
  <si>
    <t>South Sudan</t>
  </si>
  <si>
    <t>Sudan</t>
  </si>
  <si>
    <t>Swaziland</t>
  </si>
  <si>
    <t>Tanzania</t>
  </si>
  <si>
    <t>Togo</t>
  </si>
  <si>
    <t>Tonga</t>
  </si>
  <si>
    <t>Trinidad and Tobago</t>
  </si>
  <si>
    <t>Tuvalu</t>
  </si>
  <si>
    <t>Uganda</t>
  </si>
  <si>
    <t>Vanuatu</t>
  </si>
  <si>
    <t>Zambia</t>
  </si>
  <si>
    <t>Zimbabwe</t>
  </si>
  <si>
    <t>0 KM and 99 KM</t>
  </si>
  <si>
    <t>Action Type</t>
  </si>
  <si>
    <t>Duration</t>
  </si>
  <si>
    <t>Structural Project</t>
  </si>
  <si>
    <t>Joint Project</t>
  </si>
  <si>
    <t>B. Additional Grant for Special Mobility Strand</t>
  </si>
  <si>
    <t>Number of Participants</t>
  </si>
  <si>
    <t>Work Package</t>
  </si>
  <si>
    <t>Students from Partner Countries
(per month)</t>
  </si>
  <si>
    <t>Students from Programme Countries
(per month)</t>
  </si>
  <si>
    <t>Staff from Programme Countries
(per day)</t>
  </si>
  <si>
    <t>Travel Costs Student (EUR)</t>
  </si>
  <si>
    <t>Costs of Stay Student (EUR)</t>
  </si>
  <si>
    <t>Travel Costs Staff (EUR)</t>
  </si>
  <si>
    <t>Costs of Stay Staff (EUR)</t>
  </si>
  <si>
    <t>Total Travel Costs (EUR)</t>
  </si>
  <si>
    <t>Total Costs of Stay (EUR)</t>
  </si>
  <si>
    <t>Amounts
(in EUR)</t>
  </si>
  <si>
    <t>Total 
Costs (in EUR)</t>
  </si>
  <si>
    <t>Country
SMS</t>
  </si>
  <si>
    <t>SMS</t>
  </si>
  <si>
    <t>Category 2</t>
  </si>
  <si>
    <t>Sri Lanka</t>
  </si>
  <si>
    <t>El Salvador</t>
  </si>
  <si>
    <t>CALL FOR PROPOSALS 2016 – EAC/A04/2015 - Erasmus+ Programme (2015/C 347/06)</t>
  </si>
  <si>
    <t>Capacity Building in the field of higher education</t>
  </si>
  <si>
    <t>http://ec.europa.eu/programmes/erasmus-plus/discover/guide/index_en.htm</t>
  </si>
  <si>
    <t>Contribution for the purchase of equipment necessary for the implementation of the project. Support is provided only for equipment purchased for the benefit of the HEIs in the Partner Countries. 
Conditional: the request for financial support to cover these costs must be motivated in the application form</t>
  </si>
  <si>
    <r>
      <t xml:space="preserve">Unit costs
</t>
    </r>
    <r>
      <rPr>
        <b/>
        <sz val="11"/>
        <color theme="1"/>
        <rFont val="Calibri"/>
        <family val="2"/>
      </rPr>
      <t>Contribution to the costs of staff performing tasks which are directly necessary to the achievements of the project's objectives.
Conditional: applicants will have to justify the type and volume of resources needed in relation to the implementation of the proposed activities and outputs. The contribution is provided on the  condition that the salary for the same tasks is compensated only once.</t>
    </r>
  </si>
  <si>
    <t>Administrative
Staff</t>
  </si>
  <si>
    <t>Administrative Staff</t>
  </si>
  <si>
    <t>Technical
Staff</t>
  </si>
  <si>
    <t>Technical Staff</t>
  </si>
  <si>
    <t>Unit costs based on the travel distance per participant. 
Travel distances must be calculated using the distance calculator supported by the European Commission . 
The applicant must indicate the distance of a one-way travel to calculate the amount of the EU grant that will support the round trip.</t>
  </si>
  <si>
    <t>Support for sub-contracting costs that are necessary to the implementation of the project, including, in particular, costs for the compulsory financial audits (audit certificate) and for any external quality assurance procedure.
Sub-contracting for project-management-related tasks is not eligible.
Sub-contracting to external bodies should be very occasional. The specific competences and particular expertise needed to reach the project objectives should be found in the consortium and should determine its composition.</t>
  </si>
  <si>
    <r>
      <rPr>
        <b/>
        <u/>
        <sz val="11"/>
        <color theme="1"/>
        <rFont val="Calibri"/>
        <family val="2"/>
      </rPr>
      <t>Travel costs (students and staff):</t>
    </r>
    <r>
      <rPr>
        <b/>
        <sz val="11"/>
        <color theme="1"/>
        <rFont val="Calibri"/>
        <family val="2"/>
      </rPr>
      <t xml:space="preserve">  Unit costs (please refer to unit costs in table A2).
Contribution to the travel costs of students and staff involved in the project, from their place of origin to the venue of the activity and return (including visa fee and related obligatory insurance, travel insurance and cancellation costs if justified).
Activities and related travels must be carried out in the countries involved in the project. Any exception to this rule must be authorised by the Agency. For the detailed list of eligible activities, see Annex I of this Guide.
</t>
    </r>
    <r>
      <rPr>
        <b/>
        <u/>
        <sz val="11"/>
        <color theme="1"/>
        <rFont val="Calibri"/>
        <family val="2"/>
      </rPr>
      <t xml:space="preserve">Subsistence costs: </t>
    </r>
    <r>
      <rPr>
        <b/>
        <sz val="11"/>
        <color theme="1"/>
        <rFont val="Calibri"/>
        <family val="2"/>
      </rPr>
      <t xml:space="preserve"> Unit costs based on the duration of the stay of the participants.
Costs for subsistence, accommodation, local and public transport such as bus and taxi, personal or optional health insurance. Based on the duration of the stay per participant.</t>
    </r>
  </si>
  <si>
    <t>Saint Lucia</t>
  </si>
  <si>
    <t>Quality Plan</t>
  </si>
  <si>
    <t>Staff from 
Partner Countries
(per day)</t>
  </si>
  <si>
    <r>
      <t xml:space="preserve">Costs for subsistence, accommodation, local and public transport such as bus and taxi, personal or optional health insurance.
Unit costs based on the duration of the stay of the participants:
</t>
    </r>
    <r>
      <rPr>
        <b/>
        <u/>
        <sz val="11"/>
        <color theme="1"/>
        <rFont val="Calibri"/>
        <family val="2"/>
      </rPr>
      <t>Staff:</t>
    </r>
    <r>
      <rPr>
        <b/>
        <sz val="11"/>
        <color theme="1"/>
        <rFont val="Calibri"/>
        <family val="2"/>
      </rPr>
      <t xml:space="preserve"> 
120 EUR/day from day 1 to day 14
70 EUR/day from day 15 to day 60
50 EUR/day from day 61 to day 90 (the maximum)
</t>
    </r>
    <r>
      <rPr>
        <b/>
        <u/>
        <sz val="11"/>
        <color theme="1"/>
        <rFont val="Calibri"/>
        <family val="2"/>
      </rPr>
      <t>Student:</t>
    </r>
    <r>
      <rPr>
        <b/>
        <sz val="11"/>
        <color theme="1"/>
        <rFont val="Calibri"/>
        <family val="2"/>
      </rPr>
      <t xml:space="preserve"> 
55 EUR/day from day 1 to day 14
40 EUR/day from day 15 to max day 90 (the maximum)</t>
    </r>
  </si>
  <si>
    <t xml:space="preserve">* Link to Erasmus+ Programme guide 2016: </t>
  </si>
  <si>
    <t>http://eacea.ec.europa.eu/erasmus-plus/funding/capacity-building-in-field-higher-education-eaca042015_en</t>
  </si>
  <si>
    <r>
      <rPr>
        <b/>
        <sz val="16"/>
        <rFont val="Calibri"/>
        <family val="2"/>
      </rPr>
      <t>UNIT COSTS AND SUMMARY OF THE FUNDING RULES FOR  JOINT AND STRUCTURAL CAPACITY BUILDING PROJECTS</t>
    </r>
    <r>
      <rPr>
        <b/>
        <sz val="12"/>
        <rFont val="Calibri"/>
        <family val="2"/>
      </rPr>
      <t xml:space="preserve">
You can find below the unit costs values used in this file for the calculation of the grant.
Please refer to the </t>
    </r>
    <r>
      <rPr>
        <b/>
        <i/>
        <sz val="12"/>
        <color theme="1"/>
        <rFont val="Calibri"/>
        <family val="2"/>
      </rPr>
      <t>Erasmus+ Programme guide 2016*</t>
    </r>
    <r>
      <rPr>
        <b/>
        <sz val="12"/>
        <color theme="1"/>
        <rFont val="Calibri"/>
        <family val="2"/>
      </rPr>
      <t xml:space="preserve"> </t>
    </r>
    <r>
      <rPr>
        <b/>
        <sz val="12"/>
        <rFont val="Calibri"/>
        <family val="2"/>
      </rPr>
      <t>for a complete overview of the funding rules applying to the Joint and Structural Capacity Building Projects</t>
    </r>
    <r>
      <rPr>
        <b/>
        <sz val="12"/>
        <color rgb="FFFF0000"/>
        <rFont val="Calibri"/>
        <family val="2"/>
      </rPr>
      <t xml:space="preserve"> </t>
    </r>
    <r>
      <rPr>
        <b/>
        <sz val="12"/>
        <color theme="1"/>
        <rFont val="Calibri"/>
        <family val="2"/>
      </rPr>
      <t>(Part B of the guide and Annex 1).</t>
    </r>
  </si>
  <si>
    <t>Dissemination &amp; Exploitation</t>
  </si>
  <si>
    <t>Fiji</t>
  </si>
  <si>
    <t>DPR Korea</t>
  </si>
  <si>
    <t>Solomon Islands</t>
  </si>
  <si>
    <t>Suriname</t>
  </si>
  <si>
    <t>Kazakstan</t>
  </si>
  <si>
    <t>Congo - Republic of the-</t>
  </si>
  <si>
    <t>Micronesia - Federated States of-</t>
  </si>
  <si>
    <t>Timor Leste - Republic of-</t>
  </si>
  <si>
    <t>100% of eligible costs
Max. 30% of the total grant</t>
  </si>
  <si>
    <t>100% of eligible costs
Max. 10% of the total grant</t>
  </si>
</sst>
</file>

<file path=xl/styles.xml><?xml version="1.0" encoding="utf-8"?>
<styleSheet xmlns="http://schemas.openxmlformats.org/spreadsheetml/2006/main" xmlns:mc="http://schemas.openxmlformats.org/markup-compatibility/2006" xmlns:x14ac="http://schemas.microsoft.com/office/spreadsheetml/2009/9/ac" mc:Ignorable="x14ac">
  <numFmts count="10">
    <numFmt numFmtId="43" formatCode="_ * #,##0.00_ ;_ * \-#,##0.00_ ;_ * &quot;-&quot;??_ ;_ @_ "/>
    <numFmt numFmtId="164" formatCode="#,##0_ ;\-#,##0\ "/>
    <numFmt numFmtId="165" formatCode="#,##0.0_ ;\-#,##0.0\ "/>
    <numFmt numFmtId="166" formatCode="#,##0.00_ ;\-#,##0.00\ "/>
    <numFmt numFmtId="167" formatCode="#,##0\ &quot;Participant(s)&quot;"/>
    <numFmt numFmtId="168" formatCode="&quot;Total Student (in EUR)&quot;\ #,##0.00"/>
    <numFmt numFmtId="169" formatCode="&quot;Total Staff (in EUR)&quot;\ #,##0.00"/>
    <numFmt numFmtId="170" formatCode="#,##0\ &quot;Student(s)&quot;"/>
    <numFmt numFmtId="171" formatCode="#,##0\ &quot;Staff&quot;"/>
    <numFmt numFmtId="172" formatCode="&quot;Total (Student+Staff)&quot;\ #,##0.00"/>
  </numFmts>
  <fonts count="38" x14ac:knownFonts="1">
    <font>
      <sz val="11"/>
      <color theme="1"/>
      <name val="Calibri"/>
      <family val="2"/>
      <scheme val="minor"/>
    </font>
    <font>
      <u/>
      <sz val="10"/>
      <color indexed="12"/>
      <name val="Arial"/>
      <family val="2"/>
    </font>
    <font>
      <sz val="11"/>
      <color theme="1"/>
      <name val="Calibri"/>
      <family val="2"/>
      <scheme val="minor"/>
    </font>
    <font>
      <sz val="10"/>
      <name val="Arial"/>
      <family val="2"/>
    </font>
    <font>
      <sz val="14"/>
      <name val="Arial Narrow"/>
      <family val="2"/>
    </font>
    <font>
      <b/>
      <sz val="14"/>
      <name val="Arial Narrow"/>
      <family val="2"/>
    </font>
    <font>
      <b/>
      <sz val="11"/>
      <color theme="1"/>
      <name val="Calibri"/>
      <family val="2"/>
      <scheme val="minor"/>
    </font>
    <font>
      <sz val="14"/>
      <color rgb="FFFF0000"/>
      <name val="Arial Narrow"/>
      <family val="2"/>
    </font>
    <font>
      <b/>
      <sz val="14"/>
      <color rgb="FFFF0000"/>
      <name val="Arial Narrow"/>
      <family val="2"/>
    </font>
    <font>
      <b/>
      <sz val="14"/>
      <color theme="1"/>
      <name val="Arial Narrow"/>
      <family val="2"/>
    </font>
    <font>
      <b/>
      <sz val="14"/>
      <color theme="0"/>
      <name val="Arial Narrow"/>
      <family val="2"/>
    </font>
    <font>
      <sz val="18"/>
      <name val="Arial Narrow"/>
      <family val="2"/>
    </font>
    <font>
      <b/>
      <sz val="18"/>
      <name val="Arial Narrow"/>
      <family val="2"/>
    </font>
    <font>
      <b/>
      <sz val="14"/>
      <name val="Arial"/>
      <family val="2"/>
    </font>
    <font>
      <sz val="14"/>
      <name val="Arial"/>
      <family val="2"/>
    </font>
    <font>
      <b/>
      <u/>
      <sz val="14"/>
      <name val="Arial Narrow"/>
      <family val="2"/>
    </font>
    <font>
      <sz val="14"/>
      <color theme="1"/>
      <name val="Arial Narrow"/>
      <family val="2"/>
    </font>
    <font>
      <sz val="14"/>
      <color theme="0"/>
      <name val="Arial Narrow"/>
      <family val="2"/>
    </font>
    <font>
      <i/>
      <sz val="14"/>
      <name val="Arial Narrow"/>
      <family val="2"/>
    </font>
    <font>
      <u/>
      <sz val="11"/>
      <color theme="10"/>
      <name val="Calibri"/>
      <family val="2"/>
      <scheme val="minor"/>
    </font>
    <font>
      <sz val="11"/>
      <color rgb="FFFF0000"/>
      <name val="Calibri"/>
      <family val="2"/>
      <scheme val="minor"/>
    </font>
    <font>
      <b/>
      <sz val="12"/>
      <color rgb="FFFF0000"/>
      <name val="Calibri"/>
      <family val="2"/>
    </font>
    <font>
      <u/>
      <sz val="10"/>
      <color rgb="FFFF0000"/>
      <name val="Arial"/>
      <family val="2"/>
    </font>
    <font>
      <u/>
      <sz val="11"/>
      <color rgb="FFFF0000"/>
      <name val="Calibri"/>
      <family val="2"/>
      <scheme val="minor"/>
    </font>
    <font>
      <sz val="14"/>
      <color rgb="FFFF0000"/>
      <name val="Calibri"/>
      <family val="2"/>
      <scheme val="minor"/>
    </font>
    <font>
      <sz val="12"/>
      <name val="Arial"/>
      <family val="2"/>
    </font>
    <font>
      <b/>
      <sz val="10"/>
      <name val="Calibri"/>
      <family val="2"/>
    </font>
    <font>
      <b/>
      <sz val="12"/>
      <name val="Calibri"/>
      <family val="2"/>
    </font>
    <font>
      <b/>
      <sz val="16"/>
      <name val="Calibri"/>
      <family val="2"/>
    </font>
    <font>
      <b/>
      <sz val="12"/>
      <name val="Calibri"/>
      <family val="2"/>
      <scheme val="minor"/>
    </font>
    <font>
      <b/>
      <sz val="14"/>
      <color theme="1"/>
      <name val="Calibri"/>
      <family val="2"/>
      <scheme val="minor"/>
    </font>
    <font>
      <b/>
      <u/>
      <sz val="11"/>
      <color theme="1"/>
      <name val="Calibri"/>
      <family val="2"/>
    </font>
    <font>
      <b/>
      <sz val="11"/>
      <color theme="1"/>
      <name val="Calibri"/>
      <family val="2"/>
    </font>
    <font>
      <b/>
      <sz val="12"/>
      <name val="Arial"/>
      <family val="2"/>
    </font>
    <font>
      <b/>
      <sz val="18"/>
      <color theme="1"/>
      <name val="Arial Narrow"/>
      <family val="2"/>
    </font>
    <font>
      <b/>
      <i/>
      <sz val="12"/>
      <color theme="1"/>
      <name val="Calibri"/>
      <family val="2"/>
    </font>
    <font>
      <b/>
      <sz val="12"/>
      <color theme="1"/>
      <name val="Calibri"/>
      <family val="2"/>
    </font>
    <font>
      <b/>
      <sz val="14"/>
      <color rgb="FFFF0000"/>
      <name val="Calibri"/>
      <family val="2"/>
    </font>
  </fonts>
  <fills count="10">
    <fill>
      <patternFill patternType="none"/>
    </fill>
    <fill>
      <patternFill patternType="gray125"/>
    </fill>
    <fill>
      <patternFill patternType="solid">
        <fgColor theme="6" tint="0.7999816888943144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rgb="FFFFFF00"/>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8" tint="0.59999389629810485"/>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style="thin">
        <color indexed="64"/>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style="thin">
        <color indexed="64"/>
      </top>
      <bottom/>
      <diagonal/>
    </border>
  </borders>
  <cellStyleXfs count="5">
    <xf numFmtId="0" fontId="0" fillId="0" borderId="0"/>
    <xf numFmtId="43" fontId="2" fillId="0" borderId="0" applyFont="0" applyFill="0" applyBorder="0" applyAlignment="0" applyProtection="0"/>
    <xf numFmtId="0" fontId="1" fillId="0" borderId="0" applyNumberFormat="0" applyFill="0" applyBorder="0" applyAlignment="0" applyProtection="0">
      <alignment vertical="top"/>
      <protection locked="0"/>
    </xf>
    <xf numFmtId="0" fontId="3" fillId="0" borderId="0"/>
    <xf numFmtId="0" fontId="19" fillId="0" borderId="0" applyNumberFormat="0" applyFill="0" applyBorder="0" applyAlignment="0" applyProtection="0"/>
  </cellStyleXfs>
  <cellXfs count="233">
    <xf numFmtId="0" fontId="0" fillId="0" borderId="0" xfId="0"/>
    <xf numFmtId="0" fontId="0" fillId="0" borderId="0" xfId="0" applyFont="1" applyProtection="1"/>
    <xf numFmtId="0" fontId="6" fillId="3" borderId="1" xfId="0" applyFont="1" applyFill="1" applyBorder="1" applyAlignment="1" applyProtection="1">
      <alignment horizontal="center" vertical="center"/>
    </xf>
    <xf numFmtId="0" fontId="6" fillId="3" borderId="1" xfId="0" applyFont="1" applyFill="1" applyBorder="1" applyAlignment="1" applyProtection="1">
      <alignment horizontal="center" vertical="center" wrapText="1"/>
    </xf>
    <xf numFmtId="0" fontId="0" fillId="0" borderId="1" xfId="0" applyFont="1" applyBorder="1" applyProtection="1"/>
    <xf numFmtId="4" fontId="0" fillId="0" borderId="1" xfId="0" applyNumberFormat="1" applyFont="1" applyBorder="1" applyProtection="1"/>
    <xf numFmtId="4" fontId="0" fillId="0" borderId="1" xfId="0" applyNumberFormat="1" applyFont="1" applyBorder="1" applyAlignment="1" applyProtection="1">
      <alignment horizontal="right" vertical="center"/>
    </xf>
    <xf numFmtId="4" fontId="0" fillId="0" borderId="1" xfId="0" applyNumberFormat="1" applyBorder="1" applyAlignment="1" applyProtection="1">
      <alignment vertical="center"/>
    </xf>
    <xf numFmtId="4" fontId="0" fillId="0" borderId="1" xfId="0" applyNumberFormat="1" applyBorder="1" applyAlignment="1" applyProtection="1">
      <alignment horizontal="right" vertical="center"/>
    </xf>
    <xf numFmtId="0" fontId="6" fillId="3" borderId="1" xfId="0" applyNumberFormat="1" applyFont="1" applyFill="1" applyBorder="1" applyAlignment="1" applyProtection="1">
      <alignment horizontal="center" vertical="center" wrapText="1"/>
    </xf>
    <xf numFmtId="0" fontId="0" fillId="0" borderId="0" xfId="0" applyFont="1" applyBorder="1" applyProtection="1"/>
    <xf numFmtId="0" fontId="0" fillId="0" borderId="0" xfId="0" applyFont="1" applyFill="1" applyBorder="1" applyProtection="1"/>
    <xf numFmtId="1" fontId="0" fillId="0" borderId="0" xfId="0" applyNumberFormat="1" applyFont="1" applyProtection="1"/>
    <xf numFmtId="1" fontId="0" fillId="0" borderId="1" xfId="0" applyNumberFormat="1" applyFont="1" applyFill="1" applyBorder="1" applyAlignment="1" applyProtection="1">
      <alignment horizontal="center" vertical="center"/>
    </xf>
    <xf numFmtId="4" fontId="0" fillId="0" borderId="0" xfId="0" applyNumberFormat="1" applyFont="1" applyFill="1" applyBorder="1" applyProtection="1"/>
    <xf numFmtId="0" fontId="5" fillId="3" borderId="1" xfId="0" applyFont="1" applyFill="1" applyBorder="1" applyAlignment="1" applyProtection="1">
      <alignment horizontal="center" vertical="center"/>
      <protection hidden="1"/>
    </xf>
    <xf numFmtId="0" fontId="4" fillId="0" borderId="0" xfId="0" applyFont="1" applyFill="1" applyBorder="1" applyAlignment="1" applyProtection="1"/>
    <xf numFmtId="0" fontId="4" fillId="0" borderId="0" xfId="0" applyFont="1" applyFill="1" applyBorder="1" applyAlignment="1" applyProtection="1">
      <alignment horizontal="left"/>
    </xf>
    <xf numFmtId="0" fontId="7" fillId="0" borderId="0" xfId="0" applyFont="1" applyFill="1" applyBorder="1" applyAlignment="1" applyProtection="1">
      <alignment vertical="center"/>
    </xf>
    <xf numFmtId="0" fontId="4" fillId="0" borderId="0" xfId="0" applyFont="1" applyBorder="1" applyAlignment="1" applyProtection="1">
      <protection hidden="1"/>
    </xf>
    <xf numFmtId="0" fontId="4" fillId="0" borderId="0" xfId="0" applyFont="1" applyAlignment="1" applyProtection="1">
      <protection hidden="1"/>
    </xf>
    <xf numFmtId="0" fontId="4" fillId="0" borderId="0" xfId="0" applyFont="1" applyAlignment="1" applyProtection="1"/>
    <xf numFmtId="0" fontId="5" fillId="0" borderId="0" xfId="0" applyFont="1" applyBorder="1" applyAlignment="1" applyProtection="1">
      <alignment horizontal="left" vertical="center"/>
      <protection hidden="1"/>
    </xf>
    <xf numFmtId="0" fontId="5" fillId="0" borderId="0" xfId="0" applyFont="1" applyAlignment="1" applyProtection="1">
      <protection hidden="1"/>
    </xf>
    <xf numFmtId="0" fontId="5" fillId="0" borderId="0" xfId="0" applyFont="1" applyBorder="1" applyAlignment="1" applyProtection="1">
      <protection hidden="1"/>
    </xf>
    <xf numFmtId="0" fontId="4" fillId="0" borderId="0" xfId="0" applyFont="1" applyBorder="1" applyAlignment="1" applyProtection="1">
      <alignment horizontal="center"/>
      <protection hidden="1"/>
    </xf>
    <xf numFmtId="0" fontId="5" fillId="5" borderId="1" xfId="0" applyFont="1" applyFill="1" applyBorder="1" applyAlignment="1" applyProtection="1">
      <alignment horizontal="center" vertical="center"/>
      <protection locked="0"/>
    </xf>
    <xf numFmtId="0" fontId="4" fillId="0" borderId="0" xfId="0" applyFont="1" applyFill="1" applyAlignment="1" applyProtection="1">
      <protection hidden="1"/>
    </xf>
    <xf numFmtId="166" fontId="5" fillId="0" borderId="1" xfId="0" applyNumberFormat="1" applyFont="1" applyBorder="1" applyAlignment="1" applyProtection="1">
      <alignment horizontal="right" vertical="center"/>
      <protection hidden="1"/>
    </xf>
    <xf numFmtId="166" fontId="5" fillId="3" borderId="1" xfId="0" applyNumberFormat="1" applyFont="1" applyFill="1" applyBorder="1" applyAlignment="1" applyProtection="1">
      <alignment horizontal="right" vertical="center"/>
      <protection hidden="1"/>
    </xf>
    <xf numFmtId="0" fontId="5" fillId="0" borderId="0" xfId="0" applyFont="1" applyFill="1" applyBorder="1" applyAlignment="1" applyProtection="1">
      <alignment horizontal="left" vertical="center"/>
      <protection hidden="1"/>
    </xf>
    <xf numFmtId="43" fontId="5" fillId="0" borderId="0" xfId="0" applyNumberFormat="1" applyFont="1" applyFill="1" applyBorder="1" applyAlignment="1" applyProtection="1">
      <alignment horizontal="right" vertical="center"/>
      <protection hidden="1"/>
    </xf>
    <xf numFmtId="0" fontId="10" fillId="0" borderId="0" xfId="0" applyNumberFormat="1" applyFont="1" applyFill="1" applyBorder="1" applyAlignment="1" applyProtection="1">
      <alignment horizontal="left" vertical="center"/>
      <protection hidden="1"/>
    </xf>
    <xf numFmtId="4" fontId="9" fillId="0" borderId="0" xfId="0" applyNumberFormat="1" applyFont="1" applyFill="1" applyBorder="1" applyAlignment="1" applyProtection="1">
      <alignment horizontal="left" vertical="center"/>
      <protection hidden="1"/>
    </xf>
    <xf numFmtId="0" fontId="5" fillId="3" borderId="1" xfId="0" applyFont="1" applyFill="1" applyBorder="1" applyAlignment="1" applyProtection="1">
      <alignment horizontal="center" vertical="center" wrapText="1"/>
      <protection hidden="1"/>
    </xf>
    <xf numFmtId="3" fontId="5" fillId="3" borderId="1" xfId="0" applyNumberFormat="1" applyFont="1" applyFill="1" applyBorder="1" applyAlignment="1" applyProtection="1">
      <alignment horizontal="center" vertical="center"/>
      <protection hidden="1"/>
    </xf>
    <xf numFmtId="3" fontId="5" fillId="3" borderId="1" xfId="0" applyNumberFormat="1" applyFont="1" applyFill="1" applyBorder="1" applyAlignment="1" applyProtection="1">
      <alignment horizontal="center" vertical="center" wrapText="1"/>
      <protection hidden="1"/>
    </xf>
    <xf numFmtId="3" fontId="5" fillId="6" borderId="1" xfId="0" applyNumberFormat="1" applyFont="1" applyFill="1" applyBorder="1" applyAlignment="1" applyProtection="1">
      <alignment horizontal="center" vertical="center" wrapText="1"/>
      <protection hidden="1"/>
    </xf>
    <xf numFmtId="0" fontId="9" fillId="3" borderId="1" xfId="0" applyFont="1" applyFill="1" applyBorder="1" applyAlignment="1" applyProtection="1">
      <alignment horizontal="center" vertical="center" wrapText="1"/>
    </xf>
    <xf numFmtId="0" fontId="4" fillId="5" borderId="1" xfId="0" applyNumberFormat="1" applyFont="1" applyFill="1" applyBorder="1" applyAlignment="1" applyProtection="1">
      <alignment horizontal="left" vertical="center"/>
      <protection locked="0"/>
    </xf>
    <xf numFmtId="0" fontId="4" fillId="0" borderId="1" xfId="0" applyNumberFormat="1" applyFont="1" applyFill="1" applyBorder="1" applyAlignment="1" applyProtection="1">
      <alignment horizontal="left" vertical="center"/>
    </xf>
    <xf numFmtId="43" fontId="4" fillId="0" borderId="1" xfId="1" applyNumberFormat="1" applyFont="1" applyFill="1" applyBorder="1" applyAlignment="1" applyProtection="1">
      <alignment horizontal="right" vertical="center"/>
      <protection hidden="1"/>
    </xf>
    <xf numFmtId="43" fontId="4" fillId="6" borderId="1" xfId="1" applyNumberFormat="1" applyFont="1" applyFill="1" applyBorder="1" applyAlignment="1" applyProtection="1">
      <alignment horizontal="right" vertical="center"/>
      <protection hidden="1"/>
    </xf>
    <xf numFmtId="43" fontId="5" fillId="3" borderId="1" xfId="1" applyNumberFormat="1" applyFont="1" applyFill="1" applyBorder="1" applyAlignment="1" applyProtection="1">
      <alignment horizontal="right" vertical="center"/>
      <protection hidden="1"/>
    </xf>
    <xf numFmtId="0" fontId="4" fillId="5" borderId="1" xfId="0" applyNumberFormat="1" applyFont="1" applyFill="1" applyBorder="1" applyAlignment="1" applyProtection="1">
      <alignment horizontal="left" vertical="center" wrapText="1"/>
      <protection locked="0"/>
    </xf>
    <xf numFmtId="0" fontId="4" fillId="5" borderId="1" xfId="0" applyNumberFormat="1" applyFont="1" applyFill="1" applyBorder="1" applyAlignment="1" applyProtection="1">
      <alignment horizontal="center" vertical="center"/>
      <protection locked="0"/>
    </xf>
    <xf numFmtId="0" fontId="5" fillId="0" borderId="0" xfId="0" applyFont="1" applyFill="1" applyBorder="1" applyAlignment="1" applyProtection="1"/>
    <xf numFmtId="0" fontId="5" fillId="0" borderId="3" xfId="0" applyFont="1" applyFill="1" applyBorder="1" applyAlignment="1" applyProtection="1"/>
    <xf numFmtId="0" fontId="5" fillId="0" borderId="6" xfId="0" applyFont="1" applyFill="1" applyBorder="1" applyAlignment="1" applyProtection="1"/>
    <xf numFmtId="10" fontId="5" fillId="0" borderId="6" xfId="0" applyNumberFormat="1" applyFont="1" applyFill="1" applyBorder="1" applyAlignment="1" applyProtection="1">
      <alignment horizontal="center" vertical="center"/>
      <protection hidden="1"/>
    </xf>
    <xf numFmtId="10" fontId="5" fillId="0" borderId="7" xfId="0" applyNumberFormat="1"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0" fontId="5" fillId="0" borderId="1" xfId="0" applyNumberFormat="1" applyFont="1" applyFill="1" applyBorder="1" applyAlignment="1" applyProtection="1">
      <alignment horizontal="left" vertical="center"/>
    </xf>
    <xf numFmtId="43" fontId="4" fillId="0" borderId="1" xfId="0" applyNumberFormat="1" applyFont="1" applyFill="1" applyBorder="1" applyAlignment="1" applyProtection="1">
      <alignment horizontal="right" vertical="center"/>
      <protection hidden="1"/>
    </xf>
    <xf numFmtId="43" fontId="4" fillId="0" borderId="1" xfId="0" applyNumberFormat="1" applyFont="1" applyFill="1" applyBorder="1" applyAlignment="1" applyProtection="1">
      <alignment horizontal="right" vertical="center"/>
    </xf>
    <xf numFmtId="43" fontId="5" fillId="3" borderId="1" xfId="0" applyNumberFormat="1" applyFont="1" applyFill="1" applyBorder="1" applyAlignment="1" applyProtection="1">
      <alignment horizontal="right" vertical="center"/>
    </xf>
    <xf numFmtId="3" fontId="5" fillId="3" borderId="1" xfId="0" applyNumberFormat="1" applyFont="1" applyFill="1" applyBorder="1" applyAlignment="1" applyProtection="1">
      <alignment horizontal="right" vertical="center"/>
      <protection hidden="1"/>
    </xf>
    <xf numFmtId="43" fontId="5" fillId="6" borderId="1" xfId="0" applyNumberFormat="1" applyFont="1" applyFill="1" applyBorder="1" applyAlignment="1" applyProtection="1">
      <alignment horizontal="right" vertical="center"/>
    </xf>
    <xf numFmtId="0" fontId="4" fillId="0" borderId="3" xfId="0" applyFont="1" applyFill="1" applyBorder="1" applyAlignment="1" applyProtection="1"/>
    <xf numFmtId="0" fontId="4" fillId="0" borderId="6" xfId="0" applyFont="1" applyFill="1" applyBorder="1" applyAlignment="1" applyProtection="1"/>
    <xf numFmtId="0" fontId="4" fillId="0" borderId="7" xfId="0" applyFont="1" applyFill="1" applyBorder="1" applyAlignment="1" applyProtection="1"/>
    <xf numFmtId="43" fontId="4" fillId="6" borderId="1" xfId="0" applyNumberFormat="1" applyFont="1" applyFill="1" applyBorder="1" applyAlignment="1" applyProtection="1">
      <alignment horizontal="right" vertical="center"/>
      <protection hidden="1"/>
    </xf>
    <xf numFmtId="0" fontId="4" fillId="0" borderId="5" xfId="0" applyFont="1" applyFill="1" applyBorder="1" applyAlignment="1" applyProtection="1"/>
    <xf numFmtId="0" fontId="4" fillId="0" borderId="9" xfId="0" applyFont="1" applyFill="1" applyBorder="1" applyAlignment="1" applyProtection="1"/>
    <xf numFmtId="43" fontId="5" fillId="0" borderId="1" xfId="0" applyNumberFormat="1" applyFont="1" applyFill="1" applyBorder="1" applyAlignment="1" applyProtection="1">
      <alignment horizontal="right" vertical="center"/>
      <protection hidden="1"/>
    </xf>
    <xf numFmtId="0" fontId="5" fillId="3" borderId="1" xfId="0" applyFont="1" applyFill="1" applyBorder="1" applyAlignment="1" applyProtection="1">
      <alignment horizontal="right" vertical="center"/>
      <protection hidden="1"/>
    </xf>
    <xf numFmtId="43" fontId="5" fillId="3" borderId="13" xfId="0" applyNumberFormat="1" applyFont="1" applyFill="1" applyBorder="1" applyAlignment="1" applyProtection="1">
      <alignment horizontal="right" vertical="center"/>
      <protection hidden="1"/>
    </xf>
    <xf numFmtId="0" fontId="5" fillId="0" borderId="9" xfId="0" applyFont="1" applyFill="1" applyBorder="1" applyAlignment="1" applyProtection="1"/>
    <xf numFmtId="165" fontId="14" fillId="0" borderId="1" xfId="0" applyNumberFormat="1" applyFont="1" applyFill="1" applyBorder="1" applyAlignment="1" applyProtection="1">
      <alignment horizontal="right" vertical="center"/>
      <protection hidden="1"/>
    </xf>
    <xf numFmtId="165" fontId="13" fillId="3" borderId="1" xfId="0" applyNumberFormat="1" applyFont="1" applyFill="1" applyBorder="1" applyAlignment="1" applyProtection="1">
      <alignment horizontal="right" vertical="center"/>
      <protection hidden="1"/>
    </xf>
    <xf numFmtId="166" fontId="13" fillId="3" borderId="1" xfId="0" applyNumberFormat="1" applyFont="1" applyFill="1" applyBorder="1" applyAlignment="1" applyProtection="1">
      <alignment horizontal="right" vertical="center"/>
      <protection hidden="1"/>
    </xf>
    <xf numFmtId="0" fontId="5" fillId="0" borderId="7" xfId="0" applyFont="1" applyFill="1" applyBorder="1" applyAlignment="1" applyProtection="1"/>
    <xf numFmtId="0" fontId="5" fillId="3" borderId="1" xfId="2" applyFont="1" applyFill="1" applyBorder="1" applyAlignment="1" applyProtection="1">
      <alignment horizontal="center" vertical="center" wrapText="1"/>
      <protection hidden="1"/>
    </xf>
    <xf numFmtId="0" fontId="4" fillId="5" borderId="1" xfId="0" applyNumberFormat="1" applyFont="1" applyFill="1" applyBorder="1" applyAlignment="1" applyProtection="1">
      <alignment horizontal="center" vertical="center"/>
      <protection locked="0" hidden="1"/>
    </xf>
    <xf numFmtId="165" fontId="4" fillId="5" borderId="1" xfId="0" applyNumberFormat="1" applyFont="1" applyFill="1" applyBorder="1" applyAlignment="1" applyProtection="1">
      <alignment horizontal="center" vertical="center"/>
      <protection locked="0"/>
    </xf>
    <xf numFmtId="4" fontId="4" fillId="0" borderId="1" xfId="0" applyNumberFormat="1" applyFont="1" applyFill="1" applyBorder="1" applyAlignment="1" applyProtection="1">
      <alignment horizontal="right" vertical="center"/>
      <protection hidden="1"/>
    </xf>
    <xf numFmtId="4" fontId="4" fillId="0" borderId="1" xfId="1" applyNumberFormat="1" applyFont="1" applyFill="1" applyBorder="1" applyAlignment="1" applyProtection="1">
      <alignment horizontal="right" vertical="center"/>
      <protection hidden="1"/>
    </xf>
    <xf numFmtId="4" fontId="4" fillId="3" borderId="1" xfId="1" applyNumberFormat="1" applyFont="1" applyFill="1" applyBorder="1" applyAlignment="1" applyProtection="1">
      <alignment horizontal="right" vertical="center"/>
      <protection hidden="1"/>
    </xf>
    <xf numFmtId="4" fontId="4" fillId="3" borderId="1" xfId="0" applyNumberFormat="1" applyFont="1" applyFill="1" applyBorder="1" applyAlignment="1" applyProtection="1">
      <alignment horizontal="right" vertical="center"/>
      <protection hidden="1"/>
    </xf>
    <xf numFmtId="0" fontId="5" fillId="0" borderId="1" xfId="0" applyFont="1" applyFill="1" applyBorder="1" applyAlignment="1" applyProtection="1">
      <alignment horizontal="center" vertical="center"/>
    </xf>
    <xf numFmtId="0" fontId="4" fillId="0" borderId="0" xfId="0" applyFont="1" applyFill="1" applyBorder="1" applyAlignment="1" applyProtection="1">
      <alignment vertical="center"/>
    </xf>
    <xf numFmtId="0" fontId="5" fillId="0" borderId="5" xfId="0" applyFont="1" applyFill="1" applyBorder="1" applyAlignment="1" applyProtection="1"/>
    <xf numFmtId="166" fontId="4" fillId="5" borderId="1" xfId="0" applyNumberFormat="1" applyFont="1" applyFill="1" applyBorder="1" applyAlignment="1" applyProtection="1">
      <alignment horizontal="right" vertical="center"/>
      <protection locked="0"/>
    </xf>
    <xf numFmtId="166" fontId="4" fillId="4" borderId="1" xfId="0" applyNumberFormat="1" applyFont="1" applyFill="1" applyBorder="1" applyAlignment="1" applyProtection="1">
      <alignment horizontal="right" vertical="center"/>
    </xf>
    <xf numFmtId="0" fontId="4" fillId="5" borderId="1" xfId="0" applyNumberFormat="1" applyFont="1" applyFill="1" applyBorder="1" applyAlignment="1" applyProtection="1">
      <alignment horizontal="left" vertical="center"/>
      <protection locked="0" hidden="1"/>
    </xf>
    <xf numFmtId="0" fontId="16" fillId="5" borderId="1" xfId="0" applyNumberFormat="1" applyFont="1" applyFill="1" applyBorder="1" applyAlignment="1" applyProtection="1">
      <alignment horizontal="left" vertical="center"/>
      <protection locked="0" hidden="1"/>
    </xf>
    <xf numFmtId="164" fontId="16" fillId="5" borderId="1" xfId="0" applyNumberFormat="1" applyFont="1" applyFill="1" applyBorder="1" applyAlignment="1" applyProtection="1">
      <alignment horizontal="center" vertical="center"/>
      <protection locked="0" hidden="1"/>
    </xf>
    <xf numFmtId="166" fontId="4" fillId="0" borderId="1" xfId="0" applyNumberFormat="1" applyFont="1" applyFill="1" applyBorder="1" applyAlignment="1" applyProtection="1">
      <alignment horizontal="right" vertical="center"/>
      <protection hidden="1"/>
    </xf>
    <xf numFmtId="166" fontId="4" fillId="0" borderId="1" xfId="0" applyNumberFormat="1" applyFont="1" applyFill="1" applyBorder="1" applyAlignment="1" applyProtection="1">
      <alignment horizontal="right" vertical="center"/>
    </xf>
    <xf numFmtId="166" fontId="4" fillId="3" borderId="1" xfId="0" applyNumberFormat="1" applyFont="1" applyFill="1" applyBorder="1" applyAlignment="1" applyProtection="1">
      <alignment horizontal="right" vertical="center"/>
      <protection hidden="1"/>
    </xf>
    <xf numFmtId="0" fontId="17" fillId="0" borderId="0" xfId="0" applyFont="1" applyFill="1" applyBorder="1" applyAlignment="1" applyProtection="1"/>
    <xf numFmtId="0" fontId="10" fillId="0" borderId="0" xfId="0" applyFont="1" applyFill="1" applyBorder="1" applyAlignment="1" applyProtection="1"/>
    <xf numFmtId="0" fontId="5" fillId="0" borderId="0" xfId="0" applyNumberFormat="1" applyFont="1" applyFill="1" applyBorder="1" applyAlignment="1" applyProtection="1">
      <alignment vertical="center"/>
      <protection hidden="1"/>
    </xf>
    <xf numFmtId="0" fontId="10" fillId="0" borderId="0" xfId="0" applyFont="1" applyFill="1" applyBorder="1" applyAlignment="1" applyProtection="1">
      <alignment horizontal="center"/>
    </xf>
    <xf numFmtId="43" fontId="5" fillId="0" borderId="0" xfId="0" applyNumberFormat="1" applyFont="1" applyFill="1" applyBorder="1" applyAlignment="1" applyProtection="1">
      <alignment vertical="center"/>
      <protection hidden="1"/>
    </xf>
    <xf numFmtId="0" fontId="4" fillId="5" borderId="1" xfId="0" applyNumberFormat="1" applyFont="1" applyFill="1" applyBorder="1" applyAlignment="1" applyProtection="1">
      <alignment horizontal="left" vertical="center" wrapText="1"/>
      <protection locked="0" hidden="1"/>
    </xf>
    <xf numFmtId="0" fontId="18" fillId="0" borderId="0" xfId="0" applyFont="1" applyAlignment="1" applyProtection="1"/>
    <xf numFmtId="0" fontId="0" fillId="0" borderId="0" xfId="0" applyFont="1" applyAlignment="1" applyProtection="1">
      <alignment vertical="center"/>
    </xf>
    <xf numFmtId="0" fontId="0" fillId="7" borderId="1" xfId="0" applyFont="1" applyFill="1" applyBorder="1" applyProtection="1"/>
    <xf numFmtId="4" fontId="0" fillId="8" borderId="1" xfId="0" applyNumberFormat="1" applyFont="1" applyFill="1" applyBorder="1" applyProtection="1"/>
    <xf numFmtId="4" fontId="0" fillId="2" borderId="1" xfId="0" applyNumberFormat="1" applyFont="1" applyFill="1" applyBorder="1" applyProtection="1"/>
    <xf numFmtId="4" fontId="0" fillId="7" borderId="1" xfId="0" applyNumberFormat="1" applyFont="1" applyFill="1" applyBorder="1" applyAlignment="1" applyProtection="1">
      <alignment horizontal="right"/>
    </xf>
    <xf numFmtId="1" fontId="0" fillId="0" borderId="12" xfId="0" applyNumberFormat="1" applyFont="1" applyFill="1" applyBorder="1" applyAlignment="1" applyProtection="1">
      <alignment horizontal="center" vertical="center"/>
    </xf>
    <xf numFmtId="0" fontId="0" fillId="0" borderId="1" xfId="0" applyFont="1" applyBorder="1" applyAlignment="1" applyProtection="1">
      <alignment horizontal="left" vertical="center"/>
    </xf>
    <xf numFmtId="0" fontId="0" fillId="0" borderId="1" xfId="0" applyNumberFormat="1" applyFont="1" applyBorder="1" applyAlignment="1" applyProtection="1">
      <alignment horizontal="left" vertical="center"/>
    </xf>
    <xf numFmtId="0" fontId="0" fillId="0" borderId="1" xfId="0" applyNumberFormat="1" applyFont="1" applyFill="1" applyBorder="1" applyAlignment="1" applyProtection="1">
      <alignment horizontal="left" vertical="center"/>
    </xf>
    <xf numFmtId="3" fontId="9" fillId="0" borderId="1" xfId="0" applyNumberFormat="1" applyFont="1" applyFill="1" applyBorder="1" applyAlignment="1" applyProtection="1">
      <alignment horizontal="center" vertical="center"/>
      <protection hidden="1"/>
    </xf>
    <xf numFmtId="4" fontId="5" fillId="0" borderId="1" xfId="0" applyNumberFormat="1" applyFont="1" applyFill="1" applyBorder="1" applyAlignment="1" applyProtection="1">
      <alignment horizontal="right" vertical="center" indent="1"/>
      <protection hidden="1"/>
    </xf>
    <xf numFmtId="0" fontId="6" fillId="0" borderId="0" xfId="0" applyFont="1" applyFill="1" applyBorder="1" applyAlignment="1" applyProtection="1">
      <alignment vertical="center"/>
    </xf>
    <xf numFmtId="0" fontId="0" fillId="0" borderId="0" xfId="0" applyFont="1" applyFill="1" applyBorder="1" applyAlignment="1" applyProtection="1">
      <alignment vertical="center"/>
    </xf>
    <xf numFmtId="0" fontId="23" fillId="0" borderId="0" xfId="4" applyFont="1" applyBorder="1" applyAlignment="1" applyProtection="1">
      <alignment vertical="center"/>
    </xf>
    <xf numFmtId="0" fontId="24" fillId="0" borderId="0" xfId="0" applyFont="1" applyAlignment="1" applyProtection="1">
      <alignment vertical="center"/>
    </xf>
    <xf numFmtId="0" fontId="20" fillId="0" borderId="0" xfId="0" applyFont="1" applyAlignment="1" applyProtection="1">
      <alignment horizontal="left" vertical="center"/>
    </xf>
    <xf numFmtId="0" fontId="20" fillId="0" borderId="0" xfId="0" applyFont="1" applyAlignment="1" applyProtection="1">
      <alignment vertical="center"/>
    </xf>
    <xf numFmtId="4" fontId="14" fillId="0" borderId="1" xfId="0" applyNumberFormat="1" applyFont="1" applyFill="1" applyBorder="1" applyAlignment="1" applyProtection="1">
      <alignment vertical="center"/>
      <protection hidden="1"/>
    </xf>
    <xf numFmtId="4" fontId="14" fillId="0" borderId="12" xfId="0" applyNumberFormat="1" applyFont="1" applyFill="1" applyBorder="1" applyAlignment="1" applyProtection="1">
      <alignment vertical="center"/>
      <protection hidden="1"/>
    </xf>
    <xf numFmtId="0" fontId="0" fillId="0" borderId="1" xfId="0" applyFont="1" applyBorder="1" applyAlignment="1" applyProtection="1">
      <alignment horizontal="center" vertical="center"/>
    </xf>
    <xf numFmtId="0" fontId="5" fillId="0" borderId="0" xfId="0" applyFont="1" applyFill="1" applyBorder="1" applyAlignment="1" applyProtection="1">
      <alignment horizontal="center"/>
    </xf>
    <xf numFmtId="10" fontId="5" fillId="3" borderId="1" xfId="0" applyNumberFormat="1" applyFont="1" applyFill="1" applyBorder="1" applyAlignment="1" applyProtection="1">
      <alignment horizontal="center" vertical="center"/>
      <protection hidden="1"/>
    </xf>
    <xf numFmtId="10" fontId="5" fillId="0" borderId="0" xfId="0" applyNumberFormat="1" applyFont="1" applyFill="1" applyBorder="1" applyAlignment="1" applyProtection="1">
      <alignment horizontal="center" vertical="center"/>
      <protection hidden="1"/>
    </xf>
    <xf numFmtId="0" fontId="26" fillId="0" borderId="0" xfId="0" applyFont="1" applyFill="1" applyBorder="1" applyAlignment="1" applyProtection="1">
      <alignment horizontal="left" vertical="center" wrapText="1"/>
    </xf>
    <xf numFmtId="4" fontId="0" fillId="9" borderId="1" xfId="0" applyNumberFormat="1" applyFont="1" applyFill="1" applyBorder="1" applyAlignment="1" applyProtection="1">
      <alignment horizontal="right"/>
    </xf>
    <xf numFmtId="0" fontId="5" fillId="3" borderId="1"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10" fontId="5" fillId="0" borderId="0" xfId="0" applyNumberFormat="1" applyFont="1" applyFill="1" applyBorder="1" applyAlignment="1" applyProtection="1">
      <alignment horizontal="center" vertical="center"/>
      <protection hidden="1"/>
    </xf>
    <xf numFmtId="0" fontId="5" fillId="0" borderId="0" xfId="0" applyFont="1" applyFill="1" applyBorder="1" applyAlignment="1" applyProtection="1">
      <alignment horizontal="center"/>
    </xf>
    <xf numFmtId="166" fontId="14" fillId="0" borderId="1" xfId="0" applyNumberFormat="1" applyFont="1" applyFill="1" applyBorder="1" applyAlignment="1" applyProtection="1">
      <alignment horizontal="right" vertical="center"/>
      <protection hidden="1"/>
    </xf>
    <xf numFmtId="0" fontId="0" fillId="7" borderId="1" xfId="0" applyFont="1" applyFill="1" applyBorder="1" applyAlignment="1" applyProtection="1">
      <alignment horizontal="left" vertical="center"/>
    </xf>
    <xf numFmtId="4" fontId="0" fillId="7" borderId="1" xfId="0" applyNumberFormat="1" applyFont="1" applyFill="1" applyBorder="1" applyAlignment="1" applyProtection="1">
      <alignment horizontal="right" vertical="center"/>
    </xf>
    <xf numFmtId="4" fontId="0" fillId="7" borderId="1" xfId="0" applyNumberFormat="1" applyFill="1" applyBorder="1" applyAlignment="1" applyProtection="1">
      <alignment vertical="center"/>
    </xf>
    <xf numFmtId="4" fontId="0" fillId="7" borderId="1" xfId="0" applyNumberFormat="1" applyFill="1" applyBorder="1" applyAlignment="1" applyProtection="1">
      <alignment horizontal="right" vertical="center"/>
    </xf>
    <xf numFmtId="0" fontId="0" fillId="8" borderId="1" xfId="0" applyFont="1" applyFill="1" applyBorder="1" applyAlignment="1" applyProtection="1">
      <alignment horizontal="left" vertical="center"/>
    </xf>
    <xf numFmtId="4" fontId="0" fillId="8" borderId="1" xfId="0" applyNumberFormat="1" applyFont="1" applyFill="1" applyBorder="1" applyAlignment="1" applyProtection="1">
      <alignment horizontal="right" vertical="center"/>
    </xf>
    <xf numFmtId="4" fontId="0" fillId="8" borderId="1" xfId="0" applyNumberFormat="1" applyFill="1" applyBorder="1" applyAlignment="1" applyProtection="1">
      <alignment vertical="center"/>
    </xf>
    <xf numFmtId="4" fontId="0" fillId="8" borderId="1" xfId="0" applyNumberFormat="1" applyFill="1" applyBorder="1" applyAlignment="1" applyProtection="1">
      <alignment horizontal="right" vertical="center"/>
    </xf>
    <xf numFmtId="0" fontId="0" fillId="8" borderId="1" xfId="0" applyFont="1" applyFill="1" applyBorder="1" applyProtection="1"/>
    <xf numFmtId="4" fontId="0" fillId="7" borderId="1" xfId="0" applyNumberFormat="1" applyFont="1" applyFill="1" applyBorder="1" applyProtection="1"/>
    <xf numFmtId="0" fontId="4" fillId="0" borderId="1" xfId="0" applyNumberFormat="1" applyFont="1" applyFill="1" applyBorder="1" applyAlignment="1" applyProtection="1">
      <alignment horizontal="left" vertical="center" wrapText="1"/>
      <protection hidden="1"/>
    </xf>
    <xf numFmtId="0" fontId="16" fillId="0" borderId="1" xfId="0" applyNumberFormat="1" applyFont="1" applyFill="1" applyBorder="1" applyAlignment="1" applyProtection="1">
      <alignment horizontal="left" vertical="center" wrapText="1"/>
      <protection hidden="1"/>
    </xf>
    <xf numFmtId="0" fontId="16" fillId="5" borderId="1" xfId="0" applyNumberFormat="1" applyFont="1" applyFill="1" applyBorder="1" applyAlignment="1" applyProtection="1">
      <alignment horizontal="left" vertical="center" wrapText="1"/>
      <protection locked="0" hidden="1"/>
    </xf>
    <xf numFmtId="0" fontId="12" fillId="3" borderId="1" xfId="0" applyNumberFormat="1" applyFont="1" applyFill="1" applyBorder="1" applyAlignment="1" applyProtection="1">
      <alignment horizontal="center" vertical="center"/>
      <protection hidden="1"/>
    </xf>
    <xf numFmtId="0" fontId="5" fillId="0" borderId="1" xfId="0" applyFont="1" applyBorder="1" applyAlignment="1" applyProtection="1">
      <alignment horizontal="left" vertical="center" indent="1"/>
      <protection hidden="1"/>
    </xf>
    <xf numFmtId="0" fontId="5" fillId="3" borderId="1" xfId="0" applyFont="1" applyFill="1" applyBorder="1" applyAlignment="1" applyProtection="1">
      <alignment horizontal="left" vertical="center" indent="1"/>
      <protection hidden="1"/>
    </xf>
    <xf numFmtId="4" fontId="9" fillId="3" borderId="1" xfId="0" applyNumberFormat="1" applyFont="1" applyFill="1" applyBorder="1" applyAlignment="1" applyProtection="1">
      <alignment horizontal="left" vertical="center" indent="1"/>
      <protection hidden="1"/>
    </xf>
    <xf numFmtId="10" fontId="8" fillId="3" borderId="1" xfId="0" applyNumberFormat="1" applyFont="1" applyFill="1" applyBorder="1" applyAlignment="1" applyProtection="1">
      <alignment horizontal="left" vertical="center"/>
      <protection hidden="1"/>
    </xf>
    <xf numFmtId="4" fontId="9" fillId="0" borderId="1" xfId="0" applyNumberFormat="1" applyFont="1" applyBorder="1" applyAlignment="1" applyProtection="1">
      <alignment horizontal="left" vertical="center" indent="1"/>
      <protection hidden="1"/>
    </xf>
    <xf numFmtId="166" fontId="5" fillId="0" borderId="1" xfId="0" applyNumberFormat="1" applyFont="1" applyFill="1" applyBorder="1" applyAlignment="1" applyProtection="1">
      <alignment horizontal="right" vertical="center"/>
      <protection hidden="1"/>
    </xf>
    <xf numFmtId="0" fontId="11" fillId="3" borderId="1" xfId="0" applyFont="1" applyFill="1" applyBorder="1" applyAlignment="1" applyProtection="1">
      <alignment horizontal="center" vertical="center"/>
      <protection hidden="1"/>
    </xf>
    <xf numFmtId="0" fontId="34" fillId="3" borderId="1" xfId="0" applyFont="1" applyFill="1" applyBorder="1" applyAlignment="1" applyProtection="1">
      <alignment horizontal="center" vertical="center"/>
      <protection hidden="1"/>
    </xf>
    <xf numFmtId="0" fontId="11" fillId="3" borderId="1" xfId="2" applyFont="1" applyFill="1" applyBorder="1" applyAlignment="1" applyProtection="1">
      <alignment horizontal="center" vertical="center"/>
      <protection hidden="1"/>
    </xf>
    <xf numFmtId="0" fontId="8" fillId="0" borderId="1" xfId="0" applyFont="1" applyFill="1" applyBorder="1" applyAlignment="1" applyProtection="1">
      <alignment horizontal="left" vertical="center" indent="1"/>
    </xf>
    <xf numFmtId="0" fontId="5" fillId="5" borderId="2" xfId="0" applyFont="1" applyFill="1" applyBorder="1" applyAlignment="1" applyProtection="1">
      <alignment horizontal="left" vertical="center"/>
      <protection locked="0"/>
    </xf>
    <xf numFmtId="0" fontId="5" fillId="5" borderId="14" xfId="0" applyFont="1" applyFill="1" applyBorder="1" applyAlignment="1" applyProtection="1">
      <alignment horizontal="left" vertical="center"/>
      <protection locked="0"/>
    </xf>
    <xf numFmtId="0" fontId="5" fillId="5" borderId="13" xfId="0" applyFont="1" applyFill="1" applyBorder="1" applyAlignment="1" applyProtection="1">
      <alignment horizontal="left" vertical="center"/>
      <protection locked="0"/>
    </xf>
    <xf numFmtId="0" fontId="5" fillId="3" borderId="1" xfId="0" applyFont="1" applyFill="1" applyBorder="1" applyAlignment="1" applyProtection="1">
      <alignment horizontal="center" vertical="center" wrapText="1"/>
      <protection hidden="1"/>
    </xf>
    <xf numFmtId="0" fontId="5" fillId="3" borderId="1" xfId="0"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wrapText="1"/>
      <protection hidden="1"/>
    </xf>
    <xf numFmtId="10" fontId="12" fillId="3" borderId="1" xfId="0" applyNumberFormat="1" applyFont="1" applyFill="1" applyBorder="1" applyAlignment="1" applyProtection="1">
      <alignment horizontal="center" vertical="center"/>
      <protection hidden="1"/>
    </xf>
    <xf numFmtId="0" fontId="5" fillId="3" borderId="12" xfId="0" applyFont="1" applyFill="1" applyBorder="1" applyAlignment="1" applyProtection="1">
      <alignment horizontal="center" vertical="center"/>
      <protection hidden="1"/>
    </xf>
    <xf numFmtId="0" fontId="5" fillId="3" borderId="3" xfId="0" applyFont="1" applyFill="1" applyBorder="1" applyAlignment="1" applyProtection="1">
      <alignment horizontal="center" vertical="center" wrapText="1"/>
      <protection hidden="1"/>
    </xf>
    <xf numFmtId="0" fontId="5" fillId="3" borderId="6" xfId="0" applyFont="1" applyFill="1" applyBorder="1" applyAlignment="1" applyProtection="1">
      <alignment horizontal="center" vertical="center" wrapText="1"/>
      <protection hidden="1"/>
    </xf>
    <xf numFmtId="0" fontId="5" fillId="3" borderId="7" xfId="0" applyFont="1" applyFill="1" applyBorder="1" applyAlignment="1" applyProtection="1">
      <alignment horizontal="center" vertical="center" wrapText="1"/>
      <protection hidden="1"/>
    </xf>
    <xf numFmtId="0" fontId="5" fillId="0" borderId="3" xfId="0" applyFont="1" applyFill="1" applyBorder="1" applyAlignment="1" applyProtection="1">
      <alignment horizontal="center"/>
    </xf>
    <xf numFmtId="0" fontId="5" fillId="0" borderId="6" xfId="0" applyFont="1" applyFill="1" applyBorder="1" applyAlignment="1" applyProtection="1">
      <alignment horizontal="center"/>
    </xf>
    <xf numFmtId="10" fontId="5" fillId="0" borderId="0" xfId="0" applyNumberFormat="1" applyFont="1" applyFill="1" applyBorder="1" applyAlignment="1" applyProtection="1">
      <alignment horizontal="center" vertical="center"/>
      <protection hidden="1"/>
    </xf>
    <xf numFmtId="10" fontId="5" fillId="0" borderId="9" xfId="0" applyNumberFormat="1" applyFont="1" applyFill="1" applyBorder="1" applyAlignment="1" applyProtection="1">
      <alignment horizontal="center" vertical="center"/>
      <protection hidden="1"/>
    </xf>
    <xf numFmtId="10" fontId="33" fillId="3" borderId="1" xfId="0" applyNumberFormat="1" applyFont="1" applyFill="1" applyBorder="1" applyAlignment="1" applyProtection="1">
      <alignment horizontal="left" vertical="center"/>
      <protection hidden="1"/>
    </xf>
    <xf numFmtId="10" fontId="33" fillId="3" borderId="2" xfId="0" applyNumberFormat="1" applyFont="1" applyFill="1" applyBorder="1" applyAlignment="1" applyProtection="1">
      <alignment horizontal="left" vertical="center"/>
      <protection hidden="1"/>
    </xf>
    <xf numFmtId="10" fontId="33" fillId="3" borderId="2" xfId="0" applyNumberFormat="1" applyFont="1" applyFill="1" applyBorder="1" applyAlignment="1" applyProtection="1">
      <alignment horizontal="left" vertical="center" wrapText="1"/>
      <protection hidden="1"/>
    </xf>
    <xf numFmtId="10" fontId="33" fillId="3" borderId="13" xfId="0" applyNumberFormat="1" applyFont="1" applyFill="1" applyBorder="1" applyAlignment="1" applyProtection="1">
      <alignment horizontal="left" vertical="center" wrapText="1"/>
      <protection hidden="1"/>
    </xf>
    <xf numFmtId="0" fontId="5" fillId="0" borderId="7" xfId="0" applyFont="1" applyFill="1" applyBorder="1" applyAlignment="1" applyProtection="1">
      <alignment horizontal="center"/>
    </xf>
    <xf numFmtId="0" fontId="13" fillId="0" borderId="4" xfId="0" applyFont="1" applyFill="1" applyBorder="1" applyAlignment="1" applyProtection="1">
      <alignment horizontal="center"/>
    </xf>
    <xf numFmtId="0" fontId="13" fillId="0" borderId="8" xfId="0" applyFont="1" applyFill="1" applyBorder="1" applyAlignment="1" applyProtection="1">
      <alignment horizontal="center"/>
    </xf>
    <xf numFmtId="0" fontId="5" fillId="0" borderId="5" xfId="0" applyFont="1" applyFill="1" applyBorder="1" applyAlignment="1" applyProtection="1">
      <alignment horizontal="center"/>
    </xf>
    <xf numFmtId="0" fontId="5" fillId="0" borderId="0" xfId="0" applyFont="1" applyFill="1" applyBorder="1" applyAlignment="1" applyProtection="1">
      <alignment horizontal="center"/>
    </xf>
    <xf numFmtId="172" fontId="25" fillId="0" borderId="11" xfId="0" applyNumberFormat="1" applyFont="1" applyFill="1" applyBorder="1" applyAlignment="1" applyProtection="1">
      <alignment horizontal="right" vertical="center" indent="1"/>
      <protection hidden="1"/>
    </xf>
    <xf numFmtId="172" fontId="25" fillId="0" borderId="12" xfId="0" applyNumberFormat="1" applyFont="1" applyFill="1" applyBorder="1" applyAlignment="1" applyProtection="1">
      <alignment horizontal="right" vertical="center" indent="1"/>
      <protection hidden="1"/>
    </xf>
    <xf numFmtId="169" fontId="25" fillId="0" borderId="10" xfId="0" applyNumberFormat="1" applyFont="1" applyFill="1" applyBorder="1" applyAlignment="1" applyProtection="1">
      <alignment horizontal="right" vertical="center" indent="1"/>
      <protection hidden="1"/>
    </xf>
    <xf numFmtId="169" fontId="25" fillId="0" borderId="12" xfId="0" applyNumberFormat="1" applyFont="1" applyFill="1" applyBorder="1" applyAlignment="1" applyProtection="1">
      <alignment horizontal="right" vertical="center" indent="1"/>
      <protection hidden="1"/>
    </xf>
    <xf numFmtId="168" fontId="25" fillId="0" borderId="10" xfId="0" applyNumberFormat="1" applyFont="1" applyFill="1" applyBorder="1" applyAlignment="1" applyProtection="1">
      <alignment horizontal="right" vertical="center" indent="1"/>
      <protection hidden="1"/>
    </xf>
    <xf numFmtId="168" fontId="25" fillId="0" borderId="12" xfId="0" applyNumberFormat="1" applyFont="1" applyFill="1" applyBorder="1" applyAlignment="1" applyProtection="1">
      <alignment horizontal="right" vertical="center" indent="1"/>
      <protection hidden="1"/>
    </xf>
    <xf numFmtId="0" fontId="33" fillId="3" borderId="3" xfId="0" applyFont="1" applyFill="1" applyBorder="1" applyAlignment="1" applyProtection="1">
      <alignment horizontal="left" vertical="center"/>
    </xf>
    <xf numFmtId="0" fontId="33" fillId="3" borderId="6" xfId="0" applyFont="1" applyFill="1" applyBorder="1" applyAlignment="1" applyProtection="1">
      <alignment horizontal="left" vertical="center"/>
    </xf>
    <xf numFmtId="0" fontId="33" fillId="3" borderId="2" xfId="0" applyFont="1" applyFill="1" applyBorder="1" applyAlignment="1" applyProtection="1">
      <alignment horizontal="left" vertical="center"/>
    </xf>
    <xf numFmtId="0" fontId="33" fillId="3" borderId="14" xfId="0" applyFont="1" applyFill="1" applyBorder="1" applyAlignment="1" applyProtection="1">
      <alignment horizontal="left" vertical="center"/>
    </xf>
    <xf numFmtId="0" fontId="5" fillId="3" borderId="12" xfId="2" applyFont="1" applyFill="1" applyBorder="1" applyAlignment="1" applyProtection="1">
      <alignment horizontal="center" vertical="center"/>
      <protection hidden="1"/>
    </xf>
    <xf numFmtId="0" fontId="5" fillId="3" borderId="1" xfId="2" applyFont="1" applyFill="1" applyBorder="1" applyAlignment="1" applyProtection="1">
      <alignment horizontal="center" vertical="center"/>
      <protection hidden="1"/>
    </xf>
    <xf numFmtId="0" fontId="5" fillId="3" borderId="12" xfId="2" applyFont="1" applyFill="1" applyBorder="1" applyAlignment="1" applyProtection="1">
      <alignment horizontal="center" vertical="center" wrapText="1"/>
      <protection hidden="1"/>
    </xf>
    <xf numFmtId="167" fontId="25" fillId="0" borderId="9" xfId="0" applyNumberFormat="1" applyFont="1" applyFill="1" applyBorder="1" applyAlignment="1" applyProtection="1">
      <alignment horizontal="right" vertical="center" indent="1"/>
      <protection hidden="1"/>
    </xf>
    <xf numFmtId="167" fontId="25" fillId="0" borderId="7" xfId="0" applyNumberFormat="1" applyFont="1" applyFill="1" applyBorder="1" applyAlignment="1" applyProtection="1">
      <alignment horizontal="right" vertical="center" indent="1"/>
      <protection hidden="1"/>
    </xf>
    <xf numFmtId="171" fontId="25" fillId="0" borderId="8" xfId="0" applyNumberFormat="1" applyFont="1" applyFill="1" applyBorder="1" applyAlignment="1" applyProtection="1">
      <alignment horizontal="right" vertical="center" indent="1"/>
      <protection hidden="1"/>
    </xf>
    <xf numFmtId="171" fontId="25" fillId="0" borderId="7" xfId="0" applyNumberFormat="1" applyFont="1" applyFill="1" applyBorder="1" applyAlignment="1" applyProtection="1">
      <alignment horizontal="right" vertical="center" indent="1"/>
      <protection hidden="1"/>
    </xf>
    <xf numFmtId="170" fontId="25" fillId="0" borderId="8" xfId="0" applyNumberFormat="1" applyFont="1" applyFill="1" applyBorder="1" applyAlignment="1" applyProtection="1">
      <alignment horizontal="right" vertical="center" indent="1"/>
      <protection hidden="1"/>
    </xf>
    <xf numFmtId="170" fontId="25" fillId="0" borderId="7" xfId="0" applyNumberFormat="1" applyFont="1" applyFill="1" applyBorder="1" applyAlignment="1" applyProtection="1">
      <alignment horizontal="right" vertical="center" indent="1"/>
      <protection hidden="1"/>
    </xf>
    <xf numFmtId="0" fontId="5" fillId="3" borderId="10" xfId="0" applyFont="1" applyFill="1" applyBorder="1" applyAlignment="1" applyProtection="1">
      <alignment horizontal="center" vertical="center" wrapText="1"/>
      <protection hidden="1"/>
    </xf>
    <xf numFmtId="0" fontId="13" fillId="3" borderId="10" xfId="0" applyFont="1" applyFill="1" applyBorder="1" applyAlignment="1" applyProtection="1">
      <alignment horizontal="center" vertical="center"/>
    </xf>
    <xf numFmtId="0" fontId="13" fillId="3" borderId="11" xfId="0" applyFont="1" applyFill="1" applyBorder="1" applyAlignment="1" applyProtection="1">
      <alignment horizontal="center" vertical="center"/>
    </xf>
    <xf numFmtId="0" fontId="13" fillId="3" borderId="12" xfId="0" applyFont="1" applyFill="1" applyBorder="1" applyAlignment="1" applyProtection="1">
      <alignment horizontal="center" vertical="center"/>
    </xf>
    <xf numFmtId="166" fontId="14" fillId="0" borderId="4" xfId="0" applyNumberFormat="1" applyFont="1" applyFill="1" applyBorder="1" applyAlignment="1" applyProtection="1">
      <alignment horizontal="right" vertical="center"/>
      <protection hidden="1"/>
    </xf>
    <xf numFmtId="166" fontId="14" fillId="0" borderId="8" xfId="0" applyNumberFormat="1" applyFont="1" applyFill="1" applyBorder="1" applyAlignment="1" applyProtection="1">
      <alignment horizontal="right" vertical="center"/>
      <protection hidden="1"/>
    </xf>
    <xf numFmtId="166" fontId="14" fillId="0" borderId="5" xfId="0" applyNumberFormat="1" applyFont="1" applyFill="1" applyBorder="1" applyAlignment="1" applyProtection="1">
      <alignment horizontal="right" vertical="center"/>
      <protection hidden="1"/>
    </xf>
    <xf numFmtId="166" fontId="14" fillId="0" borderId="9" xfId="0" applyNumberFormat="1" applyFont="1" applyFill="1" applyBorder="1" applyAlignment="1" applyProtection="1">
      <alignment horizontal="right" vertical="center"/>
      <protection hidden="1"/>
    </xf>
    <xf numFmtId="166" fontId="14" fillId="0" borderId="3" xfId="0" applyNumberFormat="1" applyFont="1" applyFill="1" applyBorder="1" applyAlignment="1" applyProtection="1">
      <alignment horizontal="right" vertical="center"/>
      <protection hidden="1"/>
    </xf>
    <xf numFmtId="166" fontId="14" fillId="0" borderId="7" xfId="0" applyNumberFormat="1" applyFont="1" applyFill="1" applyBorder="1" applyAlignment="1" applyProtection="1">
      <alignment horizontal="right" vertical="center"/>
      <protection hidden="1"/>
    </xf>
    <xf numFmtId="0" fontId="33" fillId="3" borderId="1" xfId="0" applyFont="1" applyFill="1" applyBorder="1" applyAlignment="1" applyProtection="1">
      <alignment horizontal="left" vertical="center"/>
    </xf>
    <xf numFmtId="166" fontId="14" fillId="0" borderId="1" xfId="0" applyNumberFormat="1" applyFont="1" applyFill="1" applyBorder="1" applyAlignment="1" applyProtection="1">
      <alignment horizontal="right" vertical="center"/>
      <protection hidden="1"/>
    </xf>
    <xf numFmtId="166" fontId="14" fillId="0" borderId="10" xfId="0" applyNumberFormat="1" applyFont="1" applyFill="1" applyBorder="1" applyAlignment="1" applyProtection="1">
      <alignment horizontal="right" vertical="center"/>
      <protection hidden="1"/>
    </xf>
    <xf numFmtId="166" fontId="14" fillId="0" borderId="11" xfId="0" applyNumberFormat="1" applyFont="1" applyFill="1" applyBorder="1" applyAlignment="1" applyProtection="1">
      <alignment horizontal="right" vertical="center"/>
      <protection hidden="1"/>
    </xf>
    <xf numFmtId="166" fontId="14" fillId="0" borderId="12" xfId="0" applyNumberFormat="1" applyFont="1" applyFill="1" applyBorder="1" applyAlignment="1" applyProtection="1">
      <alignment horizontal="right" vertical="center"/>
      <protection hidden="1"/>
    </xf>
    <xf numFmtId="43" fontId="4" fillId="6" borderId="10" xfId="0" applyNumberFormat="1" applyFont="1" applyFill="1" applyBorder="1" applyAlignment="1" applyProtection="1">
      <alignment horizontal="center" vertical="center"/>
    </xf>
    <xf numFmtId="43" fontId="4" fillId="6" borderId="11" xfId="0" applyNumberFormat="1" applyFont="1" applyFill="1" applyBorder="1" applyAlignment="1" applyProtection="1">
      <alignment horizontal="center" vertical="center"/>
    </xf>
    <xf numFmtId="43" fontId="4" fillId="6" borderId="12" xfId="0" applyNumberFormat="1" applyFont="1" applyFill="1" applyBorder="1" applyAlignment="1" applyProtection="1">
      <alignment horizontal="center" vertical="center"/>
    </xf>
    <xf numFmtId="0" fontId="6" fillId="3" borderId="1" xfId="0" applyFont="1" applyFill="1" applyBorder="1" applyAlignment="1" applyProtection="1">
      <alignment horizontal="center" vertical="center"/>
    </xf>
    <xf numFmtId="0" fontId="6" fillId="3" borderId="2" xfId="0" applyFont="1" applyFill="1" applyBorder="1" applyAlignment="1" applyProtection="1">
      <alignment horizontal="center" vertical="center" wrapText="1"/>
    </xf>
    <xf numFmtId="0" fontId="6" fillId="3" borderId="13" xfId="0" applyFont="1" applyFill="1" applyBorder="1" applyAlignment="1" applyProtection="1">
      <alignment horizontal="center" vertical="center"/>
    </xf>
    <xf numFmtId="0" fontId="6" fillId="3" borderId="14" xfId="0" applyFont="1" applyFill="1" applyBorder="1" applyAlignment="1" applyProtection="1">
      <alignment horizontal="center" vertical="center" wrapText="1"/>
    </xf>
    <xf numFmtId="0" fontId="6" fillId="3" borderId="4" xfId="0" applyFont="1" applyFill="1" applyBorder="1" applyAlignment="1" applyProtection="1">
      <alignment horizontal="left" vertical="center" wrapText="1" indent="1"/>
    </xf>
    <xf numFmtId="0" fontId="6" fillId="3" borderId="15" xfId="0" applyFont="1" applyFill="1" applyBorder="1" applyAlignment="1" applyProtection="1">
      <alignment horizontal="left" vertical="center" wrapText="1" indent="1"/>
    </xf>
    <xf numFmtId="0" fontId="6" fillId="3" borderId="8" xfId="0" applyFont="1" applyFill="1" applyBorder="1" applyAlignment="1" applyProtection="1">
      <alignment horizontal="left" vertical="center" wrapText="1" indent="1"/>
    </xf>
    <xf numFmtId="0" fontId="6" fillId="3" borderId="3" xfId="0" applyFont="1" applyFill="1" applyBorder="1" applyAlignment="1" applyProtection="1">
      <alignment horizontal="left" vertical="center" wrapText="1" indent="1"/>
    </xf>
    <xf numFmtId="0" fontId="6" fillId="3" borderId="6" xfId="0" applyFont="1" applyFill="1" applyBorder="1" applyAlignment="1" applyProtection="1">
      <alignment horizontal="left" vertical="center" wrapText="1" indent="1"/>
    </xf>
    <xf numFmtId="0" fontId="6" fillId="3" borderId="7" xfId="0" applyFont="1" applyFill="1" applyBorder="1" applyAlignment="1" applyProtection="1">
      <alignment horizontal="left" vertical="center" wrapText="1" indent="1"/>
    </xf>
    <xf numFmtId="0" fontId="32" fillId="3" borderId="2" xfId="0" applyFont="1" applyFill="1" applyBorder="1" applyAlignment="1" applyProtection="1">
      <alignment horizontal="left" vertical="center" wrapText="1" indent="1"/>
    </xf>
    <xf numFmtId="0" fontId="6" fillId="3" borderId="14" xfId="0" applyFont="1" applyFill="1" applyBorder="1" applyAlignment="1" applyProtection="1">
      <alignment horizontal="left" vertical="center" indent="1"/>
    </xf>
    <xf numFmtId="0" fontId="6" fillId="3" borderId="13" xfId="0" applyFont="1" applyFill="1" applyBorder="1" applyAlignment="1" applyProtection="1">
      <alignment horizontal="left" vertical="center" indent="1"/>
    </xf>
    <xf numFmtId="0" fontId="6" fillId="3" borderId="13" xfId="0" applyFont="1" applyFill="1" applyBorder="1" applyAlignment="1" applyProtection="1">
      <alignment horizontal="center" vertical="center" wrapText="1"/>
    </xf>
    <xf numFmtId="0" fontId="27" fillId="0" borderId="0" xfId="0" applyFont="1" applyAlignment="1" applyProtection="1">
      <alignment horizontal="left" vertical="center" wrapText="1"/>
    </xf>
    <xf numFmtId="0" fontId="29" fillId="0" borderId="0" xfId="0" applyFont="1" applyAlignment="1" applyProtection="1">
      <alignment horizontal="left" vertical="center"/>
    </xf>
    <xf numFmtId="0" fontId="30" fillId="3" borderId="1" xfId="0" applyFont="1" applyFill="1" applyBorder="1" applyAlignment="1" applyProtection="1">
      <alignment horizontal="center" vertical="center"/>
    </xf>
    <xf numFmtId="0" fontId="1" fillId="0" borderId="0" xfId="2" applyBorder="1" applyAlignment="1" applyProtection="1">
      <alignment horizontal="left" vertical="center" wrapText="1"/>
      <protection locked="0"/>
    </xf>
    <xf numFmtId="0" fontId="22" fillId="0" borderId="0" xfId="2" applyFont="1" applyBorder="1" applyAlignment="1" applyProtection="1">
      <alignment horizontal="left" vertical="center" wrapText="1"/>
      <protection locked="0"/>
    </xf>
    <xf numFmtId="0" fontId="1" fillId="0" borderId="0" xfId="2" applyBorder="1" applyAlignment="1" applyProtection="1">
      <alignment horizontal="left" vertical="center"/>
      <protection locked="0"/>
    </xf>
    <xf numFmtId="0" fontId="22" fillId="0" borderId="0" xfId="2" applyFont="1" applyBorder="1" applyAlignment="1" applyProtection="1">
      <alignment horizontal="left" vertical="center"/>
      <protection locked="0"/>
    </xf>
  </cellXfs>
  <cellStyles count="5">
    <cellStyle name="Comma" xfId="1" builtinId="3"/>
    <cellStyle name="Hyperlink" xfId="2" builtinId="8"/>
    <cellStyle name="Hyperlink 2" xfId="4"/>
    <cellStyle name="Normal" xfId="0" builtinId="0"/>
    <cellStyle name="Normal 2" xfId="3"/>
  </cellStyles>
  <dxfs count="48">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fill>
        <patternFill>
          <bgColor indexed="13"/>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color theme="1"/>
      </font>
      <fill>
        <patternFill>
          <bgColor rgb="FFFF0000"/>
        </patternFill>
      </fill>
    </dxf>
    <dxf>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
      <font>
        <b/>
        <i val="0"/>
        <color theme="1"/>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161925</xdr:colOff>
      <xdr:row>1</xdr:row>
      <xdr:rowOff>152400</xdr:rowOff>
    </xdr:from>
    <xdr:to>
      <xdr:col>1</xdr:col>
      <xdr:colOff>161925</xdr:colOff>
      <xdr:row>4</xdr:row>
      <xdr:rowOff>6164</xdr:rowOff>
    </xdr:to>
    <xdr:pic>
      <xdr:nvPicPr>
        <xdr:cNvPr id="2" name="Picture 8" descr="educ-traini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6225" y="314325"/>
          <a:ext cx="0" cy="542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1</xdr:row>
      <xdr:rowOff>0</xdr:rowOff>
    </xdr:from>
    <xdr:to>
      <xdr:col>2</xdr:col>
      <xdr:colOff>2385532</xdr:colOff>
      <xdr:row>4</xdr:row>
      <xdr:rowOff>165520</xdr:rowOff>
    </xdr:to>
    <xdr:pic>
      <xdr:nvPicPr>
        <xdr:cNvPr id="5" name="Picture 4"/>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2059" y="156882"/>
          <a:ext cx="3057885" cy="86028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225" name="Button 1" hidden="1">
              <a:extLst>
                <a:ext uri="{63B3BB69-23CF-44E3-9099-C40C66FF867C}">
                  <a14:compatExt spid="_x0000_s322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3226" name="Button 2" hidden="1">
              <a:extLst>
                <a:ext uri="{63B3BB69-23CF-44E3-9099-C40C66FF867C}">
                  <a14:compatExt spid="_x0000_s322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552450</xdr:colOff>
          <xdr:row>1</xdr:row>
          <xdr:rowOff>85725</xdr:rowOff>
        </xdr:from>
        <xdr:to>
          <xdr:col>3</xdr:col>
          <xdr:colOff>1638300</xdr:colOff>
          <xdr:row>1</xdr:row>
          <xdr:rowOff>438150</xdr:rowOff>
        </xdr:to>
        <xdr:sp macro="" textlink="">
          <xdr:nvSpPr>
            <xdr:cNvPr id="5152" name="Button 3" hidden="1">
              <a:extLst>
                <a:ext uri="{63B3BB69-23CF-44E3-9099-C40C66FF867C}">
                  <a14:compatExt spid="_x0000_s515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5153" name="Button 1" hidden="1">
              <a:extLst>
                <a:ext uri="{63B3BB69-23CF-44E3-9099-C40C66FF867C}">
                  <a14:compatExt spid="_x0000_s515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5154" name="Button 2" hidden="1">
              <a:extLst>
                <a:ext uri="{63B3BB69-23CF-44E3-9099-C40C66FF867C}">
                  <a14:compatExt spid="_x0000_s515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8208" name="Button 1" hidden="1">
              <a:extLst>
                <a:ext uri="{63B3BB69-23CF-44E3-9099-C40C66FF867C}">
                  <a14:compatExt spid="_x0000_s8208"/>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8209" name="Button 2" hidden="1">
              <a:extLst>
                <a:ext uri="{63B3BB69-23CF-44E3-9099-C40C66FF867C}">
                  <a14:compatExt spid="_x0000_s8209"/>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4831" name="Button 1" hidden="1">
              <a:extLst>
                <a:ext uri="{63B3BB69-23CF-44E3-9099-C40C66FF867C}">
                  <a14:compatExt spid="_x0000_s3483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466725</xdr:colOff>
          <xdr:row>1</xdr:row>
          <xdr:rowOff>438150</xdr:rowOff>
        </xdr:to>
        <xdr:sp macro="" textlink="">
          <xdr:nvSpPr>
            <xdr:cNvPr id="34832" name="Button 2" hidden="1">
              <a:extLst>
                <a:ext uri="{63B3BB69-23CF-44E3-9099-C40C66FF867C}">
                  <a14:compatExt spid="_x0000_s3483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1485900</xdr:colOff>
          <xdr:row>1</xdr:row>
          <xdr:rowOff>85725</xdr:rowOff>
        </xdr:from>
        <xdr:to>
          <xdr:col>2</xdr:col>
          <xdr:colOff>3286125</xdr:colOff>
          <xdr:row>1</xdr:row>
          <xdr:rowOff>438150</xdr:rowOff>
        </xdr:to>
        <xdr:sp macro="" textlink="">
          <xdr:nvSpPr>
            <xdr:cNvPr id="23572" name="Button 3" hidden="1">
              <a:extLst>
                <a:ext uri="{63B3BB69-23CF-44E3-9099-C40C66FF867C}">
                  <a14:compatExt spid="_x0000_s2357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23573" name="Button 1" hidden="1">
              <a:extLst>
                <a:ext uri="{63B3BB69-23CF-44E3-9099-C40C66FF867C}">
                  <a14:compatExt spid="_x0000_s23573"/>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1400175</xdr:colOff>
          <xdr:row>1</xdr:row>
          <xdr:rowOff>438150</xdr:rowOff>
        </xdr:to>
        <xdr:sp macro="" textlink="">
          <xdr:nvSpPr>
            <xdr:cNvPr id="23574" name="Button 2" hidden="1">
              <a:extLst>
                <a:ext uri="{63B3BB69-23CF-44E3-9099-C40C66FF867C}">
                  <a14:compatExt spid="_x0000_s23574"/>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1485900</xdr:colOff>
          <xdr:row>1</xdr:row>
          <xdr:rowOff>85725</xdr:rowOff>
        </xdr:from>
        <xdr:to>
          <xdr:col>2</xdr:col>
          <xdr:colOff>3286125</xdr:colOff>
          <xdr:row>1</xdr:row>
          <xdr:rowOff>438150</xdr:rowOff>
        </xdr:to>
        <xdr:sp macro="" textlink="">
          <xdr:nvSpPr>
            <xdr:cNvPr id="36880" name="Button 3" hidden="1">
              <a:extLst>
                <a:ext uri="{63B3BB69-23CF-44E3-9099-C40C66FF867C}">
                  <a14:compatExt spid="_x0000_s3688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Distance Calculator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6881" name="Button 1" hidden="1">
              <a:extLst>
                <a:ext uri="{63B3BB69-23CF-44E3-9099-C40C66FF867C}">
                  <a14:compatExt spid="_x0000_s3688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1400175</xdr:colOff>
          <xdr:row>1</xdr:row>
          <xdr:rowOff>438150</xdr:rowOff>
        </xdr:to>
        <xdr:sp macro="" textlink="">
          <xdr:nvSpPr>
            <xdr:cNvPr id="36882" name="Button 2" hidden="1">
              <a:extLst>
                <a:ext uri="{63B3BB69-23CF-44E3-9099-C40C66FF867C}">
                  <a14:compatExt spid="_x0000_s36882"/>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76200</xdr:rowOff>
        </xdr:from>
        <xdr:to>
          <xdr:col>1</xdr:col>
          <xdr:colOff>1666875</xdr:colOff>
          <xdr:row>1</xdr:row>
          <xdr:rowOff>438150</xdr:rowOff>
        </xdr:to>
        <xdr:sp macro="" textlink="">
          <xdr:nvSpPr>
            <xdr:cNvPr id="35855" name="Button 1" hidden="1">
              <a:extLst>
                <a:ext uri="{63B3BB69-23CF-44E3-9099-C40C66FF867C}">
                  <a14:compatExt spid="_x0000_s3585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1743075</xdr:colOff>
          <xdr:row>1</xdr:row>
          <xdr:rowOff>76200</xdr:rowOff>
        </xdr:from>
        <xdr:to>
          <xdr:col>2</xdr:col>
          <xdr:colOff>1400175</xdr:colOff>
          <xdr:row>1</xdr:row>
          <xdr:rowOff>438150</xdr:rowOff>
        </xdr:to>
        <xdr:sp macro="" textlink="">
          <xdr:nvSpPr>
            <xdr:cNvPr id="35856" name="Button 2" hidden="1">
              <a:extLst>
                <a:ext uri="{63B3BB69-23CF-44E3-9099-C40C66FF867C}">
                  <a14:compatExt spid="_x0000_s35856"/>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GB" sz="1400" b="1" i="0" u="none" strike="noStrike" baseline="0">
                  <a:solidFill>
                    <a:srgbClr val="FF0000"/>
                  </a:solidFill>
                  <a:latin typeface="Calibri"/>
                </a:rPr>
                <a:t>Delete Row</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acea.ec.europa.eu/erasmus-plus/funding/capacity-building-in-field-higher-education-eaca042015_en" TargetMode="External"/><Relationship Id="rId1" Type="http://schemas.openxmlformats.org/officeDocument/2006/relationships/hyperlink" Target="http://ec.europa.eu/programmes/erasmus-plus/discover/guide/index_en.ht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6" tint="-0.249977111117893"/>
    <pageSetUpPr fitToPage="1"/>
  </sheetPr>
  <dimension ref="B1:L87"/>
  <sheetViews>
    <sheetView showGridLines="0" tabSelected="1" zoomScale="85" zoomScaleNormal="85" zoomScaleSheetLayoutView="85" workbookViewId="0">
      <selection activeCell="D11" sqref="D11"/>
    </sheetView>
  </sheetViews>
  <sheetFormatPr defaultColWidth="9.140625" defaultRowHeight="18" x14ac:dyDescent="0.25"/>
  <cols>
    <col min="1" max="1" width="1.7109375" style="16" customWidth="1"/>
    <col min="2" max="2" width="10" style="16" customWidth="1"/>
    <col min="3" max="3" width="50" style="17" customWidth="1"/>
    <col min="4" max="4" width="50.7109375" style="16" customWidth="1"/>
    <col min="5" max="5" width="23.7109375" style="16" customWidth="1"/>
    <col min="6" max="12" width="20.7109375" style="16" customWidth="1"/>
    <col min="13" max="13" width="1.7109375" style="16" customWidth="1"/>
    <col min="14" max="16384" width="9.140625" style="16"/>
  </cols>
  <sheetData>
    <row r="1" spans="2:12" ht="9.9499999999999993" customHeight="1" x14ac:dyDescent="0.25">
      <c r="G1" s="18"/>
      <c r="H1" s="18"/>
      <c r="I1" s="18"/>
      <c r="J1" s="18"/>
      <c r="K1" s="18"/>
      <c r="L1" s="18"/>
    </row>
    <row r="2" spans="2:12" s="21" customFormat="1" x14ac:dyDescent="0.25">
      <c r="B2" s="19"/>
      <c r="C2" s="19"/>
      <c r="D2" s="20"/>
      <c r="E2" s="20"/>
      <c r="F2" s="20"/>
      <c r="G2" s="18"/>
      <c r="H2" s="18"/>
      <c r="I2" s="18"/>
      <c r="J2" s="18"/>
      <c r="K2" s="18"/>
      <c r="L2" s="18"/>
    </row>
    <row r="3" spans="2:12" s="21" customFormat="1" x14ac:dyDescent="0.25">
      <c r="B3" s="19"/>
      <c r="C3" s="19"/>
      <c r="D3" s="22" t="s">
        <v>137</v>
      </c>
      <c r="E3" s="23"/>
      <c r="F3" s="20"/>
      <c r="G3" s="18"/>
      <c r="H3" s="18"/>
      <c r="I3" s="18"/>
      <c r="J3" s="18"/>
      <c r="K3" s="18"/>
      <c r="L3" s="18"/>
    </row>
    <row r="4" spans="2:12" s="21" customFormat="1" ht="20.100000000000001" customHeight="1" x14ac:dyDescent="0.25">
      <c r="B4" s="19"/>
      <c r="D4" s="22" t="s">
        <v>354</v>
      </c>
      <c r="E4" s="24"/>
      <c r="F4" s="24"/>
      <c r="G4" s="24"/>
      <c r="H4" s="24"/>
      <c r="I4" s="24"/>
      <c r="J4" s="24"/>
      <c r="K4" s="24"/>
      <c r="L4" s="24"/>
    </row>
    <row r="5" spans="2:12" s="21" customFormat="1" ht="20.100000000000001" customHeight="1" x14ac:dyDescent="0.25">
      <c r="B5" s="19"/>
      <c r="D5" s="24"/>
      <c r="E5" s="24"/>
      <c r="F5" s="24"/>
      <c r="G5" s="24"/>
      <c r="H5" s="24"/>
      <c r="I5" s="24"/>
      <c r="J5" s="24"/>
      <c r="K5" s="24"/>
      <c r="L5" s="24"/>
    </row>
    <row r="6" spans="2:12" s="21" customFormat="1" ht="9.9499999999999993" customHeight="1" x14ac:dyDescent="0.25">
      <c r="B6" s="25"/>
      <c r="C6" s="25"/>
      <c r="D6" s="20"/>
      <c r="E6" s="20"/>
      <c r="F6" s="20"/>
      <c r="G6" s="20"/>
      <c r="H6" s="20"/>
      <c r="I6" s="20"/>
      <c r="J6" s="20"/>
      <c r="K6" s="20"/>
    </row>
    <row r="7" spans="2:12" s="21" customFormat="1" ht="24.95" customHeight="1" x14ac:dyDescent="0.25">
      <c r="B7" s="147" t="s">
        <v>1</v>
      </c>
      <c r="C7" s="147"/>
      <c r="D7" s="147"/>
      <c r="E7" s="147"/>
      <c r="F7" s="147"/>
      <c r="G7" s="147"/>
      <c r="H7" s="147"/>
      <c r="I7" s="147"/>
      <c r="J7" s="147"/>
      <c r="K7" s="147"/>
      <c r="L7" s="147"/>
    </row>
    <row r="8" spans="2:12" s="21" customFormat="1" ht="24.95" customHeight="1" x14ac:dyDescent="0.25">
      <c r="B8" s="148" t="s">
        <v>353</v>
      </c>
      <c r="C8" s="148"/>
      <c r="D8" s="148"/>
      <c r="E8" s="148"/>
      <c r="F8" s="148"/>
      <c r="G8" s="148"/>
      <c r="H8" s="148"/>
      <c r="I8" s="148"/>
      <c r="J8" s="148"/>
      <c r="K8" s="148"/>
      <c r="L8" s="148"/>
    </row>
    <row r="9" spans="2:12" s="21" customFormat="1" ht="24.95" customHeight="1" x14ac:dyDescent="0.25">
      <c r="B9" s="149" t="s">
        <v>134</v>
      </c>
      <c r="C9" s="149"/>
      <c r="D9" s="149"/>
      <c r="E9" s="149"/>
      <c r="F9" s="149"/>
      <c r="G9" s="149"/>
      <c r="H9" s="149"/>
      <c r="I9" s="149"/>
      <c r="J9" s="149"/>
      <c r="K9" s="149"/>
      <c r="L9" s="149"/>
    </row>
    <row r="10" spans="2:12" s="21" customFormat="1" ht="20.100000000000001" customHeight="1" x14ac:dyDescent="0.25">
      <c r="B10" s="25"/>
      <c r="C10" s="25"/>
      <c r="D10" s="20"/>
      <c r="E10" s="20"/>
      <c r="F10" s="20"/>
      <c r="G10" s="20"/>
      <c r="H10" s="20"/>
      <c r="I10" s="20"/>
      <c r="J10" s="20"/>
      <c r="K10" s="20"/>
    </row>
    <row r="11" spans="2:12" s="21" customFormat="1" ht="18" customHeight="1" x14ac:dyDescent="0.25">
      <c r="B11" s="141" t="s">
        <v>3</v>
      </c>
      <c r="C11" s="141"/>
      <c r="D11" s="26"/>
      <c r="E11" s="150" t="str">
        <f>IF(D11="","Please select Action Type",IF(OR(D11="Joint Project",D11="Structural Project"),"","Error Type of Action"))</f>
        <v>Please select Action Type</v>
      </c>
      <c r="F11" s="150"/>
      <c r="G11" s="150"/>
      <c r="H11" s="150"/>
      <c r="I11" s="150"/>
      <c r="J11" s="150"/>
      <c r="K11" s="150"/>
      <c r="L11" s="150"/>
    </row>
    <row r="12" spans="2:12" s="21" customFormat="1" ht="18" customHeight="1" x14ac:dyDescent="0.25">
      <c r="B12" s="141" t="s">
        <v>140</v>
      </c>
      <c r="C12" s="141"/>
      <c r="D12" s="26"/>
      <c r="E12" s="150" t="str">
        <f>IF(D12="","Please select duration",IF(OR(D12=24,D12=36),"","Error duration"))</f>
        <v>Please select duration</v>
      </c>
      <c r="F12" s="150"/>
      <c r="G12" s="150"/>
      <c r="H12" s="150"/>
      <c r="I12" s="150"/>
      <c r="J12" s="150"/>
      <c r="K12" s="150"/>
      <c r="L12" s="150"/>
    </row>
    <row r="13" spans="2:12" s="21" customFormat="1" ht="18" customHeight="1" x14ac:dyDescent="0.25">
      <c r="B13" s="141" t="s">
        <v>175</v>
      </c>
      <c r="C13" s="141"/>
      <c r="D13" s="26"/>
      <c r="E13" s="150" t="str">
        <f>IF(D13="","Please fill in Project Acronym","")</f>
        <v>Please fill in Project Acronym</v>
      </c>
      <c r="F13" s="150"/>
      <c r="G13" s="150"/>
      <c r="H13" s="150"/>
      <c r="I13" s="150"/>
      <c r="J13" s="150"/>
      <c r="K13" s="150"/>
      <c r="L13" s="150"/>
    </row>
    <row r="14" spans="2:12" s="21" customFormat="1" ht="18" customHeight="1" x14ac:dyDescent="0.25">
      <c r="B14" s="141" t="s">
        <v>176</v>
      </c>
      <c r="C14" s="141"/>
      <c r="D14" s="151"/>
      <c r="E14" s="152"/>
      <c r="F14" s="152"/>
      <c r="G14" s="152"/>
      <c r="H14" s="152"/>
      <c r="I14" s="152"/>
      <c r="J14" s="152"/>
      <c r="K14" s="152"/>
      <c r="L14" s="153"/>
    </row>
    <row r="15" spans="2:12" s="21" customFormat="1" ht="20.100000000000001" customHeight="1" x14ac:dyDescent="0.25">
      <c r="B15" s="20"/>
      <c r="C15" s="20"/>
      <c r="D15" s="20"/>
      <c r="E15" s="20"/>
      <c r="F15" s="27"/>
      <c r="G15" s="20"/>
      <c r="H15" s="20"/>
      <c r="I15" s="20"/>
      <c r="J15" s="20"/>
      <c r="K15" s="20"/>
    </row>
    <row r="16" spans="2:12" s="21" customFormat="1" ht="24.95" customHeight="1" x14ac:dyDescent="0.25">
      <c r="B16" s="140" t="s">
        <v>243</v>
      </c>
      <c r="C16" s="140"/>
      <c r="D16" s="140"/>
      <c r="E16" s="140"/>
      <c r="F16" s="140"/>
      <c r="G16" s="140"/>
      <c r="H16" s="140"/>
      <c r="I16" s="140"/>
      <c r="J16" s="140"/>
      <c r="K16" s="140"/>
      <c r="L16" s="140"/>
    </row>
    <row r="17" spans="2:12" s="21" customFormat="1" x14ac:dyDescent="0.25">
      <c r="B17" s="141" t="s">
        <v>172</v>
      </c>
      <c r="C17" s="141"/>
      <c r="D17" s="28">
        <f>'1. Staff costs'!D9</f>
        <v>0</v>
      </c>
      <c r="E17" s="145" t="str">
        <f>"Cannot exceed 40% of total A."</f>
        <v>Cannot exceed 40% of total A.</v>
      </c>
      <c r="F17" s="145"/>
      <c r="G17" s="145"/>
      <c r="H17" s="145"/>
      <c r="I17" s="145"/>
      <c r="J17" s="145"/>
      <c r="K17" s="145"/>
      <c r="L17" s="145"/>
    </row>
    <row r="18" spans="2:12" s="21" customFormat="1" x14ac:dyDescent="0.25">
      <c r="B18" s="141" t="s">
        <v>195</v>
      </c>
      <c r="C18" s="141"/>
      <c r="D18" s="28">
        <f>'2-3. Travel Costs&amp;Costs of Stay'!D8</f>
        <v>0</v>
      </c>
      <c r="E18" s="145"/>
      <c r="F18" s="145"/>
      <c r="G18" s="145"/>
      <c r="H18" s="145"/>
      <c r="I18" s="145"/>
      <c r="J18" s="145"/>
      <c r="K18" s="145"/>
      <c r="L18" s="145"/>
    </row>
    <row r="19" spans="2:12" s="21" customFormat="1" x14ac:dyDescent="0.25">
      <c r="B19" s="141" t="s">
        <v>196</v>
      </c>
      <c r="C19" s="141"/>
      <c r="D19" s="28">
        <f>'2-3. Travel Costs&amp;Costs of Stay'!D9</f>
        <v>0</v>
      </c>
      <c r="E19" s="145"/>
      <c r="F19" s="145"/>
      <c r="G19" s="145"/>
      <c r="H19" s="145"/>
      <c r="I19" s="145"/>
      <c r="J19" s="145"/>
      <c r="K19" s="145"/>
      <c r="L19" s="145"/>
    </row>
    <row r="20" spans="2:12" s="21" customFormat="1" x14ac:dyDescent="0.25">
      <c r="B20" s="141" t="s">
        <v>191</v>
      </c>
      <c r="C20" s="141"/>
      <c r="D20" s="28">
        <f>'4. Equipment Costs'!C4</f>
        <v>0</v>
      </c>
      <c r="E20" s="145" t="str">
        <f>"Cannot exceed 30% of total A."</f>
        <v>Cannot exceed 30% of total A.</v>
      </c>
      <c r="F20" s="145"/>
      <c r="G20" s="145"/>
      <c r="H20" s="145"/>
      <c r="I20" s="145"/>
      <c r="J20" s="145"/>
      <c r="K20" s="145"/>
      <c r="L20" s="145"/>
    </row>
    <row r="21" spans="2:12" s="21" customFormat="1" x14ac:dyDescent="0.25">
      <c r="B21" s="141" t="s">
        <v>192</v>
      </c>
      <c r="C21" s="141"/>
      <c r="D21" s="28">
        <f>'5. Subcontracting Costs'!C4</f>
        <v>0</v>
      </c>
      <c r="E21" s="145" t="str">
        <f>"Cannot exceed 10% of total A."</f>
        <v>Cannot exceed 10% of total A.</v>
      </c>
      <c r="F21" s="145"/>
      <c r="G21" s="145"/>
      <c r="H21" s="145"/>
      <c r="I21" s="145"/>
      <c r="J21" s="145"/>
      <c r="K21" s="145"/>
      <c r="L21" s="145"/>
    </row>
    <row r="22" spans="2:12" ht="24.95" customHeight="1" x14ac:dyDescent="0.25">
      <c r="B22" s="142" t="s">
        <v>206</v>
      </c>
      <c r="C22" s="142"/>
      <c r="D22" s="29">
        <f>SUM(D17:D21)</f>
        <v>0</v>
      </c>
      <c r="E22" s="143" t="str">
        <f>"Should be equal or above EUR 500.000,00 and cannot exceed EUR 1.000.000,00"</f>
        <v>Should be equal or above EUR 500.000,00 and cannot exceed EUR 1.000.000,00</v>
      </c>
      <c r="F22" s="143"/>
      <c r="G22" s="143"/>
      <c r="H22" s="143"/>
      <c r="I22" s="143"/>
      <c r="J22" s="143"/>
      <c r="K22" s="143"/>
      <c r="L22" s="143"/>
    </row>
    <row r="23" spans="2:12" ht="8.1" customHeight="1" x14ac:dyDescent="0.25">
      <c r="B23" s="30"/>
      <c r="C23" s="30"/>
      <c r="D23" s="31"/>
      <c r="E23" s="32"/>
      <c r="F23" s="33"/>
      <c r="G23" s="33"/>
      <c r="H23" s="33"/>
      <c r="I23" s="33"/>
      <c r="J23" s="33"/>
      <c r="K23" s="33"/>
      <c r="L23" s="33"/>
    </row>
    <row r="24" spans="2:12" ht="18" customHeight="1" x14ac:dyDescent="0.25">
      <c r="B24" s="142" t="s">
        <v>334</v>
      </c>
      <c r="C24" s="142"/>
      <c r="D24" s="146">
        <f>SUM(J24:J27)</f>
        <v>0</v>
      </c>
      <c r="E24" s="143" t="s">
        <v>236</v>
      </c>
      <c r="F24" s="143"/>
      <c r="G24" s="142" t="s">
        <v>220</v>
      </c>
      <c r="H24" s="142"/>
      <c r="I24" s="154" t="s">
        <v>346</v>
      </c>
      <c r="J24" s="107">
        <f>SUMIF('B. Special Mob Strand - Student'!E:E,G24,'B. Special Mob Strand - Student'!N:N)</f>
        <v>0</v>
      </c>
      <c r="K24" s="154" t="s">
        <v>335</v>
      </c>
      <c r="L24" s="106">
        <f>SUMIFS('B. Special Mob Strand - Student'!G:G,'B. Special Mob Strand - Student'!E:E,G24,'B. Special Mob Strand - Student'!O:O,"&lt;&gt;Error")</f>
        <v>0</v>
      </c>
    </row>
    <row r="25" spans="2:12" ht="18" customHeight="1" x14ac:dyDescent="0.25">
      <c r="B25" s="142"/>
      <c r="C25" s="142"/>
      <c r="D25" s="146"/>
      <c r="E25" s="143"/>
      <c r="F25" s="143"/>
      <c r="G25" s="142" t="s">
        <v>221</v>
      </c>
      <c r="H25" s="142"/>
      <c r="I25" s="155"/>
      <c r="J25" s="107">
        <f>SUMIF('B. Special Mob Strand - Student'!E:E,G25,'B. Special Mob Strand - Student'!N:N)</f>
        <v>0</v>
      </c>
      <c r="K25" s="154"/>
      <c r="L25" s="106">
        <f>SUMIFS('B. Special Mob Strand - Student'!G:G,'B. Special Mob Strand - Student'!E:E,G25,'B. Special Mob Strand - Student'!O:O,"&lt;&gt;Error")</f>
        <v>0</v>
      </c>
    </row>
    <row r="26" spans="2:12" ht="18" customHeight="1" x14ac:dyDescent="0.25">
      <c r="B26" s="142"/>
      <c r="C26" s="142"/>
      <c r="D26" s="146"/>
      <c r="E26" s="143"/>
      <c r="F26" s="143"/>
      <c r="G26" s="142" t="s">
        <v>224</v>
      </c>
      <c r="H26" s="142"/>
      <c r="I26" s="155"/>
      <c r="J26" s="107">
        <f>SUMIF('B. Special Mob Strand - Staff'!E:E,G26,'B. Special Mob Strand - Staff'!N:N)</f>
        <v>0</v>
      </c>
      <c r="K26" s="154"/>
      <c r="L26" s="106">
        <f>SUMIFS('B. Special Mob Strand - Staff'!G:G,'B. Special Mob Strand - Staff'!E:E,G26,'B. Special Mob Strand - Staff'!O:O,"&lt;&gt;Error")</f>
        <v>0</v>
      </c>
    </row>
    <row r="27" spans="2:12" ht="18" customHeight="1" x14ac:dyDescent="0.25">
      <c r="B27" s="142"/>
      <c r="C27" s="142"/>
      <c r="D27" s="146"/>
      <c r="E27" s="143"/>
      <c r="F27" s="143"/>
      <c r="G27" s="142" t="s">
        <v>225</v>
      </c>
      <c r="H27" s="142"/>
      <c r="I27" s="155"/>
      <c r="J27" s="107">
        <f>SUMIF('B. Special Mob Strand - Staff'!E:E,G27,'B. Special Mob Strand - Staff'!N:N)</f>
        <v>0</v>
      </c>
      <c r="K27" s="154"/>
      <c r="L27" s="106">
        <f>SUMIFS('B. Special Mob Strand - Staff'!G:G,'B. Special Mob Strand - Staff'!E:E,G27,'B. Special Mob Strand - Staff'!O:O,"&lt;&gt;Error")</f>
        <v>0</v>
      </c>
    </row>
    <row r="28" spans="2:12" ht="8.1" customHeight="1" x14ac:dyDescent="0.25">
      <c r="B28" s="30"/>
      <c r="C28" s="30"/>
      <c r="D28" s="31"/>
      <c r="E28" s="32"/>
      <c r="F28" s="33"/>
      <c r="G28" s="33"/>
      <c r="H28" s="33"/>
      <c r="I28" s="33"/>
      <c r="J28" s="33"/>
      <c r="K28" s="33"/>
      <c r="L28" s="33"/>
    </row>
    <row r="29" spans="2:12" s="21" customFormat="1" ht="24.95" customHeight="1" x14ac:dyDescent="0.25">
      <c r="B29" s="142" t="s">
        <v>207</v>
      </c>
      <c r="C29" s="142"/>
      <c r="D29" s="29">
        <f>D22+D24</f>
        <v>0</v>
      </c>
      <c r="E29" s="144"/>
      <c r="F29" s="144"/>
      <c r="G29" s="144"/>
      <c r="H29" s="144"/>
      <c r="I29" s="144"/>
      <c r="J29" s="144"/>
      <c r="K29" s="144"/>
      <c r="L29" s="144"/>
    </row>
    <row r="30" spans="2:12" s="21" customFormat="1" ht="20.100000000000001" customHeight="1" x14ac:dyDescent="0.25">
      <c r="B30" s="20"/>
      <c r="C30" s="20"/>
      <c r="D30" s="20"/>
      <c r="E30" s="20"/>
      <c r="F30" s="27"/>
      <c r="G30" s="20"/>
      <c r="H30" s="20"/>
      <c r="I30" s="20"/>
      <c r="J30" s="20"/>
      <c r="K30" s="20"/>
    </row>
    <row r="31" spans="2:12" s="21" customFormat="1" ht="24.95" customHeight="1" x14ac:dyDescent="0.25">
      <c r="B31" s="140" t="s">
        <v>185</v>
      </c>
      <c r="C31" s="140"/>
      <c r="D31" s="140"/>
      <c r="E31" s="140"/>
      <c r="F31" s="140"/>
      <c r="G31" s="140"/>
      <c r="H31" s="140"/>
      <c r="I31" s="140"/>
      <c r="J31" s="140"/>
      <c r="K31" s="140"/>
      <c r="L31" s="140"/>
    </row>
    <row r="32" spans="2:12" s="21" customFormat="1" ht="54" x14ac:dyDescent="0.25">
      <c r="B32" s="122" t="s">
        <v>151</v>
      </c>
      <c r="C32" s="35" t="s">
        <v>152</v>
      </c>
      <c r="D32" s="35" t="s">
        <v>0</v>
      </c>
      <c r="E32" s="36" t="s">
        <v>182</v>
      </c>
      <c r="F32" s="36" t="s">
        <v>200</v>
      </c>
      <c r="G32" s="36" t="s">
        <v>201</v>
      </c>
      <c r="H32" s="36" t="s">
        <v>202</v>
      </c>
      <c r="I32" s="36" t="s">
        <v>203</v>
      </c>
      <c r="J32" s="36" t="s">
        <v>204</v>
      </c>
      <c r="K32" s="37" t="s">
        <v>205</v>
      </c>
      <c r="L32" s="38" t="s">
        <v>347</v>
      </c>
    </row>
    <row r="33" spans="2:12" x14ac:dyDescent="0.25">
      <c r="B33" s="123" t="s">
        <v>9</v>
      </c>
      <c r="C33" s="44"/>
      <c r="D33" s="39"/>
      <c r="E33" s="40" t="str">
        <f t="shared" ref="E33:E87" si="0">IFERROR(IF(D33&lt;&gt;"",VLOOKUP(D33,CountryType,2,FALSE),""),"Country not found")</f>
        <v/>
      </c>
      <c r="F33" s="41">
        <f>SUMIF('1. Staff costs'!C:C,B33,'1. Staff costs'!S:S)</f>
        <v>0</v>
      </c>
      <c r="G33" s="41">
        <f>SUMIF('2-3. Travel Costs&amp;Costs of Stay'!C:C,B33,'2-3. Travel Costs&amp;Costs of Stay'!L:L)</f>
        <v>0</v>
      </c>
      <c r="H33" s="41">
        <f>SUMIF('2-3. Travel Costs&amp;Costs of Stay'!C:C,B33,'2-3. Travel Costs&amp;Costs of Stay'!M:M)</f>
        <v>0</v>
      </c>
      <c r="I33" s="41">
        <f>SUMIF('4. Equipment Costs'!C:C,B33,'4. Equipment Costs'!H:H)</f>
        <v>0</v>
      </c>
      <c r="J33" s="41">
        <f>SUMIF('5. Subcontracting Costs'!C:C,B33,'5. Subcontracting Costs'!H:H)</f>
        <v>0</v>
      </c>
      <c r="K33" s="42">
        <f>SUMIF('B. Special Mob Strand - Student'!B:B,B33,'B. Special Mob Strand - Student'!N:N)+SUMIF('B. Special Mob Strand - Staff'!B:B,B33,'B. Special Mob Strand - Staff'!N:N)</f>
        <v>0</v>
      </c>
      <c r="L33" s="43">
        <f>SUM(F33:K33)</f>
        <v>0</v>
      </c>
    </row>
    <row r="34" spans="2:12" x14ac:dyDescent="0.25">
      <c r="B34" s="123" t="s">
        <v>10</v>
      </c>
      <c r="C34" s="44"/>
      <c r="D34" s="39"/>
      <c r="E34" s="40" t="str">
        <f t="shared" si="0"/>
        <v/>
      </c>
      <c r="F34" s="41">
        <f>SUMIF('1. Staff costs'!C:C,B34,'1. Staff costs'!S:S)</f>
        <v>0</v>
      </c>
      <c r="G34" s="41">
        <f>SUMIF('2-3. Travel Costs&amp;Costs of Stay'!C:C,B34,'2-3. Travel Costs&amp;Costs of Stay'!L:L)</f>
        <v>0</v>
      </c>
      <c r="H34" s="41">
        <f>SUMIF('2-3. Travel Costs&amp;Costs of Stay'!C:C,B34,'2-3. Travel Costs&amp;Costs of Stay'!M:M)</f>
        <v>0</v>
      </c>
      <c r="I34" s="41">
        <f>SUMIF('4. Equipment Costs'!C:C,B34,'4. Equipment Costs'!H:H)</f>
        <v>0</v>
      </c>
      <c r="J34" s="41">
        <f>SUMIF('5. Subcontracting Costs'!C:C,B34,'5. Subcontracting Costs'!H:H)</f>
        <v>0</v>
      </c>
      <c r="K34" s="42">
        <f>SUMIF('B. Special Mob Strand - Student'!B:B,B34,'B. Special Mob Strand - Student'!N:N)+SUMIF('B. Special Mob Strand - Staff'!B:B,B34,'B. Special Mob Strand - Staff'!N:N)</f>
        <v>0</v>
      </c>
      <c r="L34" s="43">
        <f t="shared" ref="L34:L87" si="1">SUM(F34:K34)</f>
        <v>0</v>
      </c>
    </row>
    <row r="35" spans="2:12" x14ac:dyDescent="0.25">
      <c r="B35" s="123" t="s">
        <v>11</v>
      </c>
      <c r="C35" s="44"/>
      <c r="D35" s="39"/>
      <c r="E35" s="40" t="str">
        <f t="shared" si="0"/>
        <v/>
      </c>
      <c r="F35" s="41">
        <f>SUMIF('1. Staff costs'!C:C,B35,'1. Staff costs'!S:S)</f>
        <v>0</v>
      </c>
      <c r="G35" s="41">
        <f>SUMIF('2-3. Travel Costs&amp;Costs of Stay'!C:C,B35,'2-3. Travel Costs&amp;Costs of Stay'!L:L)</f>
        <v>0</v>
      </c>
      <c r="H35" s="41">
        <f>SUMIF('2-3. Travel Costs&amp;Costs of Stay'!C:C,B35,'2-3. Travel Costs&amp;Costs of Stay'!M:M)</f>
        <v>0</v>
      </c>
      <c r="I35" s="41">
        <f>SUMIF('4. Equipment Costs'!C:C,B35,'4. Equipment Costs'!H:H)</f>
        <v>0</v>
      </c>
      <c r="J35" s="41">
        <f>SUMIF('5. Subcontracting Costs'!C:C,B35,'5. Subcontracting Costs'!H:H)</f>
        <v>0</v>
      </c>
      <c r="K35" s="42">
        <f>SUMIF('B. Special Mob Strand - Student'!B:B,B35,'B. Special Mob Strand - Student'!N:N)+SUMIF('B. Special Mob Strand - Staff'!B:B,B35,'B. Special Mob Strand - Staff'!N:N)</f>
        <v>0</v>
      </c>
      <c r="L35" s="43">
        <f t="shared" si="1"/>
        <v>0</v>
      </c>
    </row>
    <row r="36" spans="2:12" x14ac:dyDescent="0.25">
      <c r="B36" s="123" t="s">
        <v>12</v>
      </c>
      <c r="C36" s="44"/>
      <c r="D36" s="39"/>
      <c r="E36" s="40" t="str">
        <f t="shared" si="0"/>
        <v/>
      </c>
      <c r="F36" s="41">
        <f>SUMIF('1. Staff costs'!C:C,B36,'1. Staff costs'!S:S)</f>
        <v>0</v>
      </c>
      <c r="G36" s="41">
        <f>SUMIF('2-3. Travel Costs&amp;Costs of Stay'!C:C,B36,'2-3. Travel Costs&amp;Costs of Stay'!L:L)</f>
        <v>0</v>
      </c>
      <c r="H36" s="41">
        <f>SUMIF('2-3. Travel Costs&amp;Costs of Stay'!C:C,B36,'2-3. Travel Costs&amp;Costs of Stay'!M:M)</f>
        <v>0</v>
      </c>
      <c r="I36" s="41">
        <f>SUMIF('4. Equipment Costs'!C:C,B36,'4. Equipment Costs'!H:H)</f>
        <v>0</v>
      </c>
      <c r="J36" s="41">
        <f>SUMIF('5. Subcontracting Costs'!C:C,B36,'5. Subcontracting Costs'!H:H)</f>
        <v>0</v>
      </c>
      <c r="K36" s="42">
        <f>SUMIF('B. Special Mob Strand - Student'!B:B,B36,'B. Special Mob Strand - Student'!N:N)+SUMIF('B. Special Mob Strand - Staff'!B:B,B36,'B. Special Mob Strand - Staff'!N:N)</f>
        <v>0</v>
      </c>
      <c r="L36" s="43">
        <f t="shared" si="1"/>
        <v>0</v>
      </c>
    </row>
    <row r="37" spans="2:12" x14ac:dyDescent="0.25">
      <c r="B37" s="123" t="s">
        <v>13</v>
      </c>
      <c r="C37" s="44"/>
      <c r="D37" s="39"/>
      <c r="E37" s="40" t="str">
        <f t="shared" si="0"/>
        <v/>
      </c>
      <c r="F37" s="41">
        <f>SUMIF('1. Staff costs'!C:C,B37,'1. Staff costs'!S:S)</f>
        <v>0</v>
      </c>
      <c r="G37" s="41">
        <f>SUMIF('2-3. Travel Costs&amp;Costs of Stay'!C:C,B37,'2-3. Travel Costs&amp;Costs of Stay'!L:L)</f>
        <v>0</v>
      </c>
      <c r="H37" s="41">
        <f>SUMIF('2-3. Travel Costs&amp;Costs of Stay'!C:C,B37,'2-3. Travel Costs&amp;Costs of Stay'!M:M)</f>
        <v>0</v>
      </c>
      <c r="I37" s="41">
        <f>SUMIF('4. Equipment Costs'!C:C,B37,'4. Equipment Costs'!H:H)</f>
        <v>0</v>
      </c>
      <c r="J37" s="41">
        <f>SUMIF('5. Subcontracting Costs'!C:C,B37,'5. Subcontracting Costs'!H:H)</f>
        <v>0</v>
      </c>
      <c r="K37" s="42">
        <f>SUMIF('B. Special Mob Strand - Student'!B:B,B37,'B. Special Mob Strand - Student'!N:N)+SUMIF('B. Special Mob Strand - Staff'!B:B,B37,'B. Special Mob Strand - Staff'!N:N)</f>
        <v>0</v>
      </c>
      <c r="L37" s="43">
        <f t="shared" si="1"/>
        <v>0</v>
      </c>
    </row>
    <row r="38" spans="2:12" x14ac:dyDescent="0.25">
      <c r="B38" s="123" t="s">
        <v>14</v>
      </c>
      <c r="C38" s="44"/>
      <c r="D38" s="39"/>
      <c r="E38" s="40" t="str">
        <f t="shared" si="0"/>
        <v/>
      </c>
      <c r="F38" s="41">
        <f>SUMIF('1. Staff costs'!C:C,B38,'1. Staff costs'!S:S)</f>
        <v>0</v>
      </c>
      <c r="G38" s="41">
        <f>SUMIF('2-3. Travel Costs&amp;Costs of Stay'!C:C,B38,'2-3. Travel Costs&amp;Costs of Stay'!L:L)</f>
        <v>0</v>
      </c>
      <c r="H38" s="41">
        <f>SUMIF('2-3. Travel Costs&amp;Costs of Stay'!C:C,B38,'2-3. Travel Costs&amp;Costs of Stay'!M:M)</f>
        <v>0</v>
      </c>
      <c r="I38" s="41">
        <f>SUMIF('4. Equipment Costs'!C:C,B38,'4. Equipment Costs'!H:H)</f>
        <v>0</v>
      </c>
      <c r="J38" s="41">
        <f>SUMIF('5. Subcontracting Costs'!C:C,B38,'5. Subcontracting Costs'!H:H)</f>
        <v>0</v>
      </c>
      <c r="K38" s="42">
        <f>SUMIF('B. Special Mob Strand - Student'!B:B,B38,'B. Special Mob Strand - Student'!N:N)+SUMIF('B. Special Mob Strand - Staff'!B:B,B38,'B. Special Mob Strand - Staff'!N:N)</f>
        <v>0</v>
      </c>
      <c r="L38" s="43">
        <f t="shared" si="1"/>
        <v>0</v>
      </c>
    </row>
    <row r="39" spans="2:12" x14ac:dyDescent="0.25">
      <c r="B39" s="123" t="s">
        <v>15</v>
      </c>
      <c r="C39" s="44"/>
      <c r="D39" s="39"/>
      <c r="E39" s="40" t="str">
        <f t="shared" si="0"/>
        <v/>
      </c>
      <c r="F39" s="41">
        <f>SUMIF('1. Staff costs'!C:C,B39,'1. Staff costs'!S:S)</f>
        <v>0</v>
      </c>
      <c r="G39" s="41">
        <f>SUMIF('2-3. Travel Costs&amp;Costs of Stay'!C:C,B39,'2-3. Travel Costs&amp;Costs of Stay'!L:L)</f>
        <v>0</v>
      </c>
      <c r="H39" s="41">
        <f>SUMIF('2-3. Travel Costs&amp;Costs of Stay'!C:C,B39,'2-3. Travel Costs&amp;Costs of Stay'!M:M)</f>
        <v>0</v>
      </c>
      <c r="I39" s="41">
        <f>SUMIF('4. Equipment Costs'!C:C,B39,'4. Equipment Costs'!H:H)</f>
        <v>0</v>
      </c>
      <c r="J39" s="41">
        <f>SUMIF('5. Subcontracting Costs'!C:C,B39,'5. Subcontracting Costs'!H:H)</f>
        <v>0</v>
      </c>
      <c r="K39" s="42">
        <f>SUMIF('B. Special Mob Strand - Student'!B:B,B39,'B. Special Mob Strand - Student'!N:N)+SUMIF('B. Special Mob Strand - Staff'!B:B,B39,'B. Special Mob Strand - Staff'!N:N)</f>
        <v>0</v>
      </c>
      <c r="L39" s="43">
        <f t="shared" si="1"/>
        <v>0</v>
      </c>
    </row>
    <row r="40" spans="2:12" x14ac:dyDescent="0.25">
      <c r="B40" s="123" t="s">
        <v>16</v>
      </c>
      <c r="C40" s="44"/>
      <c r="D40" s="39"/>
      <c r="E40" s="40" t="str">
        <f t="shared" si="0"/>
        <v/>
      </c>
      <c r="F40" s="41">
        <f>SUMIF('1. Staff costs'!C:C,B40,'1. Staff costs'!S:S)</f>
        <v>0</v>
      </c>
      <c r="G40" s="41">
        <f>SUMIF('2-3. Travel Costs&amp;Costs of Stay'!C:C,B40,'2-3. Travel Costs&amp;Costs of Stay'!L:L)</f>
        <v>0</v>
      </c>
      <c r="H40" s="41">
        <f>SUMIF('2-3. Travel Costs&amp;Costs of Stay'!C:C,B40,'2-3. Travel Costs&amp;Costs of Stay'!M:M)</f>
        <v>0</v>
      </c>
      <c r="I40" s="41">
        <f>SUMIF('4. Equipment Costs'!C:C,B40,'4. Equipment Costs'!H:H)</f>
        <v>0</v>
      </c>
      <c r="J40" s="41">
        <f>SUMIF('5. Subcontracting Costs'!C:C,B40,'5. Subcontracting Costs'!H:H)</f>
        <v>0</v>
      </c>
      <c r="K40" s="42">
        <f>SUMIF('B. Special Mob Strand - Student'!B:B,B40,'B. Special Mob Strand - Student'!N:N)+SUMIF('B. Special Mob Strand - Staff'!B:B,B40,'B. Special Mob Strand - Staff'!N:N)</f>
        <v>0</v>
      </c>
      <c r="L40" s="43">
        <f t="shared" si="1"/>
        <v>0</v>
      </c>
    </row>
    <row r="41" spans="2:12" x14ac:dyDescent="0.25">
      <c r="B41" s="123" t="s">
        <v>17</v>
      </c>
      <c r="C41" s="44"/>
      <c r="D41" s="39"/>
      <c r="E41" s="40" t="str">
        <f t="shared" si="0"/>
        <v/>
      </c>
      <c r="F41" s="41">
        <f>SUMIF('1. Staff costs'!C:C,B41,'1. Staff costs'!S:S)</f>
        <v>0</v>
      </c>
      <c r="G41" s="41">
        <f>SUMIF('2-3. Travel Costs&amp;Costs of Stay'!C:C,B41,'2-3. Travel Costs&amp;Costs of Stay'!L:L)</f>
        <v>0</v>
      </c>
      <c r="H41" s="41">
        <f>SUMIF('2-3. Travel Costs&amp;Costs of Stay'!C:C,B41,'2-3. Travel Costs&amp;Costs of Stay'!M:M)</f>
        <v>0</v>
      </c>
      <c r="I41" s="41">
        <f>SUMIF('4. Equipment Costs'!C:C,B41,'4. Equipment Costs'!H:H)</f>
        <v>0</v>
      </c>
      <c r="J41" s="41">
        <f>SUMIF('5. Subcontracting Costs'!C:C,B41,'5. Subcontracting Costs'!H:H)</f>
        <v>0</v>
      </c>
      <c r="K41" s="42">
        <f>SUMIF('B. Special Mob Strand - Student'!B:B,B41,'B. Special Mob Strand - Student'!N:N)+SUMIF('B. Special Mob Strand - Staff'!B:B,B41,'B. Special Mob Strand - Staff'!N:N)</f>
        <v>0</v>
      </c>
      <c r="L41" s="43">
        <f t="shared" si="1"/>
        <v>0</v>
      </c>
    </row>
    <row r="42" spans="2:12" x14ac:dyDescent="0.25">
      <c r="B42" s="123" t="s">
        <v>18</v>
      </c>
      <c r="C42" s="44"/>
      <c r="D42" s="39"/>
      <c r="E42" s="40" t="str">
        <f t="shared" si="0"/>
        <v/>
      </c>
      <c r="F42" s="41">
        <f>SUMIF('1. Staff costs'!C:C,B42,'1. Staff costs'!S:S)</f>
        <v>0</v>
      </c>
      <c r="G42" s="41">
        <f>SUMIF('2-3. Travel Costs&amp;Costs of Stay'!C:C,B42,'2-3. Travel Costs&amp;Costs of Stay'!L:L)</f>
        <v>0</v>
      </c>
      <c r="H42" s="41">
        <f>SUMIF('2-3. Travel Costs&amp;Costs of Stay'!C:C,B42,'2-3. Travel Costs&amp;Costs of Stay'!M:M)</f>
        <v>0</v>
      </c>
      <c r="I42" s="41">
        <f>SUMIF('4. Equipment Costs'!C:C,B42,'4. Equipment Costs'!H:H)</f>
        <v>0</v>
      </c>
      <c r="J42" s="41">
        <f>SUMIF('5. Subcontracting Costs'!C:C,B42,'5. Subcontracting Costs'!H:H)</f>
        <v>0</v>
      </c>
      <c r="K42" s="42">
        <f>SUMIF('B. Special Mob Strand - Student'!B:B,B42,'B. Special Mob Strand - Student'!N:N)+SUMIF('B. Special Mob Strand - Staff'!B:B,B42,'B. Special Mob Strand - Staff'!N:N)</f>
        <v>0</v>
      </c>
      <c r="L42" s="43">
        <f t="shared" si="1"/>
        <v>0</v>
      </c>
    </row>
    <row r="43" spans="2:12" x14ac:dyDescent="0.25">
      <c r="B43" s="123" t="s">
        <v>19</v>
      </c>
      <c r="C43" s="44"/>
      <c r="D43" s="39"/>
      <c r="E43" s="40" t="str">
        <f t="shared" si="0"/>
        <v/>
      </c>
      <c r="F43" s="41">
        <f>SUMIF('1. Staff costs'!C:C,B43,'1. Staff costs'!S:S)</f>
        <v>0</v>
      </c>
      <c r="G43" s="41">
        <f>SUMIF('2-3. Travel Costs&amp;Costs of Stay'!C:C,B43,'2-3. Travel Costs&amp;Costs of Stay'!L:L)</f>
        <v>0</v>
      </c>
      <c r="H43" s="41">
        <f>SUMIF('2-3. Travel Costs&amp;Costs of Stay'!C:C,B43,'2-3. Travel Costs&amp;Costs of Stay'!M:M)</f>
        <v>0</v>
      </c>
      <c r="I43" s="41">
        <f>SUMIF('4. Equipment Costs'!C:C,B43,'4. Equipment Costs'!H:H)</f>
        <v>0</v>
      </c>
      <c r="J43" s="41">
        <f>SUMIF('5. Subcontracting Costs'!C:C,B43,'5. Subcontracting Costs'!H:H)</f>
        <v>0</v>
      </c>
      <c r="K43" s="42">
        <f>SUMIF('B. Special Mob Strand - Student'!B:B,B43,'B. Special Mob Strand - Student'!N:N)+SUMIF('B. Special Mob Strand - Staff'!B:B,B43,'B. Special Mob Strand - Staff'!N:N)</f>
        <v>0</v>
      </c>
      <c r="L43" s="43">
        <f t="shared" si="1"/>
        <v>0</v>
      </c>
    </row>
    <row r="44" spans="2:12" x14ac:dyDescent="0.25">
      <c r="B44" s="123" t="s">
        <v>20</v>
      </c>
      <c r="C44" s="44"/>
      <c r="D44" s="39"/>
      <c r="E44" s="40" t="str">
        <f t="shared" si="0"/>
        <v/>
      </c>
      <c r="F44" s="41">
        <f>SUMIF('1. Staff costs'!C:C,B44,'1. Staff costs'!S:S)</f>
        <v>0</v>
      </c>
      <c r="G44" s="41">
        <f>SUMIF('2-3. Travel Costs&amp;Costs of Stay'!C:C,B44,'2-3. Travel Costs&amp;Costs of Stay'!L:L)</f>
        <v>0</v>
      </c>
      <c r="H44" s="41">
        <f>SUMIF('2-3. Travel Costs&amp;Costs of Stay'!C:C,B44,'2-3. Travel Costs&amp;Costs of Stay'!M:M)</f>
        <v>0</v>
      </c>
      <c r="I44" s="41">
        <f>SUMIF('4. Equipment Costs'!C:C,B44,'4. Equipment Costs'!H:H)</f>
        <v>0</v>
      </c>
      <c r="J44" s="41">
        <f>SUMIF('5. Subcontracting Costs'!C:C,B44,'5. Subcontracting Costs'!H:H)</f>
        <v>0</v>
      </c>
      <c r="K44" s="42">
        <f>SUMIF('B. Special Mob Strand - Student'!B:B,B44,'B. Special Mob Strand - Student'!N:N)+SUMIF('B. Special Mob Strand - Staff'!B:B,B44,'B. Special Mob Strand - Staff'!N:N)</f>
        <v>0</v>
      </c>
      <c r="L44" s="43">
        <f t="shared" si="1"/>
        <v>0</v>
      </c>
    </row>
    <row r="45" spans="2:12" x14ac:dyDescent="0.25">
      <c r="B45" s="123" t="s">
        <v>161</v>
      </c>
      <c r="C45" s="44"/>
      <c r="D45" s="39"/>
      <c r="E45" s="40" t="str">
        <f t="shared" si="0"/>
        <v/>
      </c>
      <c r="F45" s="41">
        <f>SUMIF('1. Staff costs'!C:C,B45,'1. Staff costs'!S:S)</f>
        <v>0</v>
      </c>
      <c r="G45" s="41">
        <f>SUMIF('2-3. Travel Costs&amp;Costs of Stay'!C:C,B45,'2-3. Travel Costs&amp;Costs of Stay'!L:L)</f>
        <v>0</v>
      </c>
      <c r="H45" s="41">
        <f>SUMIF('2-3. Travel Costs&amp;Costs of Stay'!C:C,B45,'2-3. Travel Costs&amp;Costs of Stay'!M:M)</f>
        <v>0</v>
      </c>
      <c r="I45" s="41">
        <f>SUMIF('4. Equipment Costs'!C:C,B45,'4. Equipment Costs'!H:H)</f>
        <v>0</v>
      </c>
      <c r="J45" s="41">
        <f>SUMIF('5. Subcontracting Costs'!C:C,B45,'5. Subcontracting Costs'!H:H)</f>
        <v>0</v>
      </c>
      <c r="K45" s="42">
        <f>SUMIF('B. Special Mob Strand - Student'!B:B,B45,'B. Special Mob Strand - Student'!N:N)+SUMIF('B. Special Mob Strand - Staff'!B:B,B45,'B. Special Mob Strand - Staff'!N:N)</f>
        <v>0</v>
      </c>
      <c r="L45" s="43">
        <f t="shared" si="1"/>
        <v>0</v>
      </c>
    </row>
    <row r="46" spans="2:12" x14ac:dyDescent="0.25">
      <c r="B46" s="123" t="s">
        <v>21</v>
      </c>
      <c r="C46" s="44"/>
      <c r="D46" s="39"/>
      <c r="E46" s="40" t="str">
        <f t="shared" si="0"/>
        <v/>
      </c>
      <c r="F46" s="41">
        <f>SUMIF('1. Staff costs'!C:C,B46,'1. Staff costs'!S:S)</f>
        <v>0</v>
      </c>
      <c r="G46" s="41">
        <f>SUMIF('2-3. Travel Costs&amp;Costs of Stay'!C:C,B46,'2-3. Travel Costs&amp;Costs of Stay'!L:L)</f>
        <v>0</v>
      </c>
      <c r="H46" s="41">
        <f>SUMIF('2-3. Travel Costs&amp;Costs of Stay'!C:C,B46,'2-3. Travel Costs&amp;Costs of Stay'!M:M)</f>
        <v>0</v>
      </c>
      <c r="I46" s="41">
        <f>SUMIF('4. Equipment Costs'!C:C,B46,'4. Equipment Costs'!H:H)</f>
        <v>0</v>
      </c>
      <c r="J46" s="41">
        <f>SUMIF('5. Subcontracting Costs'!C:C,B46,'5. Subcontracting Costs'!H:H)</f>
        <v>0</v>
      </c>
      <c r="K46" s="42">
        <f>SUMIF('B. Special Mob Strand - Student'!B:B,B46,'B. Special Mob Strand - Student'!N:N)+SUMIF('B. Special Mob Strand - Staff'!B:B,B46,'B. Special Mob Strand - Staff'!N:N)</f>
        <v>0</v>
      </c>
      <c r="L46" s="43">
        <f t="shared" si="1"/>
        <v>0</v>
      </c>
    </row>
    <row r="47" spans="2:12" x14ac:dyDescent="0.25">
      <c r="B47" s="123" t="s">
        <v>22</v>
      </c>
      <c r="C47" s="44"/>
      <c r="D47" s="39"/>
      <c r="E47" s="40" t="str">
        <f t="shared" si="0"/>
        <v/>
      </c>
      <c r="F47" s="41">
        <f>SUMIF('1. Staff costs'!C:C,B47,'1. Staff costs'!S:S)</f>
        <v>0</v>
      </c>
      <c r="G47" s="41">
        <f>SUMIF('2-3. Travel Costs&amp;Costs of Stay'!C:C,B47,'2-3. Travel Costs&amp;Costs of Stay'!L:L)</f>
        <v>0</v>
      </c>
      <c r="H47" s="41">
        <f>SUMIF('2-3. Travel Costs&amp;Costs of Stay'!C:C,B47,'2-3. Travel Costs&amp;Costs of Stay'!M:M)</f>
        <v>0</v>
      </c>
      <c r="I47" s="41">
        <f>SUMIF('4. Equipment Costs'!C:C,B47,'4. Equipment Costs'!H:H)</f>
        <v>0</v>
      </c>
      <c r="J47" s="41">
        <f>SUMIF('5. Subcontracting Costs'!C:C,B47,'5. Subcontracting Costs'!H:H)</f>
        <v>0</v>
      </c>
      <c r="K47" s="42">
        <f>SUMIF('B. Special Mob Strand - Student'!B:B,B47,'B. Special Mob Strand - Student'!N:N)+SUMIF('B. Special Mob Strand - Staff'!B:B,B47,'B. Special Mob Strand - Staff'!N:N)</f>
        <v>0</v>
      </c>
      <c r="L47" s="43">
        <f t="shared" si="1"/>
        <v>0</v>
      </c>
    </row>
    <row r="48" spans="2:12" x14ac:dyDescent="0.25">
      <c r="B48" s="123" t="s">
        <v>23</v>
      </c>
      <c r="C48" s="44"/>
      <c r="D48" s="39"/>
      <c r="E48" s="40" t="str">
        <f t="shared" si="0"/>
        <v/>
      </c>
      <c r="F48" s="41">
        <f>SUMIF('1. Staff costs'!C:C,B48,'1. Staff costs'!S:S)</f>
        <v>0</v>
      </c>
      <c r="G48" s="41">
        <f>SUMIF('2-3. Travel Costs&amp;Costs of Stay'!C:C,B48,'2-3. Travel Costs&amp;Costs of Stay'!L:L)</f>
        <v>0</v>
      </c>
      <c r="H48" s="41">
        <f>SUMIF('2-3. Travel Costs&amp;Costs of Stay'!C:C,B48,'2-3. Travel Costs&amp;Costs of Stay'!M:M)</f>
        <v>0</v>
      </c>
      <c r="I48" s="41">
        <f>SUMIF('4. Equipment Costs'!C:C,B48,'4. Equipment Costs'!H:H)</f>
        <v>0</v>
      </c>
      <c r="J48" s="41">
        <f>SUMIF('5. Subcontracting Costs'!C:C,B48,'5. Subcontracting Costs'!H:H)</f>
        <v>0</v>
      </c>
      <c r="K48" s="42">
        <f>SUMIF('B. Special Mob Strand - Student'!B:B,B48,'B. Special Mob Strand - Student'!N:N)+SUMIF('B. Special Mob Strand - Staff'!B:B,B48,'B. Special Mob Strand - Staff'!N:N)</f>
        <v>0</v>
      </c>
      <c r="L48" s="43">
        <f t="shared" si="1"/>
        <v>0</v>
      </c>
    </row>
    <row r="49" spans="2:12" x14ac:dyDescent="0.25">
      <c r="B49" s="123" t="s">
        <v>24</v>
      </c>
      <c r="C49" s="44"/>
      <c r="D49" s="39"/>
      <c r="E49" s="40" t="str">
        <f t="shared" si="0"/>
        <v/>
      </c>
      <c r="F49" s="41">
        <f>SUMIF('1. Staff costs'!C:C,B49,'1. Staff costs'!S:S)</f>
        <v>0</v>
      </c>
      <c r="G49" s="41">
        <f>SUMIF('2-3. Travel Costs&amp;Costs of Stay'!C:C,B49,'2-3. Travel Costs&amp;Costs of Stay'!L:L)</f>
        <v>0</v>
      </c>
      <c r="H49" s="41">
        <f>SUMIF('2-3. Travel Costs&amp;Costs of Stay'!C:C,B49,'2-3. Travel Costs&amp;Costs of Stay'!M:M)</f>
        <v>0</v>
      </c>
      <c r="I49" s="41">
        <f>SUMIF('4. Equipment Costs'!C:C,B49,'4. Equipment Costs'!H:H)</f>
        <v>0</v>
      </c>
      <c r="J49" s="41">
        <f>SUMIF('5. Subcontracting Costs'!C:C,B49,'5. Subcontracting Costs'!H:H)</f>
        <v>0</v>
      </c>
      <c r="K49" s="42">
        <f>SUMIF('B. Special Mob Strand - Student'!B:B,B49,'B. Special Mob Strand - Student'!N:N)+SUMIF('B. Special Mob Strand - Staff'!B:B,B49,'B. Special Mob Strand - Staff'!N:N)</f>
        <v>0</v>
      </c>
      <c r="L49" s="43">
        <f t="shared" si="1"/>
        <v>0</v>
      </c>
    </row>
    <row r="50" spans="2:12" x14ac:dyDescent="0.25">
      <c r="B50" s="123" t="s">
        <v>25</v>
      </c>
      <c r="C50" s="44"/>
      <c r="D50" s="39"/>
      <c r="E50" s="40" t="str">
        <f t="shared" si="0"/>
        <v/>
      </c>
      <c r="F50" s="41">
        <f>SUMIF('1. Staff costs'!C:C,B50,'1. Staff costs'!S:S)</f>
        <v>0</v>
      </c>
      <c r="G50" s="41">
        <f>SUMIF('2-3. Travel Costs&amp;Costs of Stay'!C:C,B50,'2-3. Travel Costs&amp;Costs of Stay'!L:L)</f>
        <v>0</v>
      </c>
      <c r="H50" s="41">
        <f>SUMIF('2-3. Travel Costs&amp;Costs of Stay'!C:C,B50,'2-3. Travel Costs&amp;Costs of Stay'!M:M)</f>
        <v>0</v>
      </c>
      <c r="I50" s="41">
        <f>SUMIF('4. Equipment Costs'!C:C,B50,'4. Equipment Costs'!H:H)</f>
        <v>0</v>
      </c>
      <c r="J50" s="41">
        <f>SUMIF('5. Subcontracting Costs'!C:C,B50,'5. Subcontracting Costs'!H:H)</f>
        <v>0</v>
      </c>
      <c r="K50" s="42">
        <f>SUMIF('B. Special Mob Strand - Student'!B:B,B50,'B. Special Mob Strand - Student'!N:N)+SUMIF('B. Special Mob Strand - Staff'!B:B,B50,'B. Special Mob Strand - Staff'!N:N)</f>
        <v>0</v>
      </c>
      <c r="L50" s="43">
        <f t="shared" si="1"/>
        <v>0</v>
      </c>
    </row>
    <row r="51" spans="2:12" x14ac:dyDescent="0.25">
      <c r="B51" s="123" t="s">
        <v>26</v>
      </c>
      <c r="C51" s="44"/>
      <c r="D51" s="39"/>
      <c r="E51" s="40" t="str">
        <f t="shared" si="0"/>
        <v/>
      </c>
      <c r="F51" s="41">
        <f>SUMIF('1. Staff costs'!C:C,B51,'1. Staff costs'!S:S)</f>
        <v>0</v>
      </c>
      <c r="G51" s="41">
        <f>SUMIF('2-3. Travel Costs&amp;Costs of Stay'!C:C,B51,'2-3. Travel Costs&amp;Costs of Stay'!L:L)</f>
        <v>0</v>
      </c>
      <c r="H51" s="41">
        <f>SUMIF('2-3. Travel Costs&amp;Costs of Stay'!C:C,B51,'2-3. Travel Costs&amp;Costs of Stay'!M:M)</f>
        <v>0</v>
      </c>
      <c r="I51" s="41">
        <f>SUMIF('4. Equipment Costs'!C:C,B51,'4. Equipment Costs'!H:H)</f>
        <v>0</v>
      </c>
      <c r="J51" s="41">
        <f>SUMIF('5. Subcontracting Costs'!C:C,B51,'5. Subcontracting Costs'!H:H)</f>
        <v>0</v>
      </c>
      <c r="K51" s="42">
        <f>SUMIF('B. Special Mob Strand - Student'!B:B,B51,'B. Special Mob Strand - Student'!N:N)+SUMIF('B. Special Mob Strand - Staff'!B:B,B51,'B. Special Mob Strand - Staff'!N:N)</f>
        <v>0</v>
      </c>
      <c r="L51" s="43">
        <f t="shared" si="1"/>
        <v>0</v>
      </c>
    </row>
    <row r="52" spans="2:12" x14ac:dyDescent="0.25">
      <c r="B52" s="123" t="s">
        <v>27</v>
      </c>
      <c r="C52" s="44"/>
      <c r="D52" s="39"/>
      <c r="E52" s="40" t="str">
        <f t="shared" si="0"/>
        <v/>
      </c>
      <c r="F52" s="41">
        <f>SUMIF('1. Staff costs'!C:C,B52,'1. Staff costs'!S:S)</f>
        <v>0</v>
      </c>
      <c r="G52" s="41">
        <f>SUMIF('2-3. Travel Costs&amp;Costs of Stay'!C:C,B52,'2-3. Travel Costs&amp;Costs of Stay'!L:L)</f>
        <v>0</v>
      </c>
      <c r="H52" s="41">
        <f>SUMIF('2-3. Travel Costs&amp;Costs of Stay'!C:C,B52,'2-3. Travel Costs&amp;Costs of Stay'!M:M)</f>
        <v>0</v>
      </c>
      <c r="I52" s="41">
        <f>SUMIF('4. Equipment Costs'!C:C,B52,'4. Equipment Costs'!H:H)</f>
        <v>0</v>
      </c>
      <c r="J52" s="41">
        <f>SUMIF('5. Subcontracting Costs'!C:C,B52,'5. Subcontracting Costs'!H:H)</f>
        <v>0</v>
      </c>
      <c r="K52" s="42">
        <f>SUMIF('B. Special Mob Strand - Student'!B:B,B52,'B. Special Mob Strand - Student'!N:N)+SUMIF('B. Special Mob Strand - Staff'!B:B,B52,'B. Special Mob Strand - Staff'!N:N)</f>
        <v>0</v>
      </c>
      <c r="L52" s="43">
        <f t="shared" si="1"/>
        <v>0</v>
      </c>
    </row>
    <row r="53" spans="2:12" x14ac:dyDescent="0.25">
      <c r="B53" s="123" t="s">
        <v>112</v>
      </c>
      <c r="C53" s="44"/>
      <c r="D53" s="39"/>
      <c r="E53" s="40" t="str">
        <f t="shared" si="0"/>
        <v/>
      </c>
      <c r="F53" s="41">
        <f>SUMIF('1. Staff costs'!C:C,B53,'1. Staff costs'!S:S)</f>
        <v>0</v>
      </c>
      <c r="G53" s="41">
        <f>SUMIF('2-3. Travel Costs&amp;Costs of Stay'!C:C,B53,'2-3. Travel Costs&amp;Costs of Stay'!L:L)</f>
        <v>0</v>
      </c>
      <c r="H53" s="41">
        <f>SUMIF('2-3. Travel Costs&amp;Costs of Stay'!C:C,B53,'2-3. Travel Costs&amp;Costs of Stay'!M:M)</f>
        <v>0</v>
      </c>
      <c r="I53" s="41">
        <f>SUMIF('4. Equipment Costs'!C:C,B53,'4. Equipment Costs'!H:H)</f>
        <v>0</v>
      </c>
      <c r="J53" s="41">
        <f>SUMIF('5. Subcontracting Costs'!C:C,B53,'5. Subcontracting Costs'!H:H)</f>
        <v>0</v>
      </c>
      <c r="K53" s="42">
        <f>SUMIF('B. Special Mob Strand - Student'!B:B,B53,'B. Special Mob Strand - Student'!N:N)+SUMIF('B. Special Mob Strand - Staff'!B:B,B53,'B. Special Mob Strand - Staff'!N:N)</f>
        <v>0</v>
      </c>
      <c r="L53" s="43">
        <f t="shared" si="1"/>
        <v>0</v>
      </c>
    </row>
    <row r="54" spans="2:12" x14ac:dyDescent="0.25">
      <c r="B54" s="123" t="s">
        <v>113</v>
      </c>
      <c r="C54" s="44"/>
      <c r="D54" s="39"/>
      <c r="E54" s="40" t="str">
        <f t="shared" si="0"/>
        <v/>
      </c>
      <c r="F54" s="41">
        <f>SUMIF('1. Staff costs'!C:C,B54,'1. Staff costs'!S:S)</f>
        <v>0</v>
      </c>
      <c r="G54" s="41">
        <f>SUMIF('2-3. Travel Costs&amp;Costs of Stay'!C:C,B54,'2-3. Travel Costs&amp;Costs of Stay'!L:L)</f>
        <v>0</v>
      </c>
      <c r="H54" s="41">
        <f>SUMIF('2-3. Travel Costs&amp;Costs of Stay'!C:C,B54,'2-3. Travel Costs&amp;Costs of Stay'!M:M)</f>
        <v>0</v>
      </c>
      <c r="I54" s="41">
        <f>SUMIF('4. Equipment Costs'!C:C,B54,'4. Equipment Costs'!H:H)</f>
        <v>0</v>
      </c>
      <c r="J54" s="41">
        <f>SUMIF('5. Subcontracting Costs'!C:C,B54,'5. Subcontracting Costs'!H:H)</f>
        <v>0</v>
      </c>
      <c r="K54" s="42">
        <f>SUMIF('B. Special Mob Strand - Student'!B:B,B54,'B. Special Mob Strand - Student'!N:N)+SUMIF('B. Special Mob Strand - Staff'!B:B,B54,'B. Special Mob Strand - Staff'!N:N)</f>
        <v>0</v>
      </c>
      <c r="L54" s="43">
        <f t="shared" si="1"/>
        <v>0</v>
      </c>
    </row>
    <row r="55" spans="2:12" x14ac:dyDescent="0.25">
      <c r="B55" s="123" t="s">
        <v>114</v>
      </c>
      <c r="C55" s="44"/>
      <c r="D55" s="39"/>
      <c r="E55" s="40" t="str">
        <f t="shared" si="0"/>
        <v/>
      </c>
      <c r="F55" s="41">
        <f>SUMIF('1. Staff costs'!C:C,B55,'1. Staff costs'!S:S)</f>
        <v>0</v>
      </c>
      <c r="G55" s="41">
        <f>SUMIF('2-3. Travel Costs&amp;Costs of Stay'!C:C,B55,'2-3. Travel Costs&amp;Costs of Stay'!L:L)</f>
        <v>0</v>
      </c>
      <c r="H55" s="41">
        <f>SUMIF('2-3. Travel Costs&amp;Costs of Stay'!C:C,B55,'2-3. Travel Costs&amp;Costs of Stay'!M:M)</f>
        <v>0</v>
      </c>
      <c r="I55" s="41">
        <f>SUMIF('4. Equipment Costs'!C:C,B55,'4. Equipment Costs'!H:H)</f>
        <v>0</v>
      </c>
      <c r="J55" s="41">
        <f>SUMIF('5. Subcontracting Costs'!C:C,B55,'5. Subcontracting Costs'!H:H)</f>
        <v>0</v>
      </c>
      <c r="K55" s="42">
        <f>SUMIF('B. Special Mob Strand - Student'!B:B,B55,'B. Special Mob Strand - Student'!N:N)+SUMIF('B. Special Mob Strand - Staff'!B:B,B55,'B. Special Mob Strand - Staff'!N:N)</f>
        <v>0</v>
      </c>
      <c r="L55" s="43">
        <f t="shared" si="1"/>
        <v>0</v>
      </c>
    </row>
    <row r="56" spans="2:12" x14ac:dyDescent="0.25">
      <c r="B56" s="123" t="s">
        <v>115</v>
      </c>
      <c r="C56" s="44"/>
      <c r="D56" s="39"/>
      <c r="E56" s="40" t="str">
        <f t="shared" si="0"/>
        <v/>
      </c>
      <c r="F56" s="41">
        <f>SUMIF('1. Staff costs'!C:C,B56,'1. Staff costs'!S:S)</f>
        <v>0</v>
      </c>
      <c r="G56" s="41">
        <f>SUMIF('2-3. Travel Costs&amp;Costs of Stay'!C:C,B56,'2-3. Travel Costs&amp;Costs of Stay'!L:L)</f>
        <v>0</v>
      </c>
      <c r="H56" s="41">
        <f>SUMIF('2-3. Travel Costs&amp;Costs of Stay'!C:C,B56,'2-3. Travel Costs&amp;Costs of Stay'!M:M)</f>
        <v>0</v>
      </c>
      <c r="I56" s="41">
        <f>SUMIF('4. Equipment Costs'!C:C,B56,'4. Equipment Costs'!H:H)</f>
        <v>0</v>
      </c>
      <c r="J56" s="41">
        <f>SUMIF('5. Subcontracting Costs'!C:C,B56,'5. Subcontracting Costs'!H:H)</f>
        <v>0</v>
      </c>
      <c r="K56" s="42">
        <f>SUMIF('B. Special Mob Strand - Student'!B:B,B56,'B. Special Mob Strand - Student'!N:N)+SUMIF('B. Special Mob Strand - Staff'!B:B,B56,'B. Special Mob Strand - Staff'!N:N)</f>
        <v>0</v>
      </c>
      <c r="L56" s="43">
        <f t="shared" si="1"/>
        <v>0</v>
      </c>
    </row>
    <row r="57" spans="2:12" x14ac:dyDescent="0.25">
      <c r="B57" s="123" t="s">
        <v>116</v>
      </c>
      <c r="C57" s="44"/>
      <c r="D57" s="39"/>
      <c r="E57" s="40" t="str">
        <f t="shared" si="0"/>
        <v/>
      </c>
      <c r="F57" s="41">
        <f>SUMIF('1. Staff costs'!C:C,B57,'1. Staff costs'!S:S)</f>
        <v>0</v>
      </c>
      <c r="G57" s="41">
        <f>SUMIF('2-3. Travel Costs&amp;Costs of Stay'!C:C,B57,'2-3. Travel Costs&amp;Costs of Stay'!L:L)</f>
        <v>0</v>
      </c>
      <c r="H57" s="41">
        <f>SUMIF('2-3. Travel Costs&amp;Costs of Stay'!C:C,B57,'2-3. Travel Costs&amp;Costs of Stay'!M:M)</f>
        <v>0</v>
      </c>
      <c r="I57" s="41">
        <f>SUMIF('4. Equipment Costs'!C:C,B57,'4. Equipment Costs'!H:H)</f>
        <v>0</v>
      </c>
      <c r="J57" s="41">
        <f>SUMIF('5. Subcontracting Costs'!C:C,B57,'5. Subcontracting Costs'!H:H)</f>
        <v>0</v>
      </c>
      <c r="K57" s="42">
        <f>SUMIF('B. Special Mob Strand - Student'!B:B,B57,'B. Special Mob Strand - Student'!N:N)+SUMIF('B. Special Mob Strand - Staff'!B:B,B57,'B. Special Mob Strand - Staff'!N:N)</f>
        <v>0</v>
      </c>
      <c r="L57" s="43">
        <f t="shared" si="1"/>
        <v>0</v>
      </c>
    </row>
    <row r="58" spans="2:12" x14ac:dyDescent="0.25">
      <c r="B58" s="123" t="s">
        <v>117</v>
      </c>
      <c r="C58" s="44"/>
      <c r="D58" s="39"/>
      <c r="E58" s="40" t="str">
        <f t="shared" si="0"/>
        <v/>
      </c>
      <c r="F58" s="41">
        <f>SUMIF('1. Staff costs'!C:C,B58,'1. Staff costs'!S:S)</f>
        <v>0</v>
      </c>
      <c r="G58" s="41">
        <f>SUMIF('2-3. Travel Costs&amp;Costs of Stay'!C:C,B58,'2-3. Travel Costs&amp;Costs of Stay'!L:L)</f>
        <v>0</v>
      </c>
      <c r="H58" s="41">
        <f>SUMIF('2-3. Travel Costs&amp;Costs of Stay'!C:C,B58,'2-3. Travel Costs&amp;Costs of Stay'!M:M)</f>
        <v>0</v>
      </c>
      <c r="I58" s="41">
        <f>SUMIF('4. Equipment Costs'!C:C,B58,'4. Equipment Costs'!H:H)</f>
        <v>0</v>
      </c>
      <c r="J58" s="41">
        <f>SUMIF('5. Subcontracting Costs'!C:C,B58,'5. Subcontracting Costs'!H:H)</f>
        <v>0</v>
      </c>
      <c r="K58" s="42">
        <f>SUMIF('B. Special Mob Strand - Student'!B:B,B58,'B. Special Mob Strand - Student'!N:N)+SUMIF('B. Special Mob Strand - Staff'!B:B,B58,'B. Special Mob Strand - Staff'!N:N)</f>
        <v>0</v>
      </c>
      <c r="L58" s="43">
        <f t="shared" si="1"/>
        <v>0</v>
      </c>
    </row>
    <row r="59" spans="2:12" x14ac:dyDescent="0.25">
      <c r="B59" s="123" t="s">
        <v>118</v>
      </c>
      <c r="C59" s="44"/>
      <c r="D59" s="39"/>
      <c r="E59" s="40" t="str">
        <f t="shared" si="0"/>
        <v/>
      </c>
      <c r="F59" s="41">
        <f>SUMIF('1. Staff costs'!C:C,B59,'1. Staff costs'!S:S)</f>
        <v>0</v>
      </c>
      <c r="G59" s="41">
        <f>SUMIF('2-3. Travel Costs&amp;Costs of Stay'!C:C,B59,'2-3. Travel Costs&amp;Costs of Stay'!L:L)</f>
        <v>0</v>
      </c>
      <c r="H59" s="41">
        <f>SUMIF('2-3. Travel Costs&amp;Costs of Stay'!C:C,B59,'2-3. Travel Costs&amp;Costs of Stay'!M:M)</f>
        <v>0</v>
      </c>
      <c r="I59" s="41">
        <f>SUMIF('4. Equipment Costs'!C:C,B59,'4. Equipment Costs'!H:H)</f>
        <v>0</v>
      </c>
      <c r="J59" s="41">
        <f>SUMIF('5. Subcontracting Costs'!C:C,B59,'5. Subcontracting Costs'!H:H)</f>
        <v>0</v>
      </c>
      <c r="K59" s="42">
        <f>SUMIF('B. Special Mob Strand - Student'!B:B,B59,'B. Special Mob Strand - Student'!N:N)+SUMIF('B. Special Mob Strand - Staff'!B:B,B59,'B. Special Mob Strand - Staff'!N:N)</f>
        <v>0</v>
      </c>
      <c r="L59" s="43">
        <f t="shared" si="1"/>
        <v>0</v>
      </c>
    </row>
    <row r="60" spans="2:12" x14ac:dyDescent="0.25">
      <c r="B60" s="123" t="s">
        <v>119</v>
      </c>
      <c r="C60" s="44"/>
      <c r="D60" s="39"/>
      <c r="E60" s="40" t="str">
        <f t="shared" si="0"/>
        <v/>
      </c>
      <c r="F60" s="41">
        <f>SUMIF('1. Staff costs'!C:C,B60,'1. Staff costs'!S:S)</f>
        <v>0</v>
      </c>
      <c r="G60" s="41">
        <f>SUMIF('2-3. Travel Costs&amp;Costs of Stay'!C:C,B60,'2-3. Travel Costs&amp;Costs of Stay'!L:L)</f>
        <v>0</v>
      </c>
      <c r="H60" s="41">
        <f>SUMIF('2-3. Travel Costs&amp;Costs of Stay'!C:C,B60,'2-3. Travel Costs&amp;Costs of Stay'!M:M)</f>
        <v>0</v>
      </c>
      <c r="I60" s="41">
        <f>SUMIF('4. Equipment Costs'!C:C,B60,'4. Equipment Costs'!H:H)</f>
        <v>0</v>
      </c>
      <c r="J60" s="41">
        <f>SUMIF('5. Subcontracting Costs'!C:C,B60,'5. Subcontracting Costs'!H:H)</f>
        <v>0</v>
      </c>
      <c r="K60" s="42">
        <f>SUMIF('B. Special Mob Strand - Student'!B:B,B60,'B. Special Mob Strand - Student'!N:N)+SUMIF('B. Special Mob Strand - Staff'!B:B,B60,'B. Special Mob Strand - Staff'!N:N)</f>
        <v>0</v>
      </c>
      <c r="L60" s="43">
        <f t="shared" si="1"/>
        <v>0</v>
      </c>
    </row>
    <row r="61" spans="2:12" x14ac:dyDescent="0.25">
      <c r="B61" s="123" t="s">
        <v>120</v>
      </c>
      <c r="C61" s="44"/>
      <c r="D61" s="39"/>
      <c r="E61" s="40" t="str">
        <f t="shared" si="0"/>
        <v/>
      </c>
      <c r="F61" s="41">
        <f>SUMIF('1. Staff costs'!C:C,B61,'1. Staff costs'!S:S)</f>
        <v>0</v>
      </c>
      <c r="G61" s="41">
        <f>SUMIF('2-3. Travel Costs&amp;Costs of Stay'!C:C,B61,'2-3. Travel Costs&amp;Costs of Stay'!L:L)</f>
        <v>0</v>
      </c>
      <c r="H61" s="41">
        <f>SUMIF('2-3. Travel Costs&amp;Costs of Stay'!C:C,B61,'2-3. Travel Costs&amp;Costs of Stay'!M:M)</f>
        <v>0</v>
      </c>
      <c r="I61" s="41">
        <f>SUMIF('4. Equipment Costs'!C:C,B61,'4. Equipment Costs'!H:H)</f>
        <v>0</v>
      </c>
      <c r="J61" s="41">
        <f>SUMIF('5. Subcontracting Costs'!C:C,B61,'5. Subcontracting Costs'!H:H)</f>
        <v>0</v>
      </c>
      <c r="K61" s="42">
        <f>SUMIF('B. Special Mob Strand - Student'!B:B,B61,'B. Special Mob Strand - Student'!N:N)+SUMIF('B. Special Mob Strand - Staff'!B:B,B61,'B. Special Mob Strand - Staff'!N:N)</f>
        <v>0</v>
      </c>
      <c r="L61" s="43">
        <f t="shared" si="1"/>
        <v>0</v>
      </c>
    </row>
    <row r="62" spans="2:12" x14ac:dyDescent="0.25">
      <c r="B62" s="123" t="s">
        <v>121</v>
      </c>
      <c r="C62" s="44"/>
      <c r="D62" s="39"/>
      <c r="E62" s="40" t="str">
        <f t="shared" si="0"/>
        <v/>
      </c>
      <c r="F62" s="41">
        <f>SUMIF('1. Staff costs'!C:C,B62,'1. Staff costs'!S:S)</f>
        <v>0</v>
      </c>
      <c r="G62" s="41">
        <f>SUMIF('2-3. Travel Costs&amp;Costs of Stay'!C:C,B62,'2-3. Travel Costs&amp;Costs of Stay'!L:L)</f>
        <v>0</v>
      </c>
      <c r="H62" s="41">
        <f>SUMIF('2-3. Travel Costs&amp;Costs of Stay'!C:C,B62,'2-3. Travel Costs&amp;Costs of Stay'!M:M)</f>
        <v>0</v>
      </c>
      <c r="I62" s="41">
        <f>SUMIF('4. Equipment Costs'!C:C,B62,'4. Equipment Costs'!H:H)</f>
        <v>0</v>
      </c>
      <c r="J62" s="41">
        <f>SUMIF('5. Subcontracting Costs'!C:C,B62,'5. Subcontracting Costs'!H:H)</f>
        <v>0</v>
      </c>
      <c r="K62" s="42">
        <f>SUMIF('B. Special Mob Strand - Student'!B:B,B62,'B. Special Mob Strand - Student'!N:N)+SUMIF('B. Special Mob Strand - Staff'!B:B,B62,'B. Special Mob Strand - Staff'!N:N)</f>
        <v>0</v>
      </c>
      <c r="L62" s="43">
        <f t="shared" si="1"/>
        <v>0</v>
      </c>
    </row>
    <row r="63" spans="2:12" x14ac:dyDescent="0.25">
      <c r="B63" s="123" t="s">
        <v>122</v>
      </c>
      <c r="C63" s="44"/>
      <c r="D63" s="39"/>
      <c r="E63" s="40" t="str">
        <f t="shared" si="0"/>
        <v/>
      </c>
      <c r="F63" s="41">
        <f>SUMIF('1. Staff costs'!C:C,B63,'1. Staff costs'!S:S)</f>
        <v>0</v>
      </c>
      <c r="G63" s="41">
        <f>SUMIF('2-3. Travel Costs&amp;Costs of Stay'!C:C,B63,'2-3. Travel Costs&amp;Costs of Stay'!L:L)</f>
        <v>0</v>
      </c>
      <c r="H63" s="41">
        <f>SUMIF('2-3. Travel Costs&amp;Costs of Stay'!C:C,B63,'2-3. Travel Costs&amp;Costs of Stay'!M:M)</f>
        <v>0</v>
      </c>
      <c r="I63" s="41">
        <f>SUMIF('4. Equipment Costs'!C:C,B63,'4. Equipment Costs'!H:H)</f>
        <v>0</v>
      </c>
      <c r="J63" s="41">
        <f>SUMIF('5. Subcontracting Costs'!C:C,B63,'5. Subcontracting Costs'!H:H)</f>
        <v>0</v>
      </c>
      <c r="K63" s="42">
        <f>SUMIF('B. Special Mob Strand - Student'!B:B,B63,'B. Special Mob Strand - Student'!N:N)+SUMIF('B. Special Mob Strand - Staff'!B:B,B63,'B. Special Mob Strand - Staff'!N:N)</f>
        <v>0</v>
      </c>
      <c r="L63" s="43">
        <f t="shared" si="1"/>
        <v>0</v>
      </c>
    </row>
    <row r="64" spans="2:12" x14ac:dyDescent="0.25">
      <c r="B64" s="123" t="s">
        <v>123</v>
      </c>
      <c r="C64" s="44"/>
      <c r="D64" s="39"/>
      <c r="E64" s="40" t="str">
        <f t="shared" si="0"/>
        <v/>
      </c>
      <c r="F64" s="41">
        <f>SUMIF('1. Staff costs'!C:C,B64,'1. Staff costs'!S:S)</f>
        <v>0</v>
      </c>
      <c r="G64" s="41">
        <f>SUMIF('2-3. Travel Costs&amp;Costs of Stay'!C:C,B64,'2-3. Travel Costs&amp;Costs of Stay'!L:L)</f>
        <v>0</v>
      </c>
      <c r="H64" s="41">
        <f>SUMIF('2-3. Travel Costs&amp;Costs of Stay'!C:C,B64,'2-3. Travel Costs&amp;Costs of Stay'!M:M)</f>
        <v>0</v>
      </c>
      <c r="I64" s="41">
        <f>SUMIF('4. Equipment Costs'!C:C,B64,'4. Equipment Costs'!H:H)</f>
        <v>0</v>
      </c>
      <c r="J64" s="41">
        <f>SUMIF('5. Subcontracting Costs'!C:C,B64,'5. Subcontracting Costs'!H:H)</f>
        <v>0</v>
      </c>
      <c r="K64" s="42">
        <f>SUMIF('B. Special Mob Strand - Student'!B:B,B64,'B. Special Mob Strand - Student'!N:N)+SUMIF('B. Special Mob Strand - Staff'!B:B,B64,'B. Special Mob Strand - Staff'!N:N)</f>
        <v>0</v>
      </c>
      <c r="L64" s="43">
        <f t="shared" si="1"/>
        <v>0</v>
      </c>
    </row>
    <row r="65" spans="2:12" x14ac:dyDescent="0.25">
      <c r="B65" s="123" t="s">
        <v>124</v>
      </c>
      <c r="C65" s="44"/>
      <c r="D65" s="39"/>
      <c r="E65" s="40" t="str">
        <f t="shared" si="0"/>
        <v/>
      </c>
      <c r="F65" s="41">
        <f>SUMIF('1. Staff costs'!C:C,B65,'1. Staff costs'!S:S)</f>
        <v>0</v>
      </c>
      <c r="G65" s="41">
        <f>SUMIF('2-3. Travel Costs&amp;Costs of Stay'!C:C,B65,'2-3. Travel Costs&amp;Costs of Stay'!L:L)</f>
        <v>0</v>
      </c>
      <c r="H65" s="41">
        <f>SUMIF('2-3. Travel Costs&amp;Costs of Stay'!C:C,B65,'2-3. Travel Costs&amp;Costs of Stay'!M:M)</f>
        <v>0</v>
      </c>
      <c r="I65" s="41">
        <f>SUMIF('4. Equipment Costs'!C:C,B65,'4. Equipment Costs'!H:H)</f>
        <v>0</v>
      </c>
      <c r="J65" s="41">
        <f>SUMIF('5. Subcontracting Costs'!C:C,B65,'5. Subcontracting Costs'!H:H)</f>
        <v>0</v>
      </c>
      <c r="K65" s="42">
        <f>SUMIF('B. Special Mob Strand - Student'!B:B,B65,'B. Special Mob Strand - Student'!N:N)+SUMIF('B. Special Mob Strand - Staff'!B:B,B65,'B. Special Mob Strand - Staff'!N:N)</f>
        <v>0</v>
      </c>
      <c r="L65" s="43">
        <f t="shared" si="1"/>
        <v>0</v>
      </c>
    </row>
    <row r="66" spans="2:12" x14ac:dyDescent="0.25">
      <c r="B66" s="123" t="s">
        <v>125</v>
      </c>
      <c r="C66" s="44"/>
      <c r="D66" s="39"/>
      <c r="E66" s="40" t="str">
        <f t="shared" si="0"/>
        <v/>
      </c>
      <c r="F66" s="41">
        <f>SUMIF('1. Staff costs'!C:C,B66,'1. Staff costs'!S:S)</f>
        <v>0</v>
      </c>
      <c r="G66" s="41">
        <f>SUMIF('2-3. Travel Costs&amp;Costs of Stay'!C:C,B66,'2-3. Travel Costs&amp;Costs of Stay'!L:L)</f>
        <v>0</v>
      </c>
      <c r="H66" s="41">
        <f>SUMIF('2-3. Travel Costs&amp;Costs of Stay'!C:C,B66,'2-3. Travel Costs&amp;Costs of Stay'!M:M)</f>
        <v>0</v>
      </c>
      <c r="I66" s="41">
        <f>SUMIF('4. Equipment Costs'!C:C,B66,'4. Equipment Costs'!H:H)</f>
        <v>0</v>
      </c>
      <c r="J66" s="41">
        <f>SUMIF('5. Subcontracting Costs'!C:C,B66,'5. Subcontracting Costs'!H:H)</f>
        <v>0</v>
      </c>
      <c r="K66" s="42">
        <f>SUMIF('B. Special Mob Strand - Student'!B:B,B66,'B. Special Mob Strand - Student'!N:N)+SUMIF('B. Special Mob Strand - Staff'!B:B,B66,'B. Special Mob Strand - Staff'!N:N)</f>
        <v>0</v>
      </c>
      <c r="L66" s="43">
        <f t="shared" si="1"/>
        <v>0</v>
      </c>
    </row>
    <row r="67" spans="2:12" x14ac:dyDescent="0.25">
      <c r="B67" s="123" t="s">
        <v>126</v>
      </c>
      <c r="C67" s="44"/>
      <c r="D67" s="39"/>
      <c r="E67" s="40" t="str">
        <f t="shared" si="0"/>
        <v/>
      </c>
      <c r="F67" s="41">
        <f>SUMIF('1. Staff costs'!C:C,B67,'1. Staff costs'!S:S)</f>
        <v>0</v>
      </c>
      <c r="G67" s="41">
        <f>SUMIF('2-3. Travel Costs&amp;Costs of Stay'!C:C,B67,'2-3. Travel Costs&amp;Costs of Stay'!L:L)</f>
        <v>0</v>
      </c>
      <c r="H67" s="41">
        <f>SUMIF('2-3. Travel Costs&amp;Costs of Stay'!C:C,B67,'2-3. Travel Costs&amp;Costs of Stay'!M:M)</f>
        <v>0</v>
      </c>
      <c r="I67" s="41">
        <f>SUMIF('4. Equipment Costs'!C:C,B67,'4. Equipment Costs'!H:H)</f>
        <v>0</v>
      </c>
      <c r="J67" s="41">
        <f>SUMIF('5. Subcontracting Costs'!C:C,B67,'5. Subcontracting Costs'!H:H)</f>
        <v>0</v>
      </c>
      <c r="K67" s="42">
        <f>SUMIF('B. Special Mob Strand - Student'!B:B,B67,'B. Special Mob Strand - Student'!N:N)+SUMIF('B. Special Mob Strand - Staff'!B:B,B67,'B. Special Mob Strand - Staff'!N:N)</f>
        <v>0</v>
      </c>
      <c r="L67" s="43">
        <f t="shared" si="1"/>
        <v>0</v>
      </c>
    </row>
    <row r="68" spans="2:12" x14ac:dyDescent="0.25">
      <c r="B68" s="123" t="s">
        <v>127</v>
      </c>
      <c r="C68" s="44"/>
      <c r="D68" s="39"/>
      <c r="E68" s="40" t="str">
        <f t="shared" si="0"/>
        <v/>
      </c>
      <c r="F68" s="41">
        <f>SUMIF('1. Staff costs'!C:C,B68,'1. Staff costs'!S:S)</f>
        <v>0</v>
      </c>
      <c r="G68" s="41">
        <f>SUMIF('2-3. Travel Costs&amp;Costs of Stay'!C:C,B68,'2-3. Travel Costs&amp;Costs of Stay'!L:L)</f>
        <v>0</v>
      </c>
      <c r="H68" s="41">
        <f>SUMIF('2-3. Travel Costs&amp;Costs of Stay'!C:C,B68,'2-3. Travel Costs&amp;Costs of Stay'!M:M)</f>
        <v>0</v>
      </c>
      <c r="I68" s="41">
        <f>SUMIF('4. Equipment Costs'!C:C,B68,'4. Equipment Costs'!H:H)</f>
        <v>0</v>
      </c>
      <c r="J68" s="41">
        <f>SUMIF('5. Subcontracting Costs'!C:C,B68,'5. Subcontracting Costs'!H:H)</f>
        <v>0</v>
      </c>
      <c r="K68" s="42">
        <f>SUMIF('B. Special Mob Strand - Student'!B:B,B68,'B. Special Mob Strand - Student'!N:N)+SUMIF('B. Special Mob Strand - Staff'!B:B,B68,'B. Special Mob Strand - Staff'!N:N)</f>
        <v>0</v>
      </c>
      <c r="L68" s="43">
        <f t="shared" si="1"/>
        <v>0</v>
      </c>
    </row>
    <row r="69" spans="2:12" x14ac:dyDescent="0.25">
      <c r="B69" s="123" t="s">
        <v>128</v>
      </c>
      <c r="C69" s="44"/>
      <c r="D69" s="39"/>
      <c r="E69" s="40" t="str">
        <f t="shared" si="0"/>
        <v/>
      </c>
      <c r="F69" s="41">
        <f>SUMIF('1. Staff costs'!C:C,B69,'1. Staff costs'!S:S)</f>
        <v>0</v>
      </c>
      <c r="G69" s="41">
        <f>SUMIF('2-3. Travel Costs&amp;Costs of Stay'!C:C,B69,'2-3. Travel Costs&amp;Costs of Stay'!L:L)</f>
        <v>0</v>
      </c>
      <c r="H69" s="41">
        <f>SUMIF('2-3. Travel Costs&amp;Costs of Stay'!C:C,B69,'2-3. Travel Costs&amp;Costs of Stay'!M:M)</f>
        <v>0</v>
      </c>
      <c r="I69" s="41">
        <f>SUMIF('4. Equipment Costs'!C:C,B69,'4. Equipment Costs'!H:H)</f>
        <v>0</v>
      </c>
      <c r="J69" s="41">
        <f>SUMIF('5. Subcontracting Costs'!C:C,B69,'5. Subcontracting Costs'!H:H)</f>
        <v>0</v>
      </c>
      <c r="K69" s="42">
        <f>SUMIF('B. Special Mob Strand - Student'!B:B,B69,'B. Special Mob Strand - Student'!N:N)+SUMIF('B. Special Mob Strand - Staff'!B:B,B69,'B. Special Mob Strand - Staff'!N:N)</f>
        <v>0</v>
      </c>
      <c r="L69" s="43">
        <f t="shared" si="1"/>
        <v>0</v>
      </c>
    </row>
    <row r="70" spans="2:12" x14ac:dyDescent="0.25">
      <c r="B70" s="123" t="s">
        <v>129</v>
      </c>
      <c r="C70" s="44"/>
      <c r="D70" s="39"/>
      <c r="E70" s="40" t="str">
        <f t="shared" si="0"/>
        <v/>
      </c>
      <c r="F70" s="41">
        <f>SUMIF('1. Staff costs'!C:C,B70,'1. Staff costs'!S:S)</f>
        <v>0</v>
      </c>
      <c r="G70" s="41">
        <f>SUMIF('2-3. Travel Costs&amp;Costs of Stay'!C:C,B70,'2-3. Travel Costs&amp;Costs of Stay'!L:L)</f>
        <v>0</v>
      </c>
      <c r="H70" s="41">
        <f>SUMIF('2-3. Travel Costs&amp;Costs of Stay'!C:C,B70,'2-3. Travel Costs&amp;Costs of Stay'!M:M)</f>
        <v>0</v>
      </c>
      <c r="I70" s="41">
        <f>SUMIF('4. Equipment Costs'!C:C,B70,'4. Equipment Costs'!H:H)</f>
        <v>0</v>
      </c>
      <c r="J70" s="41">
        <f>SUMIF('5. Subcontracting Costs'!C:C,B70,'5. Subcontracting Costs'!H:H)</f>
        <v>0</v>
      </c>
      <c r="K70" s="42">
        <f>SUMIF('B. Special Mob Strand - Student'!B:B,B70,'B. Special Mob Strand - Student'!N:N)+SUMIF('B. Special Mob Strand - Staff'!B:B,B70,'B. Special Mob Strand - Staff'!N:N)</f>
        <v>0</v>
      </c>
      <c r="L70" s="43">
        <f t="shared" si="1"/>
        <v>0</v>
      </c>
    </row>
    <row r="71" spans="2:12" x14ac:dyDescent="0.25">
      <c r="B71" s="123" t="s">
        <v>130</v>
      </c>
      <c r="C71" s="44"/>
      <c r="D71" s="39"/>
      <c r="E71" s="40" t="str">
        <f t="shared" si="0"/>
        <v/>
      </c>
      <c r="F71" s="41">
        <f>SUMIF('1. Staff costs'!C:C,B71,'1. Staff costs'!S:S)</f>
        <v>0</v>
      </c>
      <c r="G71" s="41">
        <f>SUMIF('2-3. Travel Costs&amp;Costs of Stay'!C:C,B71,'2-3. Travel Costs&amp;Costs of Stay'!L:L)</f>
        <v>0</v>
      </c>
      <c r="H71" s="41">
        <f>SUMIF('2-3. Travel Costs&amp;Costs of Stay'!C:C,B71,'2-3. Travel Costs&amp;Costs of Stay'!M:M)</f>
        <v>0</v>
      </c>
      <c r="I71" s="41">
        <f>SUMIF('4. Equipment Costs'!C:C,B71,'4. Equipment Costs'!H:H)</f>
        <v>0</v>
      </c>
      <c r="J71" s="41">
        <f>SUMIF('5. Subcontracting Costs'!C:C,B71,'5. Subcontracting Costs'!H:H)</f>
        <v>0</v>
      </c>
      <c r="K71" s="42">
        <f>SUMIF('B. Special Mob Strand - Student'!B:B,B71,'B. Special Mob Strand - Student'!N:N)+SUMIF('B. Special Mob Strand - Staff'!B:B,B71,'B. Special Mob Strand - Staff'!N:N)</f>
        <v>0</v>
      </c>
      <c r="L71" s="43">
        <f t="shared" si="1"/>
        <v>0</v>
      </c>
    </row>
    <row r="72" spans="2:12" x14ac:dyDescent="0.25">
      <c r="B72" s="123" t="s">
        <v>131</v>
      </c>
      <c r="C72" s="44"/>
      <c r="D72" s="39"/>
      <c r="E72" s="40" t="str">
        <f t="shared" si="0"/>
        <v/>
      </c>
      <c r="F72" s="41">
        <f>SUMIF('1. Staff costs'!C:C,B72,'1. Staff costs'!S:S)</f>
        <v>0</v>
      </c>
      <c r="G72" s="41">
        <f>SUMIF('2-3. Travel Costs&amp;Costs of Stay'!C:C,B72,'2-3. Travel Costs&amp;Costs of Stay'!L:L)</f>
        <v>0</v>
      </c>
      <c r="H72" s="41">
        <f>SUMIF('2-3. Travel Costs&amp;Costs of Stay'!C:C,B72,'2-3. Travel Costs&amp;Costs of Stay'!M:M)</f>
        <v>0</v>
      </c>
      <c r="I72" s="41">
        <f>SUMIF('4. Equipment Costs'!C:C,B72,'4. Equipment Costs'!H:H)</f>
        <v>0</v>
      </c>
      <c r="J72" s="41">
        <f>SUMIF('5. Subcontracting Costs'!C:C,B72,'5. Subcontracting Costs'!H:H)</f>
        <v>0</v>
      </c>
      <c r="K72" s="42">
        <f>SUMIF('B. Special Mob Strand - Student'!B:B,B72,'B. Special Mob Strand - Student'!N:N)+SUMIF('B. Special Mob Strand - Staff'!B:B,B72,'B. Special Mob Strand - Staff'!N:N)</f>
        <v>0</v>
      </c>
      <c r="L72" s="43">
        <f t="shared" si="1"/>
        <v>0</v>
      </c>
    </row>
    <row r="73" spans="2:12" x14ac:dyDescent="0.25">
      <c r="B73" s="123" t="s">
        <v>141</v>
      </c>
      <c r="C73" s="44"/>
      <c r="D73" s="39"/>
      <c r="E73" s="40" t="str">
        <f t="shared" si="0"/>
        <v/>
      </c>
      <c r="F73" s="41">
        <f>SUMIF('1. Staff costs'!C:C,B73,'1. Staff costs'!S:S)</f>
        <v>0</v>
      </c>
      <c r="G73" s="41">
        <f>SUMIF('2-3. Travel Costs&amp;Costs of Stay'!C:C,B73,'2-3. Travel Costs&amp;Costs of Stay'!L:L)</f>
        <v>0</v>
      </c>
      <c r="H73" s="41">
        <f>SUMIF('2-3. Travel Costs&amp;Costs of Stay'!C:C,B73,'2-3. Travel Costs&amp;Costs of Stay'!M:M)</f>
        <v>0</v>
      </c>
      <c r="I73" s="41">
        <f>SUMIF('4. Equipment Costs'!C:C,B73,'4. Equipment Costs'!H:H)</f>
        <v>0</v>
      </c>
      <c r="J73" s="41">
        <f>SUMIF('5. Subcontracting Costs'!C:C,B73,'5. Subcontracting Costs'!H:H)</f>
        <v>0</v>
      </c>
      <c r="K73" s="42">
        <f>SUMIF('B. Special Mob Strand - Student'!B:B,B73,'B. Special Mob Strand - Student'!N:N)+SUMIF('B. Special Mob Strand - Staff'!B:B,B73,'B. Special Mob Strand - Staff'!N:N)</f>
        <v>0</v>
      </c>
      <c r="L73" s="43">
        <f t="shared" si="1"/>
        <v>0</v>
      </c>
    </row>
    <row r="74" spans="2:12" x14ac:dyDescent="0.25">
      <c r="B74" s="123" t="s">
        <v>142</v>
      </c>
      <c r="C74" s="44"/>
      <c r="D74" s="39"/>
      <c r="E74" s="40" t="str">
        <f t="shared" si="0"/>
        <v/>
      </c>
      <c r="F74" s="41">
        <f>SUMIF('1. Staff costs'!C:C,B74,'1. Staff costs'!S:S)</f>
        <v>0</v>
      </c>
      <c r="G74" s="41">
        <f>SUMIF('2-3. Travel Costs&amp;Costs of Stay'!C:C,B74,'2-3. Travel Costs&amp;Costs of Stay'!L:L)</f>
        <v>0</v>
      </c>
      <c r="H74" s="41">
        <f>SUMIF('2-3. Travel Costs&amp;Costs of Stay'!C:C,B74,'2-3. Travel Costs&amp;Costs of Stay'!M:M)</f>
        <v>0</v>
      </c>
      <c r="I74" s="41">
        <f>SUMIF('4. Equipment Costs'!C:C,B74,'4. Equipment Costs'!H:H)</f>
        <v>0</v>
      </c>
      <c r="J74" s="41">
        <f>SUMIF('5. Subcontracting Costs'!C:C,B74,'5. Subcontracting Costs'!H:H)</f>
        <v>0</v>
      </c>
      <c r="K74" s="42">
        <f>SUMIF('B. Special Mob Strand - Student'!B:B,B74,'B. Special Mob Strand - Student'!N:N)+SUMIF('B. Special Mob Strand - Staff'!B:B,B74,'B. Special Mob Strand - Staff'!N:N)</f>
        <v>0</v>
      </c>
      <c r="L74" s="43">
        <f t="shared" si="1"/>
        <v>0</v>
      </c>
    </row>
    <row r="75" spans="2:12" x14ac:dyDescent="0.25">
      <c r="B75" s="123" t="s">
        <v>143</v>
      </c>
      <c r="C75" s="44"/>
      <c r="D75" s="39"/>
      <c r="E75" s="40" t="str">
        <f t="shared" si="0"/>
        <v/>
      </c>
      <c r="F75" s="41">
        <f>SUMIF('1. Staff costs'!C:C,B75,'1. Staff costs'!S:S)</f>
        <v>0</v>
      </c>
      <c r="G75" s="41">
        <f>SUMIF('2-3. Travel Costs&amp;Costs of Stay'!C:C,B75,'2-3. Travel Costs&amp;Costs of Stay'!L:L)</f>
        <v>0</v>
      </c>
      <c r="H75" s="41">
        <f>SUMIF('2-3. Travel Costs&amp;Costs of Stay'!C:C,B75,'2-3. Travel Costs&amp;Costs of Stay'!M:M)</f>
        <v>0</v>
      </c>
      <c r="I75" s="41">
        <f>SUMIF('4. Equipment Costs'!C:C,B75,'4. Equipment Costs'!H:H)</f>
        <v>0</v>
      </c>
      <c r="J75" s="41">
        <f>SUMIF('5. Subcontracting Costs'!C:C,B75,'5. Subcontracting Costs'!H:H)</f>
        <v>0</v>
      </c>
      <c r="K75" s="42">
        <f>SUMIF('B. Special Mob Strand - Student'!B:B,B75,'B. Special Mob Strand - Student'!N:N)+SUMIF('B. Special Mob Strand - Staff'!B:B,B75,'B. Special Mob Strand - Staff'!N:N)</f>
        <v>0</v>
      </c>
      <c r="L75" s="43">
        <f t="shared" si="1"/>
        <v>0</v>
      </c>
    </row>
    <row r="76" spans="2:12" x14ac:dyDescent="0.25">
      <c r="B76" s="123" t="s">
        <v>144</v>
      </c>
      <c r="C76" s="44"/>
      <c r="D76" s="39"/>
      <c r="E76" s="40" t="str">
        <f t="shared" si="0"/>
        <v/>
      </c>
      <c r="F76" s="41">
        <f>SUMIF('1. Staff costs'!C:C,B76,'1. Staff costs'!S:S)</f>
        <v>0</v>
      </c>
      <c r="G76" s="41">
        <f>SUMIF('2-3. Travel Costs&amp;Costs of Stay'!C:C,B76,'2-3. Travel Costs&amp;Costs of Stay'!L:L)</f>
        <v>0</v>
      </c>
      <c r="H76" s="41">
        <f>SUMIF('2-3. Travel Costs&amp;Costs of Stay'!C:C,B76,'2-3. Travel Costs&amp;Costs of Stay'!M:M)</f>
        <v>0</v>
      </c>
      <c r="I76" s="41">
        <f>SUMIF('4. Equipment Costs'!C:C,B76,'4. Equipment Costs'!H:H)</f>
        <v>0</v>
      </c>
      <c r="J76" s="41">
        <f>SUMIF('5. Subcontracting Costs'!C:C,B76,'5. Subcontracting Costs'!H:H)</f>
        <v>0</v>
      </c>
      <c r="K76" s="42">
        <f>SUMIF('B. Special Mob Strand - Student'!B:B,B76,'B. Special Mob Strand - Student'!N:N)+SUMIF('B. Special Mob Strand - Staff'!B:B,B76,'B. Special Mob Strand - Staff'!N:N)</f>
        <v>0</v>
      </c>
      <c r="L76" s="43">
        <f t="shared" si="1"/>
        <v>0</v>
      </c>
    </row>
    <row r="77" spans="2:12" x14ac:dyDescent="0.25">
      <c r="B77" s="123" t="s">
        <v>145</v>
      </c>
      <c r="C77" s="44"/>
      <c r="D77" s="39"/>
      <c r="E77" s="40" t="str">
        <f t="shared" si="0"/>
        <v/>
      </c>
      <c r="F77" s="41">
        <f>SUMIF('1. Staff costs'!C:C,B77,'1. Staff costs'!S:S)</f>
        <v>0</v>
      </c>
      <c r="G77" s="41">
        <f>SUMIF('2-3. Travel Costs&amp;Costs of Stay'!C:C,B77,'2-3. Travel Costs&amp;Costs of Stay'!L:L)</f>
        <v>0</v>
      </c>
      <c r="H77" s="41">
        <f>SUMIF('2-3. Travel Costs&amp;Costs of Stay'!C:C,B77,'2-3. Travel Costs&amp;Costs of Stay'!M:M)</f>
        <v>0</v>
      </c>
      <c r="I77" s="41">
        <f>SUMIF('4. Equipment Costs'!C:C,B77,'4. Equipment Costs'!H:H)</f>
        <v>0</v>
      </c>
      <c r="J77" s="41">
        <f>SUMIF('5. Subcontracting Costs'!C:C,B77,'5. Subcontracting Costs'!H:H)</f>
        <v>0</v>
      </c>
      <c r="K77" s="42">
        <f>SUMIF('B. Special Mob Strand - Student'!B:B,B77,'B. Special Mob Strand - Student'!N:N)+SUMIF('B. Special Mob Strand - Staff'!B:B,B77,'B. Special Mob Strand - Staff'!N:N)</f>
        <v>0</v>
      </c>
      <c r="L77" s="43">
        <f t="shared" si="1"/>
        <v>0</v>
      </c>
    </row>
    <row r="78" spans="2:12" x14ac:dyDescent="0.25">
      <c r="B78" s="123" t="s">
        <v>146</v>
      </c>
      <c r="C78" s="44"/>
      <c r="D78" s="39"/>
      <c r="E78" s="40" t="str">
        <f t="shared" si="0"/>
        <v/>
      </c>
      <c r="F78" s="41">
        <f>SUMIF('1. Staff costs'!C:C,B78,'1. Staff costs'!S:S)</f>
        <v>0</v>
      </c>
      <c r="G78" s="41">
        <f>SUMIF('2-3. Travel Costs&amp;Costs of Stay'!C:C,B78,'2-3. Travel Costs&amp;Costs of Stay'!L:L)</f>
        <v>0</v>
      </c>
      <c r="H78" s="41">
        <f>SUMIF('2-3. Travel Costs&amp;Costs of Stay'!C:C,B78,'2-3. Travel Costs&amp;Costs of Stay'!M:M)</f>
        <v>0</v>
      </c>
      <c r="I78" s="41">
        <f>SUMIF('4. Equipment Costs'!C:C,B78,'4. Equipment Costs'!H:H)</f>
        <v>0</v>
      </c>
      <c r="J78" s="41">
        <f>SUMIF('5. Subcontracting Costs'!C:C,B78,'5. Subcontracting Costs'!H:H)</f>
        <v>0</v>
      </c>
      <c r="K78" s="42">
        <f>SUMIF('B. Special Mob Strand - Student'!B:B,B78,'B. Special Mob Strand - Student'!N:N)+SUMIF('B. Special Mob Strand - Staff'!B:B,B78,'B. Special Mob Strand - Staff'!N:N)</f>
        <v>0</v>
      </c>
      <c r="L78" s="43">
        <f t="shared" si="1"/>
        <v>0</v>
      </c>
    </row>
    <row r="79" spans="2:12" x14ac:dyDescent="0.25">
      <c r="B79" s="123" t="s">
        <v>147</v>
      </c>
      <c r="C79" s="44"/>
      <c r="D79" s="39"/>
      <c r="E79" s="40" t="str">
        <f t="shared" si="0"/>
        <v/>
      </c>
      <c r="F79" s="41">
        <f>SUMIF('1. Staff costs'!C:C,B79,'1. Staff costs'!S:S)</f>
        <v>0</v>
      </c>
      <c r="G79" s="41">
        <f>SUMIF('2-3. Travel Costs&amp;Costs of Stay'!C:C,B79,'2-3. Travel Costs&amp;Costs of Stay'!L:L)</f>
        <v>0</v>
      </c>
      <c r="H79" s="41">
        <f>SUMIF('2-3. Travel Costs&amp;Costs of Stay'!C:C,B79,'2-3. Travel Costs&amp;Costs of Stay'!M:M)</f>
        <v>0</v>
      </c>
      <c r="I79" s="41">
        <f>SUMIF('4. Equipment Costs'!C:C,B79,'4. Equipment Costs'!H:H)</f>
        <v>0</v>
      </c>
      <c r="J79" s="41">
        <f>SUMIF('5. Subcontracting Costs'!C:C,B79,'5. Subcontracting Costs'!H:H)</f>
        <v>0</v>
      </c>
      <c r="K79" s="42">
        <f>SUMIF('B. Special Mob Strand - Student'!B:B,B79,'B. Special Mob Strand - Student'!N:N)+SUMIF('B. Special Mob Strand - Staff'!B:B,B79,'B. Special Mob Strand - Staff'!N:N)</f>
        <v>0</v>
      </c>
      <c r="L79" s="43">
        <f t="shared" si="1"/>
        <v>0</v>
      </c>
    </row>
    <row r="80" spans="2:12" x14ac:dyDescent="0.25">
      <c r="B80" s="123" t="s">
        <v>148</v>
      </c>
      <c r="C80" s="44"/>
      <c r="D80" s="39"/>
      <c r="E80" s="40" t="str">
        <f t="shared" si="0"/>
        <v/>
      </c>
      <c r="F80" s="41">
        <f>SUMIF('1. Staff costs'!C:C,B80,'1. Staff costs'!S:S)</f>
        <v>0</v>
      </c>
      <c r="G80" s="41">
        <f>SUMIF('2-3. Travel Costs&amp;Costs of Stay'!C:C,B80,'2-3. Travel Costs&amp;Costs of Stay'!L:L)</f>
        <v>0</v>
      </c>
      <c r="H80" s="41">
        <f>SUMIF('2-3. Travel Costs&amp;Costs of Stay'!C:C,B80,'2-3. Travel Costs&amp;Costs of Stay'!M:M)</f>
        <v>0</v>
      </c>
      <c r="I80" s="41">
        <f>SUMIF('4. Equipment Costs'!C:C,B80,'4. Equipment Costs'!H:H)</f>
        <v>0</v>
      </c>
      <c r="J80" s="41">
        <f>SUMIF('5. Subcontracting Costs'!C:C,B80,'5. Subcontracting Costs'!H:H)</f>
        <v>0</v>
      </c>
      <c r="K80" s="42">
        <f>SUMIF('B. Special Mob Strand - Student'!B:B,B80,'B. Special Mob Strand - Student'!N:N)+SUMIF('B. Special Mob Strand - Staff'!B:B,B80,'B. Special Mob Strand - Staff'!N:N)</f>
        <v>0</v>
      </c>
      <c r="L80" s="43">
        <f t="shared" si="1"/>
        <v>0</v>
      </c>
    </row>
    <row r="81" spans="2:12" x14ac:dyDescent="0.25">
      <c r="B81" s="123" t="s">
        <v>149</v>
      </c>
      <c r="C81" s="44"/>
      <c r="D81" s="39"/>
      <c r="E81" s="40" t="str">
        <f t="shared" si="0"/>
        <v/>
      </c>
      <c r="F81" s="41">
        <f>SUMIF('1. Staff costs'!C:C,B81,'1. Staff costs'!S:S)</f>
        <v>0</v>
      </c>
      <c r="G81" s="41">
        <f>SUMIF('2-3. Travel Costs&amp;Costs of Stay'!C:C,B81,'2-3. Travel Costs&amp;Costs of Stay'!L:L)</f>
        <v>0</v>
      </c>
      <c r="H81" s="41">
        <f>SUMIF('2-3. Travel Costs&amp;Costs of Stay'!C:C,B81,'2-3. Travel Costs&amp;Costs of Stay'!M:M)</f>
        <v>0</v>
      </c>
      <c r="I81" s="41">
        <f>SUMIF('4. Equipment Costs'!C:C,B81,'4. Equipment Costs'!H:H)</f>
        <v>0</v>
      </c>
      <c r="J81" s="41">
        <f>SUMIF('5. Subcontracting Costs'!C:C,B81,'5. Subcontracting Costs'!H:H)</f>
        <v>0</v>
      </c>
      <c r="K81" s="42">
        <f>SUMIF('B. Special Mob Strand - Student'!B:B,B81,'B. Special Mob Strand - Student'!N:N)+SUMIF('B. Special Mob Strand - Staff'!B:B,B81,'B. Special Mob Strand - Staff'!N:N)</f>
        <v>0</v>
      </c>
      <c r="L81" s="43">
        <f t="shared" si="1"/>
        <v>0</v>
      </c>
    </row>
    <row r="82" spans="2:12" x14ac:dyDescent="0.25">
      <c r="B82" s="123" t="s">
        <v>150</v>
      </c>
      <c r="C82" s="44"/>
      <c r="D82" s="39"/>
      <c r="E82" s="40" t="str">
        <f t="shared" si="0"/>
        <v/>
      </c>
      <c r="F82" s="41">
        <f>SUMIF('1. Staff costs'!C:C,B82,'1. Staff costs'!S:S)</f>
        <v>0</v>
      </c>
      <c r="G82" s="41">
        <f>SUMIF('2-3. Travel Costs&amp;Costs of Stay'!C:C,B82,'2-3. Travel Costs&amp;Costs of Stay'!L:L)</f>
        <v>0</v>
      </c>
      <c r="H82" s="41">
        <f>SUMIF('2-3. Travel Costs&amp;Costs of Stay'!C:C,B82,'2-3. Travel Costs&amp;Costs of Stay'!M:M)</f>
        <v>0</v>
      </c>
      <c r="I82" s="41">
        <f>SUMIF('4. Equipment Costs'!C:C,B82,'4. Equipment Costs'!H:H)</f>
        <v>0</v>
      </c>
      <c r="J82" s="41">
        <f>SUMIF('5. Subcontracting Costs'!C:C,B82,'5. Subcontracting Costs'!H:H)</f>
        <v>0</v>
      </c>
      <c r="K82" s="42">
        <f>SUMIF('B. Special Mob Strand - Student'!B:B,B82,'B. Special Mob Strand - Student'!N:N)+SUMIF('B. Special Mob Strand - Staff'!B:B,B82,'B. Special Mob Strand - Staff'!N:N)</f>
        <v>0</v>
      </c>
      <c r="L82" s="43">
        <f t="shared" si="1"/>
        <v>0</v>
      </c>
    </row>
    <row r="83" spans="2:12" x14ac:dyDescent="0.25">
      <c r="B83" s="123" t="s">
        <v>163</v>
      </c>
      <c r="C83" s="44"/>
      <c r="D83" s="39"/>
      <c r="E83" s="40" t="str">
        <f t="shared" si="0"/>
        <v/>
      </c>
      <c r="F83" s="41">
        <f>SUMIF('1. Staff costs'!C:C,B83,'1. Staff costs'!S:S)</f>
        <v>0</v>
      </c>
      <c r="G83" s="41">
        <f>SUMIF('2-3. Travel Costs&amp;Costs of Stay'!C:C,B83,'2-3. Travel Costs&amp;Costs of Stay'!L:L)</f>
        <v>0</v>
      </c>
      <c r="H83" s="41">
        <f>SUMIF('2-3. Travel Costs&amp;Costs of Stay'!C:C,B83,'2-3. Travel Costs&amp;Costs of Stay'!M:M)</f>
        <v>0</v>
      </c>
      <c r="I83" s="41">
        <f>SUMIF('4. Equipment Costs'!C:C,B83,'4. Equipment Costs'!H:H)</f>
        <v>0</v>
      </c>
      <c r="J83" s="41">
        <f>SUMIF('5. Subcontracting Costs'!C:C,B83,'5. Subcontracting Costs'!H:H)</f>
        <v>0</v>
      </c>
      <c r="K83" s="42">
        <f>SUMIF('B. Special Mob Strand - Student'!B:B,B83,'B. Special Mob Strand - Student'!N:N)+SUMIF('B. Special Mob Strand - Staff'!B:B,B83,'B. Special Mob Strand - Staff'!N:N)</f>
        <v>0</v>
      </c>
      <c r="L83" s="43">
        <f t="shared" si="1"/>
        <v>0</v>
      </c>
    </row>
    <row r="84" spans="2:12" x14ac:dyDescent="0.25">
      <c r="B84" s="123" t="s">
        <v>164</v>
      </c>
      <c r="C84" s="44"/>
      <c r="D84" s="39"/>
      <c r="E84" s="40" t="str">
        <f t="shared" si="0"/>
        <v/>
      </c>
      <c r="F84" s="41">
        <f>SUMIF('1. Staff costs'!C:C,B84,'1. Staff costs'!S:S)</f>
        <v>0</v>
      </c>
      <c r="G84" s="41">
        <f>SUMIF('2-3. Travel Costs&amp;Costs of Stay'!C:C,B84,'2-3. Travel Costs&amp;Costs of Stay'!L:L)</f>
        <v>0</v>
      </c>
      <c r="H84" s="41">
        <f>SUMIF('2-3. Travel Costs&amp;Costs of Stay'!C:C,B84,'2-3. Travel Costs&amp;Costs of Stay'!M:M)</f>
        <v>0</v>
      </c>
      <c r="I84" s="41">
        <f>SUMIF('4. Equipment Costs'!C:C,B84,'4. Equipment Costs'!H:H)</f>
        <v>0</v>
      </c>
      <c r="J84" s="41">
        <f>SUMIF('5. Subcontracting Costs'!C:C,B84,'5. Subcontracting Costs'!H:H)</f>
        <v>0</v>
      </c>
      <c r="K84" s="42">
        <f>SUMIF('B. Special Mob Strand - Student'!B:B,B84,'B. Special Mob Strand - Student'!N:N)+SUMIF('B. Special Mob Strand - Staff'!B:B,B84,'B. Special Mob Strand - Staff'!N:N)</f>
        <v>0</v>
      </c>
      <c r="L84" s="43">
        <f t="shared" si="1"/>
        <v>0</v>
      </c>
    </row>
    <row r="85" spans="2:12" x14ac:dyDescent="0.25">
      <c r="B85" s="123" t="s">
        <v>165</v>
      </c>
      <c r="C85" s="44"/>
      <c r="D85" s="39"/>
      <c r="E85" s="40" t="str">
        <f t="shared" si="0"/>
        <v/>
      </c>
      <c r="F85" s="41">
        <f>SUMIF('1. Staff costs'!C:C,B85,'1. Staff costs'!S:S)</f>
        <v>0</v>
      </c>
      <c r="G85" s="41">
        <f>SUMIF('2-3. Travel Costs&amp;Costs of Stay'!C:C,B85,'2-3. Travel Costs&amp;Costs of Stay'!L:L)</f>
        <v>0</v>
      </c>
      <c r="H85" s="41">
        <f>SUMIF('2-3. Travel Costs&amp;Costs of Stay'!C:C,B85,'2-3. Travel Costs&amp;Costs of Stay'!M:M)</f>
        <v>0</v>
      </c>
      <c r="I85" s="41">
        <f>SUMIF('4. Equipment Costs'!C:C,B85,'4. Equipment Costs'!H:H)</f>
        <v>0</v>
      </c>
      <c r="J85" s="41">
        <f>SUMIF('5. Subcontracting Costs'!C:C,B85,'5. Subcontracting Costs'!H:H)</f>
        <v>0</v>
      </c>
      <c r="K85" s="42">
        <f>SUMIF('B. Special Mob Strand - Student'!B:B,B85,'B. Special Mob Strand - Student'!N:N)+SUMIF('B. Special Mob Strand - Staff'!B:B,B85,'B. Special Mob Strand - Staff'!N:N)</f>
        <v>0</v>
      </c>
      <c r="L85" s="43">
        <f t="shared" si="1"/>
        <v>0</v>
      </c>
    </row>
    <row r="86" spans="2:12" x14ac:dyDescent="0.25">
      <c r="B86" s="123" t="s">
        <v>166</v>
      </c>
      <c r="C86" s="44"/>
      <c r="D86" s="39"/>
      <c r="E86" s="40" t="str">
        <f t="shared" si="0"/>
        <v/>
      </c>
      <c r="F86" s="41">
        <f>SUMIF('1. Staff costs'!C:C,B86,'1. Staff costs'!S:S)</f>
        <v>0</v>
      </c>
      <c r="G86" s="41">
        <f>SUMIF('2-3. Travel Costs&amp;Costs of Stay'!C:C,B86,'2-3. Travel Costs&amp;Costs of Stay'!L:L)</f>
        <v>0</v>
      </c>
      <c r="H86" s="41">
        <f>SUMIF('2-3. Travel Costs&amp;Costs of Stay'!C:C,B86,'2-3. Travel Costs&amp;Costs of Stay'!M:M)</f>
        <v>0</v>
      </c>
      <c r="I86" s="41">
        <f>SUMIF('4. Equipment Costs'!C:C,B86,'4. Equipment Costs'!H:H)</f>
        <v>0</v>
      </c>
      <c r="J86" s="41">
        <f>SUMIF('5. Subcontracting Costs'!C:C,B86,'5. Subcontracting Costs'!H:H)</f>
        <v>0</v>
      </c>
      <c r="K86" s="42">
        <f>SUMIF('B. Special Mob Strand - Student'!B:B,B86,'B. Special Mob Strand - Student'!N:N)+SUMIF('B. Special Mob Strand - Staff'!B:B,B86,'B. Special Mob Strand - Staff'!N:N)</f>
        <v>0</v>
      </c>
      <c r="L86" s="43">
        <f t="shared" si="1"/>
        <v>0</v>
      </c>
    </row>
    <row r="87" spans="2:12" x14ac:dyDescent="0.25">
      <c r="B87" s="123" t="s">
        <v>167</v>
      </c>
      <c r="C87" s="44"/>
      <c r="D87" s="39"/>
      <c r="E87" s="40" t="str">
        <f t="shared" si="0"/>
        <v/>
      </c>
      <c r="F87" s="41">
        <f>SUMIF('1. Staff costs'!C:C,B87,'1. Staff costs'!S:S)</f>
        <v>0</v>
      </c>
      <c r="G87" s="41">
        <f>SUMIF('2-3. Travel Costs&amp;Costs of Stay'!C:C,B87,'2-3. Travel Costs&amp;Costs of Stay'!L:L)</f>
        <v>0</v>
      </c>
      <c r="H87" s="41">
        <f>SUMIF('2-3. Travel Costs&amp;Costs of Stay'!C:C,B87,'2-3. Travel Costs&amp;Costs of Stay'!M:M)</f>
        <v>0</v>
      </c>
      <c r="I87" s="41">
        <f>SUMIF('4. Equipment Costs'!C:C,B87,'4. Equipment Costs'!H:H)</f>
        <v>0</v>
      </c>
      <c r="J87" s="41">
        <f>SUMIF('5. Subcontracting Costs'!C:C,B87,'5. Subcontracting Costs'!H:H)</f>
        <v>0</v>
      </c>
      <c r="K87" s="42">
        <f>SUMIF('B. Special Mob Strand - Student'!B:B,B87,'B. Special Mob Strand - Student'!N:N)+SUMIF('B. Special Mob Strand - Staff'!B:B,B87,'B. Special Mob Strand - Staff'!N:N)</f>
        <v>0</v>
      </c>
      <c r="L87" s="43">
        <f t="shared" si="1"/>
        <v>0</v>
      </c>
    </row>
  </sheetData>
  <sheetProtection password="E359" sheet="1" objects="1" scenarios="1" selectLockedCells="1"/>
  <mergeCells count="36">
    <mergeCell ref="I24:I27"/>
    <mergeCell ref="K24:K27"/>
    <mergeCell ref="G27:H27"/>
    <mergeCell ref="G26:H26"/>
    <mergeCell ref="G25:H25"/>
    <mergeCell ref="G24:H24"/>
    <mergeCell ref="E17:L17"/>
    <mergeCell ref="B7:L7"/>
    <mergeCell ref="B8:L8"/>
    <mergeCell ref="B9:L9"/>
    <mergeCell ref="B11:C11"/>
    <mergeCell ref="B12:C12"/>
    <mergeCell ref="B13:C13"/>
    <mergeCell ref="B16:L16"/>
    <mergeCell ref="B17:C17"/>
    <mergeCell ref="E13:L13"/>
    <mergeCell ref="E12:L12"/>
    <mergeCell ref="E11:L11"/>
    <mergeCell ref="B14:C14"/>
    <mergeCell ref="D14:L14"/>
    <mergeCell ref="B31:L31"/>
    <mergeCell ref="B18:C18"/>
    <mergeCell ref="B19:C19"/>
    <mergeCell ref="B20:C20"/>
    <mergeCell ref="B21:C21"/>
    <mergeCell ref="B29:C29"/>
    <mergeCell ref="B22:C22"/>
    <mergeCell ref="E22:L22"/>
    <mergeCell ref="E29:L29"/>
    <mergeCell ref="E21:L21"/>
    <mergeCell ref="E20:L20"/>
    <mergeCell ref="E19:L19"/>
    <mergeCell ref="E18:L18"/>
    <mergeCell ref="B24:C27"/>
    <mergeCell ref="D24:D27"/>
    <mergeCell ref="E24:F27"/>
  </mergeCells>
  <conditionalFormatting sqref="D17">
    <cfRule type="expression" dxfId="47" priority="16">
      <formula>D17&gt;ROUND(D22*0.4,2)</formula>
    </cfRule>
  </conditionalFormatting>
  <conditionalFormatting sqref="D20">
    <cfRule type="expression" dxfId="46" priority="14">
      <formula>D20&gt;ROUND(D22*0.3,2)</formula>
    </cfRule>
  </conditionalFormatting>
  <conditionalFormatting sqref="D21">
    <cfRule type="expression" dxfId="45" priority="12">
      <formula>D21&gt;ROUND(D22*0.1,2)</formula>
    </cfRule>
  </conditionalFormatting>
  <conditionalFormatting sqref="D22">
    <cfRule type="cellIs" dxfId="44" priority="10" operator="notBetween">
      <formula>500000</formula>
      <formula>1000000</formula>
    </cfRule>
  </conditionalFormatting>
  <conditionalFormatting sqref="D24:D27">
    <cfRule type="expression" dxfId="43" priority="1">
      <formula>D24&gt;ROUND(D22*0.8,2)</formula>
    </cfRule>
  </conditionalFormatting>
  <dataValidations xWindow="516" yWindow="728" count="6">
    <dataValidation type="list" allowBlank="1" showInputMessage="1" showErrorMessage="1" error="Click arrow to select Action Type" prompt="Click arrow to select Action Type" sqref="D11">
      <formula1>ActionType</formula1>
    </dataValidation>
    <dataValidation type="list" allowBlank="1" showInputMessage="1" showErrorMessage="1" error="Click arrow to select Duration" prompt="Click arrow to select Duration" sqref="D12">
      <formula1>Duration</formula1>
    </dataValidation>
    <dataValidation type="textLength" allowBlank="1" showInputMessage="1" showErrorMessage="1" error="Max 25 characters" prompt="Max 25 characters" sqref="D13">
      <formula1>0</formula1>
      <formula2>25</formula2>
    </dataValidation>
    <dataValidation type="textLength" allowBlank="1" showInputMessage="1" showErrorMessage="1" error="Max 130 characters" prompt="Max 130 characters" sqref="D14:L14">
      <formula1>0</formula1>
      <formula2>130</formula2>
    </dataValidation>
    <dataValidation type="textLength" allowBlank="1" showInputMessage="1" showErrorMessage="1" error="Max 60 characters" prompt="Max 60 characters" sqref="C33:C87">
      <formula1>0</formula1>
      <formula2>60</formula2>
    </dataValidation>
    <dataValidation type="list" allowBlank="1" showInputMessage="1" showErrorMessage="1" error="Click arrow to select Country " prompt="Click arrow to select Country " sqref="D33:D87">
      <formula1>CountryALL</formula1>
    </dataValidation>
  </dataValidations>
  <printOptions horizontalCentered="1"/>
  <pageMargins left="0.39370078740157483" right="0.39370078740157483" top="0.74803149606299213" bottom="0.74803149606299213" header="0.31496062992125984" footer="0.31496062992125984"/>
  <pageSetup paperSize="9" scale="33" orientation="portrait" r:id="rId1"/>
  <headerFooter>
    <oddFooter>&amp;CPage &amp;P of 3</oddFooter>
  </headerFooter>
  <drawing r:id="rId2"/>
  <extLst>
    <ext xmlns:x14="http://schemas.microsoft.com/office/spreadsheetml/2009/9/main" uri="{78C0D931-6437-407d-A8EE-F0AAD7539E65}">
      <x14:conditionalFormattings>
        <x14:conditionalFormatting xmlns:xm="http://schemas.microsoft.com/office/excel/2006/main">
          <x14:cfRule type="containsText" priority="25" operator="containsText" id="{E65218D7-2FC9-4B62-9B72-6C3DD4C05A77}">
            <xm:f>NOT(ISERROR(SEARCH("Country not found",E33)))</xm:f>
            <xm:f>"Country not found"</xm:f>
            <x14:dxf>
              <font>
                <b/>
                <i val="0"/>
                <color theme="1"/>
              </font>
              <fill>
                <patternFill>
                  <bgColor rgb="FFFF0000"/>
                </patternFill>
              </fill>
            </x14:dxf>
          </x14:cfRule>
          <xm:sqref>E33:E87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39997558519241921"/>
    <pageSetUpPr fitToPage="1"/>
  </sheetPr>
  <dimension ref="B1:T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7" customWidth="1"/>
    <col min="6" max="6" width="20.7109375" style="17" customWidth="1"/>
    <col min="7" max="19" width="20.7109375" style="16" customWidth="1"/>
    <col min="20" max="20" width="11.7109375" style="16" bestFit="1" customWidth="1"/>
    <col min="21" max="21" width="1.7109375" style="16" customWidth="1"/>
    <col min="22" max="16384" width="9.140625" style="16"/>
  </cols>
  <sheetData>
    <row r="1" spans="2:20" ht="8.1" customHeight="1" x14ac:dyDescent="0.25"/>
    <row r="2" spans="2:20" s="46" customFormat="1" ht="39.950000000000003" customHeight="1" x14ac:dyDescent="0.25">
      <c r="B2" s="157" t="s">
        <v>172</v>
      </c>
      <c r="C2" s="157"/>
      <c r="D2" s="157"/>
      <c r="E2" s="157"/>
      <c r="F2" s="157"/>
      <c r="G2" s="157"/>
      <c r="H2" s="157"/>
      <c r="I2" s="157"/>
      <c r="J2" s="157"/>
      <c r="K2" s="157"/>
      <c r="L2" s="157"/>
      <c r="M2" s="157"/>
      <c r="N2" s="157"/>
      <c r="O2" s="157"/>
      <c r="P2" s="157"/>
      <c r="Q2" s="157"/>
      <c r="R2" s="157"/>
      <c r="S2" s="157"/>
      <c r="T2" s="157"/>
    </row>
    <row r="3" spans="2:20" s="46" customFormat="1" ht="8.1" customHeight="1" x14ac:dyDescent="0.25">
      <c r="B3" s="173"/>
      <c r="C3" s="174"/>
      <c r="D3" s="174"/>
      <c r="E3" s="174"/>
      <c r="F3" s="174"/>
      <c r="G3" s="174"/>
      <c r="H3" s="174"/>
      <c r="I3" s="174"/>
      <c r="J3" s="174"/>
      <c r="K3" s="174"/>
      <c r="L3" s="174"/>
      <c r="M3" s="174"/>
      <c r="N3" s="174"/>
      <c r="O3" s="174"/>
      <c r="P3" s="174"/>
      <c r="Q3" s="174"/>
      <c r="R3" s="174"/>
      <c r="S3" s="174"/>
      <c r="T3" s="67"/>
    </row>
    <row r="4" spans="2:20" s="46" customFormat="1" ht="24.95" customHeight="1" x14ac:dyDescent="0.25">
      <c r="B4" s="162"/>
      <c r="C4" s="170"/>
      <c r="D4" s="118" t="s">
        <v>190</v>
      </c>
      <c r="E4" s="118" t="s">
        <v>188</v>
      </c>
      <c r="G4" s="164"/>
      <c r="H4" s="164"/>
      <c r="I4" s="164"/>
      <c r="J4" s="164"/>
      <c r="K4" s="164"/>
      <c r="L4" s="164"/>
      <c r="M4" s="164"/>
      <c r="N4" s="164"/>
      <c r="O4" s="164"/>
      <c r="P4" s="164"/>
      <c r="Q4" s="164"/>
      <c r="R4" s="164"/>
      <c r="S4" s="164"/>
      <c r="T4" s="165"/>
    </row>
    <row r="5" spans="2:20" s="46" customFormat="1" ht="17.100000000000001" customHeight="1" x14ac:dyDescent="0.25">
      <c r="B5" s="166" t="s">
        <v>135</v>
      </c>
      <c r="C5" s="167"/>
      <c r="D5" s="126">
        <f>SUM(H:H)</f>
        <v>0</v>
      </c>
      <c r="E5" s="68">
        <f>SUMIF(T:T,"&lt;&gt;Error",F:F)</f>
        <v>0</v>
      </c>
      <c r="G5" s="164"/>
      <c r="H5" s="164"/>
      <c r="I5" s="164"/>
      <c r="J5" s="164"/>
      <c r="K5" s="164"/>
      <c r="L5" s="164"/>
      <c r="M5" s="164"/>
      <c r="N5" s="164"/>
      <c r="O5" s="164"/>
      <c r="P5" s="164"/>
      <c r="Q5" s="164"/>
      <c r="R5" s="164"/>
      <c r="S5" s="164"/>
      <c r="T5" s="165"/>
    </row>
    <row r="6" spans="2:20" s="46" customFormat="1" ht="17.100000000000001" customHeight="1" x14ac:dyDescent="0.25">
      <c r="B6" s="168" t="s">
        <v>133</v>
      </c>
      <c r="C6" s="169"/>
      <c r="D6" s="126">
        <f>SUM(K:K)</f>
        <v>0</v>
      </c>
      <c r="E6" s="68">
        <f>SUMIF(T:T,"&lt;&gt;Error",I:I)</f>
        <v>0</v>
      </c>
      <c r="G6" s="164"/>
      <c r="H6" s="164"/>
      <c r="I6" s="164"/>
      <c r="J6" s="164"/>
      <c r="K6" s="164"/>
      <c r="L6" s="164"/>
      <c r="M6" s="164"/>
      <c r="N6" s="164"/>
      <c r="O6" s="164"/>
      <c r="P6" s="164"/>
      <c r="Q6" s="164"/>
      <c r="R6" s="164"/>
      <c r="S6" s="164"/>
      <c r="T6" s="165"/>
    </row>
    <row r="7" spans="2:20" s="46" customFormat="1" ht="17.100000000000001" customHeight="1" x14ac:dyDescent="0.25">
      <c r="B7" s="166" t="s">
        <v>361</v>
      </c>
      <c r="C7" s="167"/>
      <c r="D7" s="126">
        <f>SUM(N:N)</f>
        <v>0</v>
      </c>
      <c r="E7" s="68">
        <f>SUMIF(T:T,"&lt;&gt;Error",L:L)</f>
        <v>0</v>
      </c>
      <c r="G7" s="164"/>
      <c r="H7" s="164"/>
      <c r="I7" s="164"/>
      <c r="J7" s="164"/>
      <c r="K7" s="164"/>
      <c r="L7" s="164"/>
      <c r="M7" s="164"/>
      <c r="N7" s="164"/>
      <c r="O7" s="164"/>
      <c r="P7" s="164"/>
      <c r="Q7" s="164"/>
      <c r="R7" s="164"/>
      <c r="S7" s="164"/>
      <c r="T7" s="165"/>
    </row>
    <row r="8" spans="2:20" s="46" customFormat="1" ht="17.100000000000001" customHeight="1" x14ac:dyDescent="0.25">
      <c r="B8" s="166" t="s">
        <v>359</v>
      </c>
      <c r="C8" s="167"/>
      <c r="D8" s="126">
        <f>SUM(Q:Q)</f>
        <v>0</v>
      </c>
      <c r="E8" s="68">
        <f>SUMIF(T:T,"&lt;&gt;Error",O:O)</f>
        <v>0</v>
      </c>
      <c r="G8" s="164"/>
      <c r="H8" s="164"/>
      <c r="I8" s="164"/>
      <c r="J8" s="164"/>
      <c r="K8" s="164"/>
      <c r="L8" s="164"/>
      <c r="M8" s="164"/>
      <c r="N8" s="164"/>
      <c r="O8" s="164"/>
      <c r="P8" s="164"/>
      <c r="Q8" s="164"/>
      <c r="R8" s="164"/>
      <c r="S8" s="164"/>
      <c r="T8" s="165"/>
    </row>
    <row r="9" spans="2:20" s="46" customFormat="1" ht="24.95" customHeight="1" x14ac:dyDescent="0.25">
      <c r="B9" s="171"/>
      <c r="C9" s="172"/>
      <c r="D9" s="70">
        <f>SUM(D5:D8)</f>
        <v>0</v>
      </c>
      <c r="E9" s="69">
        <f>SUM(E5:E8)</f>
        <v>0</v>
      </c>
      <c r="G9" s="164"/>
      <c r="H9" s="164"/>
      <c r="I9" s="164"/>
      <c r="J9" s="164"/>
      <c r="K9" s="164"/>
      <c r="L9" s="164"/>
      <c r="M9" s="164"/>
      <c r="N9" s="164"/>
      <c r="O9" s="164"/>
      <c r="P9" s="164"/>
      <c r="Q9" s="164"/>
      <c r="R9" s="164"/>
      <c r="S9" s="164"/>
      <c r="T9" s="165"/>
    </row>
    <row r="10" spans="2:20" s="46" customFormat="1" ht="8.1" customHeight="1" x14ac:dyDescent="0.25">
      <c r="B10" s="162"/>
      <c r="C10" s="163"/>
      <c r="D10" s="163"/>
      <c r="E10" s="163"/>
      <c r="F10" s="163"/>
      <c r="G10" s="163"/>
      <c r="H10" s="163"/>
      <c r="I10" s="163"/>
      <c r="J10" s="163"/>
      <c r="K10" s="163"/>
      <c r="L10" s="163"/>
      <c r="M10" s="163"/>
      <c r="N10" s="163"/>
      <c r="O10" s="163"/>
      <c r="P10" s="163"/>
      <c r="Q10" s="163"/>
      <c r="R10" s="163"/>
      <c r="S10" s="163"/>
      <c r="T10" s="71"/>
    </row>
    <row r="11" spans="2:20" s="125" customFormat="1" ht="16.5" customHeight="1" x14ac:dyDescent="0.25">
      <c r="B11" s="156" t="s">
        <v>168</v>
      </c>
      <c r="C11" s="156" t="s">
        <v>151</v>
      </c>
      <c r="D11" s="156" t="s">
        <v>237</v>
      </c>
      <c r="E11" s="156" t="s">
        <v>238</v>
      </c>
      <c r="F11" s="158" t="str">
        <f>Rates!E3</f>
        <v>Manager</v>
      </c>
      <c r="G11" s="158"/>
      <c r="H11" s="158"/>
      <c r="I11" s="159" t="str">
        <f>Rates!F3</f>
        <v>Teacher/Trainer/Researcher</v>
      </c>
      <c r="J11" s="160"/>
      <c r="K11" s="161"/>
      <c r="L11" s="158" t="str">
        <f>Rates!G3</f>
        <v>Technical Staff</v>
      </c>
      <c r="M11" s="158"/>
      <c r="N11" s="158"/>
      <c r="O11" s="158" t="str">
        <f>Rates!H3</f>
        <v>Administrative Staff</v>
      </c>
      <c r="P11" s="158"/>
      <c r="Q11" s="158"/>
      <c r="R11" s="156" t="s">
        <v>210</v>
      </c>
      <c r="S11" s="156" t="s">
        <v>169</v>
      </c>
      <c r="T11" s="156" t="s">
        <v>239</v>
      </c>
    </row>
    <row r="12" spans="2:20" s="125" customFormat="1" ht="42" customHeight="1" x14ac:dyDescent="0.25">
      <c r="B12" s="155"/>
      <c r="C12" s="155"/>
      <c r="D12" s="155"/>
      <c r="E12" s="155"/>
      <c r="F12" s="122" t="s">
        <v>222</v>
      </c>
      <c r="G12" s="72" t="s">
        <v>229</v>
      </c>
      <c r="H12" s="122" t="s">
        <v>170</v>
      </c>
      <c r="I12" s="122" t="s">
        <v>222</v>
      </c>
      <c r="J12" s="72" t="s">
        <v>229</v>
      </c>
      <c r="K12" s="122" t="s">
        <v>170</v>
      </c>
      <c r="L12" s="122" t="s">
        <v>222</v>
      </c>
      <c r="M12" s="72" t="s">
        <v>229</v>
      </c>
      <c r="N12" s="122" t="s">
        <v>170</v>
      </c>
      <c r="O12" s="122" t="s">
        <v>222</v>
      </c>
      <c r="P12" s="72" t="s">
        <v>229</v>
      </c>
      <c r="Q12" s="122" t="s">
        <v>170</v>
      </c>
      <c r="R12" s="155"/>
      <c r="S12" s="155"/>
      <c r="T12" s="155"/>
    </row>
    <row r="13" spans="2:20"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74">
        <v>0</v>
      </c>
      <c r="G13" s="75">
        <f>IF(T13="Error",0,INDEX(Rates,MATCH(E13,CountryALL,0),MATCH($F$11,Category,0)))</f>
        <v>0</v>
      </c>
      <c r="H13" s="76">
        <f>IFERROR(IF(T13="Error",0,ROUND(F13*G13,2)),0)</f>
        <v>0</v>
      </c>
      <c r="I13" s="74">
        <v>0</v>
      </c>
      <c r="J13" s="75">
        <f>IF(T13="Error",0,INDEX(Rates,MATCH(E13,CountryALL,0),MATCH($I$11,Category,0)))</f>
        <v>0</v>
      </c>
      <c r="K13" s="76">
        <f>IFERROR(IF(T13="Error",0,ROUND(I13*J13,2)),0)</f>
        <v>0</v>
      </c>
      <c r="L13" s="74">
        <v>0</v>
      </c>
      <c r="M13" s="75">
        <f>IF(T13="Error",0,INDEX(Rates,MATCH(E13,CountryALL,0),MATCH($L$11,Category,0)))</f>
        <v>0</v>
      </c>
      <c r="N13" s="76">
        <f>IFERROR(IF(T13="Error",0,ROUND(L13*M13,2)),0)</f>
        <v>0</v>
      </c>
      <c r="O13" s="74">
        <v>0</v>
      </c>
      <c r="P13" s="75">
        <f>IF(T13="Error",0,INDEX(Rates,MATCH(E13,CountryALL,0),MATCH($O$11,Category,0)))</f>
        <v>0</v>
      </c>
      <c r="Q13" s="76">
        <f>IFERROR(IF(T13="Error",0,ROUND(O13*P13,2)),0)</f>
        <v>0</v>
      </c>
      <c r="R13" s="77">
        <f>IF(T13="Error",0,F13+I13+L13+O13)</f>
        <v>0</v>
      </c>
      <c r="S13" s="78">
        <f>IF(T13="Error",0,H13+K13+N13+Q13)</f>
        <v>0</v>
      </c>
      <c r="T13" s="79" t="str">
        <f>IF(OR(COUNTIF(WorkPackage,B13)=0,COUNTIF(PartnerN°,C13)=0,D13="",COUNTIF(CountryALL,E13)=0,ISNUMBER(F13)=FALSE,ISNUMBER(I13)=FALSE,ISNUMBER(L13)=FALSE,ISNUMBER(O13)=FALSE,IF(ISNUMBER(F13)=TRUE,F13=INT(F13*10)/10=FALSE),IF(ISNUMBER(I13)=TRUE,I13=INT(I13*10)/10=FALSE),IF(ISNUMBER(L13)=TRUE,L13=INT(L13*10)/10=FALSE),IF(ISNUMBER(O13)=TRUE,O13=INT(O13*10)/10=FALSE)),"Error","")</f>
        <v>Error</v>
      </c>
    </row>
    <row r="14" spans="2:20"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74">
        <v>0</v>
      </c>
      <c r="G14" s="75">
        <f>IF(T14="Error",0,INDEX(Rates,MATCH(E14,CountryALL,0),MATCH($F$11,Category,0)))</f>
        <v>0</v>
      </c>
      <c r="H14" s="76">
        <f>IFERROR(IF(T14="Error",0,ROUND(F14*G14,2)),0)</f>
        <v>0</v>
      </c>
      <c r="I14" s="74">
        <v>0</v>
      </c>
      <c r="J14" s="75">
        <f>IF(T14="Error",0,INDEX(Rates,MATCH(E14,CountryALL,0),MATCH($I$11,Category,0)))</f>
        <v>0</v>
      </c>
      <c r="K14" s="76">
        <f>IFERROR(IF(T14="Error",0,ROUND(I14*J14,2)),0)</f>
        <v>0</v>
      </c>
      <c r="L14" s="74">
        <v>0</v>
      </c>
      <c r="M14" s="75">
        <f>IF(T14="Error",0,INDEX(Rates,MATCH(E14,CountryALL,0),MATCH($L$11,Category,0)))</f>
        <v>0</v>
      </c>
      <c r="N14" s="76">
        <f>IFERROR(IF(T14="Error",0,ROUND(L14*M14,2)),0)</f>
        <v>0</v>
      </c>
      <c r="O14" s="74">
        <v>0</v>
      </c>
      <c r="P14" s="75">
        <f>IF(T14="Error",0,INDEX(Rates,MATCH(E14,CountryALL,0),MATCH($O$11,Category,0)))</f>
        <v>0</v>
      </c>
      <c r="Q14" s="76">
        <f>IFERROR(IF(T14="Error",0,ROUND(O14*P14,2)),0)</f>
        <v>0</v>
      </c>
      <c r="R14" s="77">
        <f>IF(T14="Error",0,F14+I14+L14+O14)</f>
        <v>0</v>
      </c>
      <c r="S14" s="78">
        <f>IF(T14="Error",0,H14+K14+N14+Q14)</f>
        <v>0</v>
      </c>
      <c r="T14" s="79" t="str">
        <f>IF(OR(COUNTIF(WorkPackage,B14)=0,COUNTIF(PartnerN°,C14)=0,D14="",COUNTIF(CountryALL,E14)=0,ISNUMBER(F14)=FALSE,ISNUMBER(I14)=FALSE,ISNUMBER(L14)=FALSE,ISNUMBER(O14)=FALSE,IF(ISNUMBER(F14)=TRUE,F14=INT(F14*10)/10=FALSE),IF(ISNUMBER(I14)=TRUE,I14=INT(I14*10)/10=FALSE),IF(ISNUMBER(L14)=TRUE,L14=INT(L14*10)/10=FALSE),IF(ISNUMBER(O14)=TRUE,O14=INT(O14*10)/10=FALSE)),"Error","")</f>
        <v>Error</v>
      </c>
    </row>
  </sheetData>
  <sheetProtection password="E359" sheet="1" objects="1" scenarios="1" selectLockedCells="1"/>
  <dataConsolidate/>
  <mergeCells count="21">
    <mergeCell ref="B5:C5"/>
    <mergeCell ref="B4:C4"/>
    <mergeCell ref="B9:C9"/>
    <mergeCell ref="B3:S3"/>
    <mergeCell ref="R11:R12"/>
    <mergeCell ref="T11:T12"/>
    <mergeCell ref="B2:T2"/>
    <mergeCell ref="S11:S12"/>
    <mergeCell ref="F11:H11"/>
    <mergeCell ref="I11:K11"/>
    <mergeCell ref="L11:N11"/>
    <mergeCell ref="O11:Q11"/>
    <mergeCell ref="B10:S10"/>
    <mergeCell ref="G4:T9"/>
    <mergeCell ref="B11:B12"/>
    <mergeCell ref="E11:E12"/>
    <mergeCell ref="D11:D12"/>
    <mergeCell ref="C11:C12"/>
    <mergeCell ref="B8:C8"/>
    <mergeCell ref="B7:C7"/>
    <mergeCell ref="B6:C6"/>
  </mergeCells>
  <conditionalFormatting sqref="T13:T14">
    <cfRule type="containsText" dxfId="41" priority="555" operator="containsText" text="Error">
      <formula>NOT(ISERROR(SEARCH("Error",T13)))</formula>
    </cfRule>
  </conditionalFormatting>
  <conditionalFormatting sqref="D13:E14">
    <cfRule type="containsBlanks" dxfId="40" priority="551">
      <formula>LEN(TRIM(D13))=0</formula>
    </cfRule>
  </conditionalFormatting>
  <dataValidations count="4">
    <dataValidation allowBlank="1" showInputMessage="1" errorTitle="Warning: Max Ceilings exceeded" error="Please be aware that this exceed the &quot;Ceilings&quot; for the maximum amounts for staff cost by country" sqref="J13:J14 M13:M14 G13:G14 P13:P14"/>
    <dataValidation type="custom" allowBlank="1" showInputMessage="1" showErrorMessage="1" error="Format error (1 decimal only)" prompt="Please encode number of days - 1 decimal only" sqref="I13:I14 F13:F14 L13:L14 O13:O14">
      <formula1>F13=INT(F13*10)/10</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74803149606299213" header="0.31496062992125984" footer="0.31496062992125984"/>
  <pageSetup paperSize="9" scale="31"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225"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226" r:id="rId5"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3" tint="0.39997558519241921"/>
    <pageSetUpPr fitToPage="1"/>
  </sheetPr>
  <dimension ref="B1:O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6" customWidth="1"/>
    <col min="6" max="6" width="30.7109375" style="16" customWidth="1"/>
    <col min="7" max="7" width="15.7109375" style="16" customWidth="1"/>
    <col min="8" max="8" width="13.42578125" style="16" customWidth="1"/>
    <col min="9" max="9" width="30.7109375" style="16" customWidth="1"/>
    <col min="10" max="10" width="24.7109375" style="16" bestFit="1" customWidth="1"/>
    <col min="11" max="11" width="12.7109375" style="16" customWidth="1"/>
    <col min="12" max="14" width="20.7109375" style="16" customWidth="1"/>
    <col min="15" max="15" width="11.7109375" style="16" bestFit="1" customWidth="1"/>
    <col min="16" max="16" width="1.7109375" style="16" customWidth="1"/>
    <col min="17" max="16384" width="9.140625" style="16"/>
  </cols>
  <sheetData>
    <row r="1" spans="2:15" ht="8.1" customHeight="1" x14ac:dyDescent="0.25"/>
    <row r="2" spans="2:15" s="46" customFormat="1" ht="39.950000000000003" customHeight="1" x14ac:dyDescent="0.25">
      <c r="B2" s="157" t="s">
        <v>189</v>
      </c>
      <c r="C2" s="157"/>
      <c r="D2" s="157"/>
      <c r="E2" s="157"/>
      <c r="F2" s="157"/>
      <c r="G2" s="157"/>
      <c r="H2" s="157"/>
      <c r="I2" s="157"/>
      <c r="J2" s="157"/>
      <c r="K2" s="157"/>
      <c r="L2" s="157"/>
      <c r="M2" s="157"/>
      <c r="N2" s="157"/>
      <c r="O2" s="157"/>
    </row>
    <row r="3" spans="2:15" s="46" customFormat="1" ht="8.1" customHeight="1" x14ac:dyDescent="0.25">
      <c r="B3" s="81"/>
      <c r="C3" s="124"/>
      <c r="D3" s="124"/>
      <c r="E3" s="124"/>
      <c r="F3" s="124"/>
      <c r="G3" s="124"/>
      <c r="H3" s="124"/>
      <c r="I3" s="124"/>
      <c r="J3" s="124"/>
      <c r="K3" s="124"/>
      <c r="L3" s="124"/>
      <c r="M3" s="124"/>
      <c r="N3" s="124"/>
      <c r="O3" s="67"/>
    </row>
    <row r="4" spans="2:15" s="46" customFormat="1" ht="20.100000000000001" customHeight="1" x14ac:dyDescent="0.25">
      <c r="B4" s="183" t="s">
        <v>340</v>
      </c>
      <c r="C4" s="184"/>
      <c r="D4" s="114">
        <f>SUMIF(G:G,"Student",L:L)</f>
        <v>0</v>
      </c>
      <c r="E4" s="179">
        <f>D4+D5</f>
        <v>0</v>
      </c>
      <c r="F4" s="192">
        <f>SUMIFS(H:H,G:G,"Student",O:O,"&lt;&gt;Error")</f>
        <v>0</v>
      </c>
      <c r="G4" s="124"/>
      <c r="H4" s="124"/>
      <c r="I4" s="124"/>
      <c r="J4" s="124"/>
      <c r="K4" s="124"/>
      <c r="L4" s="124"/>
      <c r="M4" s="124"/>
      <c r="N4" s="124"/>
      <c r="O4" s="67"/>
    </row>
    <row r="5" spans="2:15" s="46" customFormat="1" ht="20.100000000000001" customHeight="1" x14ac:dyDescent="0.25">
      <c r="B5" s="181" t="s">
        <v>341</v>
      </c>
      <c r="C5" s="182"/>
      <c r="D5" s="115">
        <f>SUMIF(G:G,"Student",M:M)</f>
        <v>0</v>
      </c>
      <c r="E5" s="180"/>
      <c r="F5" s="193"/>
      <c r="G5" s="124"/>
      <c r="H5" s="124"/>
      <c r="I5" s="124"/>
      <c r="J5" s="124"/>
      <c r="K5" s="124"/>
      <c r="L5" s="124"/>
      <c r="M5" s="124"/>
      <c r="N5" s="124"/>
      <c r="O5" s="67"/>
    </row>
    <row r="6" spans="2:15" s="46" customFormat="1" ht="20.100000000000001" customHeight="1" x14ac:dyDescent="0.25">
      <c r="B6" s="183" t="s">
        <v>342</v>
      </c>
      <c r="C6" s="184"/>
      <c r="D6" s="114">
        <f>SUMIF(G:G,"Staff",L:L)</f>
        <v>0</v>
      </c>
      <c r="E6" s="177">
        <f>D6+D7</f>
        <v>0</v>
      </c>
      <c r="F6" s="190">
        <f>SUMIFS(H:H,G:G,"Staff",O:O,"&lt;&gt;Error")</f>
        <v>0</v>
      </c>
      <c r="G6" s="124"/>
      <c r="H6" s="124"/>
      <c r="I6" s="124"/>
      <c r="J6" s="124"/>
      <c r="K6" s="124"/>
      <c r="L6" s="124"/>
      <c r="M6" s="124"/>
      <c r="N6" s="124"/>
      <c r="O6" s="67"/>
    </row>
    <row r="7" spans="2:15" s="46" customFormat="1" ht="20.100000000000001" customHeight="1" x14ac:dyDescent="0.25">
      <c r="B7" s="181" t="s">
        <v>343</v>
      </c>
      <c r="C7" s="182"/>
      <c r="D7" s="115">
        <f>SUMIF(G:G,"Staff",M:M)</f>
        <v>0</v>
      </c>
      <c r="E7" s="178"/>
      <c r="F7" s="191"/>
      <c r="G7" s="124"/>
      <c r="H7" s="124"/>
      <c r="I7" s="124"/>
      <c r="J7" s="124"/>
      <c r="K7" s="124"/>
      <c r="L7" s="124"/>
      <c r="M7" s="124"/>
      <c r="N7" s="124"/>
      <c r="O7" s="67"/>
    </row>
    <row r="8" spans="2:15" s="46" customFormat="1" ht="20.100000000000001" customHeight="1" x14ac:dyDescent="0.25">
      <c r="B8" s="183" t="s">
        <v>344</v>
      </c>
      <c r="C8" s="184"/>
      <c r="D8" s="114">
        <f>SUM(L:L)</f>
        <v>0</v>
      </c>
      <c r="E8" s="175">
        <f>D8+D9</f>
        <v>0</v>
      </c>
      <c r="F8" s="188">
        <f>F4+F6</f>
        <v>0</v>
      </c>
      <c r="G8" s="124"/>
      <c r="H8" s="124"/>
      <c r="I8" s="124"/>
      <c r="J8" s="124"/>
      <c r="K8" s="124"/>
      <c r="L8" s="124"/>
      <c r="M8" s="124"/>
      <c r="N8" s="124"/>
      <c r="O8" s="67"/>
    </row>
    <row r="9" spans="2:15" s="46" customFormat="1" ht="20.100000000000001" customHeight="1" x14ac:dyDescent="0.25">
      <c r="B9" s="181" t="s">
        <v>345</v>
      </c>
      <c r="C9" s="182"/>
      <c r="D9" s="115">
        <f>SUM(M:M)</f>
        <v>0</v>
      </c>
      <c r="E9" s="176"/>
      <c r="F9" s="189"/>
      <c r="G9" s="124"/>
      <c r="H9" s="124"/>
      <c r="I9" s="124"/>
      <c r="J9" s="124"/>
      <c r="K9" s="124"/>
      <c r="L9" s="124"/>
      <c r="M9" s="124"/>
      <c r="N9" s="124"/>
      <c r="O9" s="67"/>
    </row>
    <row r="10" spans="2:15" s="46" customFormat="1" ht="8.1" customHeight="1" x14ac:dyDescent="0.25">
      <c r="B10" s="47"/>
      <c r="C10" s="49"/>
      <c r="D10" s="49"/>
      <c r="E10" s="49"/>
      <c r="F10" s="49"/>
      <c r="G10" s="49"/>
      <c r="H10" s="49"/>
      <c r="I10" s="49"/>
      <c r="J10" s="49"/>
      <c r="K10" s="49"/>
      <c r="L10" s="49"/>
      <c r="M10" s="49"/>
      <c r="N10" s="49"/>
      <c r="O10" s="71"/>
    </row>
    <row r="11" spans="2:15" s="125" customFormat="1" ht="42" customHeight="1" x14ac:dyDescent="0.25">
      <c r="B11" s="156" t="s">
        <v>168</v>
      </c>
      <c r="C11" s="156" t="s">
        <v>151</v>
      </c>
      <c r="D11" s="156" t="s">
        <v>237</v>
      </c>
      <c r="E11" s="156" t="s">
        <v>238</v>
      </c>
      <c r="F11" s="158" t="s">
        <v>244</v>
      </c>
      <c r="G11" s="156" t="s">
        <v>233</v>
      </c>
      <c r="H11" s="156" t="s">
        <v>231</v>
      </c>
      <c r="I11" s="185" t="s">
        <v>245</v>
      </c>
      <c r="J11" s="158" t="s">
        <v>230</v>
      </c>
      <c r="K11" s="156" t="s">
        <v>227</v>
      </c>
      <c r="L11" s="187" t="s">
        <v>177</v>
      </c>
      <c r="M11" s="156" t="s">
        <v>181</v>
      </c>
      <c r="N11" s="156" t="s">
        <v>169</v>
      </c>
      <c r="O11" s="154" t="s">
        <v>239</v>
      </c>
    </row>
    <row r="12" spans="2:15" ht="23.85" customHeight="1" x14ac:dyDescent="0.25">
      <c r="B12" s="155"/>
      <c r="C12" s="155"/>
      <c r="D12" s="155"/>
      <c r="E12" s="155"/>
      <c r="F12" s="155"/>
      <c r="G12" s="155"/>
      <c r="H12" s="155"/>
      <c r="I12" s="186"/>
      <c r="J12" s="155"/>
      <c r="K12" s="155"/>
      <c r="L12" s="186"/>
      <c r="M12" s="155"/>
      <c r="N12" s="155"/>
      <c r="O12" s="155"/>
    </row>
    <row r="13" spans="2:15"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95"/>
      <c r="G13" s="85"/>
      <c r="H13" s="86">
        <v>0</v>
      </c>
      <c r="I13" s="95"/>
      <c r="J13" s="84"/>
      <c r="K13" s="86">
        <v>0</v>
      </c>
      <c r="L13" s="87">
        <f>IF(O13="Error",0,ROUND(ROUND(H13,0)*(VLOOKUP(J13,TravelCosts,2,FALSE)),2))</f>
        <v>0</v>
      </c>
      <c r="M13" s="88">
        <f>IF(O13="Error",0,IF(AND(G13="Staff",K13&gt;0,K13&lt;15),(120*K13)*H13,IF(AND(G13="Staff",K13&gt;14,K13&lt;61),(1680+((K13-14)*70))*H13,IF(AND(G13="Staff",K13&gt;60,K13&lt;91),(4900+((K13-60)*50))*H13,IF(AND(G13="Student",K13&gt;0,K13&lt;15),(55*K13)*H13,IF(AND(G13="Student",K13&gt;14,K13&lt;91),(770+((K13-14)*40))*H13,0))))))</f>
        <v>0</v>
      </c>
      <c r="N13" s="89">
        <f t="shared" ref="N13" si="0">L13+M13</f>
        <v>0</v>
      </c>
      <c r="O13" s="79" t="str">
        <f>IF(OR(COUNTIF(WorkPackage,B13)=0,COUNTIF(PartnerN°,C13)=0,D13="",COUNTIF(CountryALL,E13)=0,F13="",COUNTIF(Category2,G13)=0,ISNUMBER(H13)=FALSE,I13="",COUNTIF(TravelBands,J13)=0,ISNUMBER(K13)=FALSE,OR(K13&lt;0,K13&gt;90),IF(ISNUMBER(H13)=TRUE,H13=INT(H13*1)/1=FALSE),IF(ISNUMBER(K13)=TRUE,K13=INT(K13*1)/1=FALSE)),"Error","")</f>
        <v>Error</v>
      </c>
    </row>
    <row r="14" spans="2:15"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95"/>
      <c r="G14" s="85"/>
      <c r="H14" s="86">
        <v>0</v>
      </c>
      <c r="I14" s="95"/>
      <c r="J14" s="84"/>
      <c r="K14" s="86">
        <v>0</v>
      </c>
      <c r="L14" s="87">
        <f>IF(O14="Error",0,ROUND(ROUND(H14,0)*(VLOOKUP(J14,TravelCosts,2,FALSE)),2))</f>
        <v>0</v>
      </c>
      <c r="M14" s="88">
        <f>IF(O14="Error",0,IF(AND(G14="Staff",K14&gt;0,K14&lt;15),(120*K14)*H14,IF(AND(G14="Staff",K14&gt;14,K14&lt;61),(1680+((K14-14)*70))*H14,IF(AND(G14="Staff",K14&gt;60,K14&lt;91),(4900+((K14-60)*50))*H14,IF(AND(G14="Student",K14&gt;0,K14&lt;15),(55*K14)*H14,IF(AND(G14="Student",K14&gt;14,K14&lt;91),(770+((K14-14)*40))*H14,0))))))</f>
        <v>0</v>
      </c>
      <c r="N14" s="89">
        <f t="shared" ref="N14" si="1">L14+M14</f>
        <v>0</v>
      </c>
      <c r="O14" s="79" t="str">
        <f>IF(OR(COUNTIF(WorkPackage,B14)=0,COUNTIF(PartnerN°,C14)=0,D14="",COUNTIF(CountryALL,E14)=0,F14="",COUNTIF(Category2,G14)=0,ISNUMBER(H14)=FALSE,I14="",COUNTIF(TravelBands,J14)=0,ISNUMBER(K14)=FALSE,OR(K14&lt;0,K14&gt;90),IF(ISNUMBER(H14)=TRUE,H14=INT(H14*1)/1=FALSE),IF(ISNUMBER(K14)=TRUE,K14=INT(K14*1)/1=FALSE)),"Error","")</f>
        <v>Error</v>
      </c>
    </row>
  </sheetData>
  <sheetProtection password="E359" sheet="1" objects="1" scenarios="1" selectLockedCells="1"/>
  <dataConsolidate/>
  <mergeCells count="27">
    <mergeCell ref="O11:O12"/>
    <mergeCell ref="B2:O2"/>
    <mergeCell ref="F11:F12"/>
    <mergeCell ref="I11:I12"/>
    <mergeCell ref="H11:H12"/>
    <mergeCell ref="G11:G12"/>
    <mergeCell ref="E11:E12"/>
    <mergeCell ref="D11:D12"/>
    <mergeCell ref="N11:N12"/>
    <mergeCell ref="M11:M12"/>
    <mergeCell ref="L11:L12"/>
    <mergeCell ref="K11:K12"/>
    <mergeCell ref="J11:J12"/>
    <mergeCell ref="F8:F9"/>
    <mergeCell ref="F6:F7"/>
    <mergeCell ref="F4:F5"/>
    <mergeCell ref="E8:E9"/>
    <mergeCell ref="E6:E7"/>
    <mergeCell ref="E4:E5"/>
    <mergeCell ref="B11:B12"/>
    <mergeCell ref="C11:C12"/>
    <mergeCell ref="B9:C9"/>
    <mergeCell ref="B8:C8"/>
    <mergeCell ref="B7:C7"/>
    <mergeCell ref="B6:C6"/>
    <mergeCell ref="B5:C5"/>
    <mergeCell ref="B4:C4"/>
  </mergeCells>
  <conditionalFormatting sqref="O13:O14">
    <cfRule type="containsText" dxfId="39" priority="208" operator="containsText" text="Error">
      <formula>NOT(ISERROR(SEARCH("Error",O13)))</formula>
    </cfRule>
  </conditionalFormatting>
  <conditionalFormatting sqref="D13:E14">
    <cfRule type="containsBlanks" dxfId="38" priority="206">
      <formula>LEN(TRIM(D13))=0</formula>
    </cfRule>
  </conditionalFormatting>
  <dataValidations xWindow="204" yWindow="443" count="9">
    <dataValidation allowBlank="1" showInputMessage="1" errorTitle="Warning: Max Ceilings exceeded" error="Please be aware that this exceed the &quot;Ceilings&quot; for the maximum amounts for staff cost by country" sqref="L13:L14"/>
    <dataValidation allowBlank="1" showInputMessage="1" showErrorMessage="1" error="Please encode City of Destination" prompt="Please encode City of Destination" sqref="I13:I14"/>
    <dataValidation type="whole" allowBlank="1" showInputMessage="1" showErrorMessage="1" error="Format error (whole number only)" prompt="Please encode number (whole number only)" sqref="H13:H14">
      <formula1>0</formula1>
      <formula2>50000</formula2>
    </dataValidation>
    <dataValidation allowBlank="1" showInputMessage="1" showErrorMessage="1" error="Please encode City of Departure" prompt="Please encode City of Departure" sqref="F13:F14"/>
    <dataValidation type="whole" allowBlank="1" showInputMessage="1" showErrorMessage="1" error="Please encode the number of days - Max 90 days for Student and Staff (whole number only)" prompt="Please encode the number of days - Max 90 days for Student and Staff (whole number only)" sqref="K13:K14">
      <formula1>0</formula1>
      <formula2>90</formula2>
    </dataValidation>
    <dataValidation type="list" allowBlank="1" showInputMessage="1" showErrorMessage="1" error="Click arrow to select Category" prompt="Click arrow to select Category" sqref="G13:G14">
      <formula1>Category2</formula1>
    </dataValidation>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39"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52" r:id="rId4" name="Button 3">
              <controlPr defaultSize="0" print="0" autoFill="0" autoPict="0" macro="[0]!Button3_Click">
                <anchor moveWithCells="1" sizeWithCells="1">
                  <from>
                    <xdr:col>2</xdr:col>
                    <xdr:colOff>552450</xdr:colOff>
                    <xdr:row>1</xdr:row>
                    <xdr:rowOff>85725</xdr:rowOff>
                  </from>
                  <to>
                    <xdr:col>3</xdr:col>
                    <xdr:colOff>1638300</xdr:colOff>
                    <xdr:row>1</xdr:row>
                    <xdr:rowOff>438150</xdr:rowOff>
                  </to>
                </anchor>
              </controlPr>
            </control>
          </mc:Choice>
        </mc:AlternateContent>
        <mc:AlternateContent xmlns:mc="http://schemas.openxmlformats.org/markup-compatibility/2006">
          <mc:Choice Requires="x14">
            <control shapeId="5153" r:id="rId5"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5154" r:id="rId6"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3" tint="0.39997558519241921"/>
    <pageSetUpPr fitToPage="1"/>
  </sheetPr>
  <dimension ref="B1:I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6" customWidth="1"/>
    <col min="6" max="6" width="120.7109375" style="16" customWidth="1"/>
    <col min="7" max="8" width="20.7109375" style="16" customWidth="1"/>
    <col min="9" max="9" width="11.28515625" style="16" bestFit="1" customWidth="1"/>
    <col min="10" max="10" width="1.7109375" style="16" customWidth="1"/>
    <col min="11" max="16384" width="9.140625" style="16"/>
  </cols>
  <sheetData>
    <row r="1" spans="2:9" ht="8.1" customHeight="1" x14ac:dyDescent="0.25"/>
    <row r="2" spans="2:9" s="46" customFormat="1" ht="39.950000000000003" customHeight="1" x14ac:dyDescent="0.25">
      <c r="B2" s="157" t="s">
        <v>191</v>
      </c>
      <c r="C2" s="157"/>
      <c r="D2" s="157"/>
      <c r="E2" s="157"/>
      <c r="F2" s="157"/>
      <c r="G2" s="157"/>
      <c r="H2" s="157"/>
      <c r="I2" s="157"/>
    </row>
    <row r="3" spans="2:9" s="46" customFormat="1" ht="8.1" customHeight="1" x14ac:dyDescent="0.25">
      <c r="B3" s="81"/>
      <c r="F3" s="124"/>
      <c r="G3" s="124"/>
      <c r="H3" s="124"/>
      <c r="I3" s="67"/>
    </row>
    <row r="4" spans="2:9" s="46" customFormat="1" ht="9.9499999999999993" customHeight="1" x14ac:dyDescent="0.25">
      <c r="B4" s="195" t="s">
        <v>190</v>
      </c>
      <c r="C4" s="198">
        <f>SUM(H:H)</f>
        <v>0</v>
      </c>
      <c r="D4" s="199"/>
      <c r="F4" s="124"/>
      <c r="G4" s="124"/>
      <c r="H4" s="124"/>
      <c r="I4" s="67"/>
    </row>
    <row r="5" spans="2:9" s="46" customFormat="1" ht="9.9499999999999993" customHeight="1" x14ac:dyDescent="0.25">
      <c r="B5" s="196"/>
      <c r="C5" s="200"/>
      <c r="D5" s="201"/>
      <c r="F5" s="124"/>
      <c r="G5" s="124"/>
      <c r="H5" s="124"/>
      <c r="I5" s="67"/>
    </row>
    <row r="6" spans="2:9" s="46" customFormat="1" ht="9.9499999999999993" customHeight="1" x14ac:dyDescent="0.25">
      <c r="B6" s="196"/>
      <c r="C6" s="200"/>
      <c r="D6" s="201"/>
      <c r="F6" s="124"/>
      <c r="G6" s="124"/>
      <c r="H6" s="124"/>
      <c r="I6" s="67"/>
    </row>
    <row r="7" spans="2:9" s="46" customFormat="1" ht="9.9499999999999993" customHeight="1" x14ac:dyDescent="0.25">
      <c r="B7" s="196"/>
      <c r="C7" s="200"/>
      <c r="D7" s="201"/>
      <c r="F7" s="124"/>
      <c r="G7" s="124"/>
      <c r="H7" s="124"/>
      <c r="I7" s="67"/>
    </row>
    <row r="8" spans="2:9" s="46" customFormat="1" ht="9.9499999999999993" customHeight="1" x14ac:dyDescent="0.25">
      <c r="B8" s="196"/>
      <c r="C8" s="200"/>
      <c r="D8" s="201"/>
      <c r="F8" s="124"/>
      <c r="G8" s="124"/>
      <c r="H8" s="124"/>
      <c r="I8" s="67"/>
    </row>
    <row r="9" spans="2:9" s="46" customFormat="1" ht="9.9499999999999993" customHeight="1" x14ac:dyDescent="0.25">
      <c r="B9" s="197"/>
      <c r="C9" s="202"/>
      <c r="D9" s="203"/>
      <c r="F9" s="124"/>
      <c r="G9" s="124"/>
      <c r="H9" s="124"/>
      <c r="I9" s="67"/>
    </row>
    <row r="10" spans="2:9" s="46" customFormat="1" ht="8.1" customHeight="1" x14ac:dyDescent="0.25">
      <c r="B10" s="47"/>
      <c r="C10" s="48"/>
      <c r="D10" s="48"/>
      <c r="E10" s="48"/>
      <c r="F10" s="49"/>
      <c r="G10" s="49"/>
      <c r="H10" s="49"/>
      <c r="I10" s="71"/>
    </row>
    <row r="11" spans="2:9" s="125" customFormat="1" ht="42" customHeight="1" x14ac:dyDescent="0.25">
      <c r="B11" s="156" t="s">
        <v>168</v>
      </c>
      <c r="C11" s="156" t="s">
        <v>151</v>
      </c>
      <c r="D11" s="156" t="s">
        <v>237</v>
      </c>
      <c r="E11" s="194" t="s">
        <v>238</v>
      </c>
      <c r="F11" s="158" t="s">
        <v>136</v>
      </c>
      <c r="G11" s="154" t="s">
        <v>171</v>
      </c>
      <c r="H11" s="154" t="s">
        <v>170</v>
      </c>
      <c r="I11" s="154" t="s">
        <v>239</v>
      </c>
    </row>
    <row r="12" spans="2:9" ht="23.85" customHeight="1" x14ac:dyDescent="0.25">
      <c r="B12" s="155"/>
      <c r="C12" s="155"/>
      <c r="D12" s="155"/>
      <c r="E12" s="158"/>
      <c r="F12" s="155"/>
      <c r="G12" s="155"/>
      <c r="H12" s="155"/>
      <c r="I12" s="155"/>
    </row>
    <row r="13" spans="2:9"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44"/>
      <c r="G13" s="82">
        <v>0</v>
      </c>
      <c r="H13" s="83">
        <f>IF(I13="Error",0,ROUND(G13,2))</f>
        <v>0</v>
      </c>
      <c r="I13" s="79" t="str">
        <f>IF(OR(COUNTIF(WorkPackage,B13)=0,COUNTIF(PartnerN°,C13)=0,D13="",COUNTIF(CountryEligEquip,E13)=0,F13="",ISNUMBER(G13)=FALSE,IF(ISNUMBER(G13)=TRUE,G13=INT(G13*100)/100=FALSE)),"Error","")</f>
        <v>Error</v>
      </c>
    </row>
    <row r="14" spans="2:9"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44"/>
      <c r="G14" s="82">
        <v>0</v>
      </c>
      <c r="H14" s="83">
        <f>IF(I14="Error",0,ROUND(G14,2))</f>
        <v>0</v>
      </c>
      <c r="I14" s="79" t="str">
        <f>IF(OR(COUNTIF(WorkPackage,B14)=0,COUNTIF(PartnerN°,C14)=0,D14="",COUNTIF(CountryEligEquip,E14)=0,F14="",ISNUMBER(G14)=FALSE,IF(ISNUMBER(G14)=TRUE,G14=INT(G14*100)/100=FALSE)),"Error","")</f>
        <v>Error</v>
      </c>
    </row>
  </sheetData>
  <sheetProtection password="E359" sheet="1" objects="1" scenarios="1" selectLockedCells="1"/>
  <dataConsolidate/>
  <mergeCells count="11">
    <mergeCell ref="I11:I12"/>
    <mergeCell ref="B2:I2"/>
    <mergeCell ref="H11:H12"/>
    <mergeCell ref="G11:G12"/>
    <mergeCell ref="F11:F12"/>
    <mergeCell ref="E11:E12"/>
    <mergeCell ref="B4:B9"/>
    <mergeCell ref="C4:D9"/>
    <mergeCell ref="D11:D12"/>
    <mergeCell ref="B11:B12"/>
    <mergeCell ref="C11:C12"/>
  </mergeCells>
  <conditionalFormatting sqref="I13:I14">
    <cfRule type="containsText" dxfId="37" priority="292" operator="containsText" text="Error">
      <formula>NOT(ISERROR(SEARCH("Error",I13)))</formula>
    </cfRule>
  </conditionalFormatting>
  <conditionalFormatting sqref="D13:E14">
    <cfRule type="containsBlanks" dxfId="36" priority="287">
      <formula>LEN(TRIM(D13))=0</formula>
    </cfRule>
  </conditionalFormatting>
  <conditionalFormatting sqref="E13">
    <cfRule type="expression" dxfId="35" priority="209">
      <formula>COUNTIF(CountryEligEquip,E13)=0</formula>
    </cfRule>
  </conditionalFormatting>
  <conditionalFormatting sqref="E14">
    <cfRule type="expression" dxfId="34" priority="210">
      <formula>COUNTIF(CountryEligEquip,E14)=0</formula>
    </cfRule>
  </conditionalFormatting>
  <dataValidations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8208"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8209" r:id="rId5"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3" tint="0.39997558519241921"/>
    <pageSetUpPr fitToPage="1"/>
  </sheetPr>
  <dimension ref="B1:I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42.7109375" style="16" customWidth="1"/>
    <col min="3" max="3" width="10.7109375" style="16" customWidth="1"/>
    <col min="4" max="5" width="50.7109375" style="16" customWidth="1"/>
    <col min="6" max="6" width="120.7109375" style="16" customWidth="1"/>
    <col min="7" max="8" width="20.7109375" style="16" customWidth="1"/>
    <col min="9" max="9" width="11.28515625" style="16" bestFit="1" customWidth="1"/>
    <col min="10" max="10" width="1.7109375" style="16" customWidth="1"/>
    <col min="11" max="16384" width="9.140625" style="16"/>
  </cols>
  <sheetData>
    <row r="1" spans="2:9" ht="8.1" customHeight="1" x14ac:dyDescent="0.25"/>
    <row r="2" spans="2:9" s="46" customFormat="1" ht="39.950000000000003" customHeight="1" x14ac:dyDescent="0.25">
      <c r="B2" s="157" t="s">
        <v>192</v>
      </c>
      <c r="C2" s="157"/>
      <c r="D2" s="157"/>
      <c r="E2" s="157"/>
      <c r="F2" s="157"/>
      <c r="G2" s="157"/>
      <c r="H2" s="157"/>
      <c r="I2" s="157"/>
    </row>
    <row r="3" spans="2:9" s="46" customFormat="1" ht="8.1" customHeight="1" x14ac:dyDescent="0.25">
      <c r="B3" s="81"/>
      <c r="F3" s="124"/>
      <c r="G3" s="124"/>
      <c r="H3" s="124"/>
      <c r="I3" s="67"/>
    </row>
    <row r="4" spans="2:9" s="46" customFormat="1" ht="9.9499999999999993" customHeight="1" x14ac:dyDescent="0.25">
      <c r="B4" s="195" t="s">
        <v>190</v>
      </c>
      <c r="C4" s="198">
        <f>SUM(H:H)</f>
        <v>0</v>
      </c>
      <c r="D4" s="199"/>
      <c r="F4" s="124"/>
      <c r="G4" s="124"/>
      <c r="H4" s="124"/>
      <c r="I4" s="67"/>
    </row>
    <row r="5" spans="2:9" s="46" customFormat="1" ht="9.9499999999999993" customHeight="1" x14ac:dyDescent="0.25">
      <c r="B5" s="196"/>
      <c r="C5" s="200"/>
      <c r="D5" s="201"/>
      <c r="F5" s="124"/>
      <c r="G5" s="124"/>
      <c r="H5" s="124"/>
      <c r="I5" s="67"/>
    </row>
    <row r="6" spans="2:9" s="46" customFormat="1" ht="9.9499999999999993" customHeight="1" x14ac:dyDescent="0.25">
      <c r="B6" s="196"/>
      <c r="C6" s="200"/>
      <c r="D6" s="201"/>
      <c r="F6" s="124"/>
      <c r="G6" s="124"/>
      <c r="H6" s="124"/>
      <c r="I6" s="67"/>
    </row>
    <row r="7" spans="2:9" s="46" customFormat="1" ht="9.9499999999999993" customHeight="1" x14ac:dyDescent="0.25">
      <c r="B7" s="196"/>
      <c r="C7" s="200"/>
      <c r="D7" s="201"/>
      <c r="F7" s="124"/>
      <c r="G7" s="124"/>
      <c r="H7" s="124"/>
      <c r="I7" s="67"/>
    </row>
    <row r="8" spans="2:9" s="46" customFormat="1" ht="9.9499999999999993" customHeight="1" x14ac:dyDescent="0.25">
      <c r="B8" s="196"/>
      <c r="C8" s="200"/>
      <c r="D8" s="201"/>
      <c r="F8" s="124"/>
      <c r="G8" s="124"/>
      <c r="H8" s="124"/>
      <c r="I8" s="67"/>
    </row>
    <row r="9" spans="2:9" s="46" customFormat="1" ht="9.9499999999999993" customHeight="1" x14ac:dyDescent="0.25">
      <c r="B9" s="197"/>
      <c r="C9" s="202"/>
      <c r="D9" s="203"/>
      <c r="F9" s="124"/>
      <c r="G9" s="124"/>
      <c r="H9" s="124"/>
      <c r="I9" s="67"/>
    </row>
    <row r="10" spans="2:9" s="46" customFormat="1" ht="8.1" customHeight="1" x14ac:dyDescent="0.25">
      <c r="B10" s="47"/>
      <c r="C10" s="48"/>
      <c r="D10" s="48"/>
      <c r="E10" s="48"/>
      <c r="F10" s="49"/>
      <c r="G10" s="49"/>
      <c r="H10" s="49"/>
      <c r="I10" s="71"/>
    </row>
    <row r="11" spans="2:9" s="125" customFormat="1" ht="42" customHeight="1" x14ac:dyDescent="0.25">
      <c r="B11" s="156" t="s">
        <v>168</v>
      </c>
      <c r="C11" s="156" t="s">
        <v>151</v>
      </c>
      <c r="D11" s="156" t="s">
        <v>237</v>
      </c>
      <c r="E11" s="156" t="s">
        <v>238</v>
      </c>
      <c r="F11" s="158" t="s">
        <v>136</v>
      </c>
      <c r="G11" s="154" t="s">
        <v>171</v>
      </c>
      <c r="H11" s="154" t="s">
        <v>170</v>
      </c>
      <c r="I11" s="154" t="s">
        <v>239</v>
      </c>
    </row>
    <row r="12" spans="2:9" ht="23.85" customHeight="1" x14ac:dyDescent="0.25">
      <c r="B12" s="155"/>
      <c r="C12" s="155"/>
      <c r="D12" s="155"/>
      <c r="E12" s="155"/>
      <c r="F12" s="155"/>
      <c r="G12" s="155"/>
      <c r="H12" s="155"/>
      <c r="I12" s="155"/>
    </row>
    <row r="13" spans="2:9" s="80" customFormat="1" hidden="1" x14ac:dyDescent="0.25">
      <c r="B13" s="39"/>
      <c r="C13" s="73"/>
      <c r="D13" s="137" t="str">
        <f>IFERROR(IF(VLOOKUP(C13,PartnerN°Ref,2,FALSE)=0,"",VLOOKUP(C13,PartnerN°Ref,2,FALSE)),"")</f>
        <v/>
      </c>
      <c r="E13" s="137" t="str">
        <f>IFERROR(IF(OR(VLOOKUP(C13,PartnerN°Ref,4,FALSE)="Country not found",VLOOKUP(C13,PartnerN°Ref,3,FALSE)=0),"",VLOOKUP(C13,PartnerN°Ref,3,FALSE)),"")</f>
        <v/>
      </c>
      <c r="F13" s="44"/>
      <c r="G13" s="82">
        <v>0</v>
      </c>
      <c r="H13" s="83">
        <f>IF(I13="Error",0,ROUND(G13,2))</f>
        <v>0</v>
      </c>
      <c r="I13" s="79" t="str">
        <f>IF(OR(COUNTIF(WorkPackage,B13)=0,COUNTIF(PartnerN°,C13)=0,D13="",COUNTIF(CountryALL,E13)=0,F13="",ISNUMBER(G13)=FALSE,IF(ISNUMBER(G13)=TRUE,G13=INT(G13*100)/100=FALSE)),"Error","")</f>
        <v>Error</v>
      </c>
    </row>
    <row r="14" spans="2:9" s="80" customFormat="1" x14ac:dyDescent="0.25">
      <c r="B14" s="39"/>
      <c r="C14" s="73"/>
      <c r="D14" s="137" t="str">
        <f>IFERROR(IF(VLOOKUP(C14,PartnerN°Ref,2,FALSE)=0,"",VLOOKUP(C14,PartnerN°Ref,2,FALSE)),"")</f>
        <v/>
      </c>
      <c r="E14" s="137" t="str">
        <f>IFERROR(IF(OR(VLOOKUP(C14,PartnerN°Ref,4,FALSE)="Country not found",VLOOKUP(C14,PartnerN°Ref,3,FALSE)=0),"",VLOOKUP(C14,PartnerN°Ref,3,FALSE)),"")</f>
        <v/>
      </c>
      <c r="F14" s="44"/>
      <c r="G14" s="82">
        <v>0</v>
      </c>
      <c r="H14" s="83">
        <f>IF(I14="Error",0,ROUND(G14,2))</f>
        <v>0</v>
      </c>
      <c r="I14" s="79" t="str">
        <f>IF(OR(COUNTIF(WorkPackage,B14)=0,COUNTIF(PartnerN°,C14)=0,D14="",COUNTIF(CountryALL,E14)=0,F14="",ISNUMBER(G14)=FALSE,IF(ISNUMBER(G14)=TRUE,G14=INT(G14*100)/100=FALSE)),"Error","")</f>
        <v>Error</v>
      </c>
    </row>
  </sheetData>
  <sheetProtection password="E359" sheet="1" objects="1" scenarios="1" selectLockedCells="1"/>
  <dataConsolidate/>
  <mergeCells count="11">
    <mergeCell ref="I11:I12"/>
    <mergeCell ref="B2:I2"/>
    <mergeCell ref="H11:H12"/>
    <mergeCell ref="B4:B9"/>
    <mergeCell ref="C4:D9"/>
    <mergeCell ref="B11:B12"/>
    <mergeCell ref="C11:C12"/>
    <mergeCell ref="D11:D12"/>
    <mergeCell ref="E11:E12"/>
    <mergeCell ref="F11:F12"/>
    <mergeCell ref="G11:G12"/>
  </mergeCells>
  <conditionalFormatting sqref="I13:I14">
    <cfRule type="containsText" dxfId="33" priority="132" operator="containsText" text="Error">
      <formula>NOT(ISERROR(SEARCH("Error",I13)))</formula>
    </cfRule>
  </conditionalFormatting>
  <conditionalFormatting sqref="D13:E14">
    <cfRule type="containsBlanks" dxfId="32" priority="126">
      <formula>LEN(TRIM(D13))=0</formula>
    </cfRule>
  </conditionalFormatting>
  <dataValidations xWindow="126" yWindow="424" count="4">
    <dataValidation type="custom" allowBlank="1" showInputMessage="1" showErrorMessage="1" error="Format error (2 decimals only)" prompt="Please encode amount (2 decimals only)" sqref="G13:G14">
      <formula1>G13=INT(G13*100)/100</formula1>
    </dataValidation>
    <dataValidation allowBlank="1" showInputMessage="1" showErrorMessage="1" error="Please encode Nature, type and specifications" prompt="Please encode Nature, type and specifications" sqref="F13:F14"/>
    <dataValidation type="list" allowBlank="1" showInputMessage="1" showErrorMessage="1" error="Click arrow to select Work Package" prompt="Click arrow to select Work Package" sqref="B13:B14">
      <formula1>WorkPackage</formula1>
    </dataValidation>
    <dataValidation type="list" allowBlank="1" showInputMessage="1" showErrorMessage="1" error="Click arrow to select Partner N°" prompt="Click arrow to select Partner N°" sqref="C13:C14">
      <formula1>PartnerN°</formula1>
    </dataValidation>
  </dataValidations>
  <printOptions horizontalCentered="1"/>
  <pageMargins left="0.23622047244094491" right="0.23622047244094491" top="0.39370078740157483" bottom="0.94488188976377963" header="0.31496062992125984" footer="0.31496062992125984"/>
  <pageSetup paperSize="9" scale="43"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4831"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4832" r:id="rId5" name="Button 2">
              <controlPr defaultSize="0" print="0" autoFill="0" autoPict="0" macro="[0]!DeleteRow">
                <anchor moveWithCells="1" sizeWithCells="1">
                  <from>
                    <xdr:col>1</xdr:col>
                    <xdr:colOff>1743075</xdr:colOff>
                    <xdr:row>1</xdr:row>
                    <xdr:rowOff>76200</xdr:rowOff>
                  </from>
                  <to>
                    <xdr:col>2</xdr:col>
                    <xdr:colOff>466725</xdr:colOff>
                    <xdr:row>1</xdr:row>
                    <xdr:rowOff>438150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9" tint="-0.249977111117893"/>
    <pageSetUpPr fitToPage="1"/>
  </sheetPr>
  <dimension ref="B1:R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28.7109375" style="16" customWidth="1"/>
    <col min="3" max="4" width="50.7109375" style="16" customWidth="1"/>
    <col min="5" max="5" width="40.7109375" style="16" customWidth="1"/>
    <col min="6" max="6" width="30.7109375" style="16" customWidth="1"/>
    <col min="7" max="7" width="14.28515625" style="16" bestFit="1" customWidth="1"/>
    <col min="8" max="8" width="50.7109375" style="16" customWidth="1"/>
    <col min="9" max="9" width="30.7109375" style="16" customWidth="1"/>
    <col min="10" max="10" width="24.7109375" style="16" bestFit="1" customWidth="1"/>
    <col min="11" max="11" width="14.7109375" style="16" customWidth="1"/>
    <col min="12" max="14" width="20.7109375" style="16" customWidth="1"/>
    <col min="15" max="15" width="11.7109375" style="16" bestFit="1" customWidth="1"/>
    <col min="16" max="18" width="1.7109375" style="90" hidden="1" customWidth="1"/>
    <col min="19" max="19" width="1.7109375" style="16" customWidth="1"/>
    <col min="20" max="16384" width="9.140625" style="16"/>
  </cols>
  <sheetData>
    <row r="1" spans="2:18" ht="8.1" customHeight="1" x14ac:dyDescent="0.25"/>
    <row r="2" spans="2:18" s="46" customFormat="1" ht="39.950000000000003" customHeight="1" x14ac:dyDescent="0.25">
      <c r="B2" s="157" t="s">
        <v>254</v>
      </c>
      <c r="C2" s="157"/>
      <c r="D2" s="157"/>
      <c r="E2" s="157"/>
      <c r="F2" s="157"/>
      <c r="G2" s="157"/>
      <c r="H2" s="157"/>
      <c r="I2" s="157"/>
      <c r="J2" s="157"/>
      <c r="K2" s="157"/>
      <c r="L2" s="157"/>
      <c r="M2" s="157"/>
      <c r="N2" s="157"/>
      <c r="O2" s="157"/>
      <c r="P2" s="91"/>
      <c r="Q2" s="91"/>
      <c r="R2" s="91"/>
    </row>
    <row r="3" spans="2:18" s="46" customFormat="1" ht="8.1" customHeight="1" x14ac:dyDescent="0.25">
      <c r="B3" s="81"/>
      <c r="C3" s="124"/>
      <c r="D3" s="124"/>
      <c r="E3" s="124"/>
      <c r="F3" s="124"/>
      <c r="G3" s="124"/>
      <c r="H3" s="124"/>
      <c r="I3" s="124"/>
      <c r="J3" s="124"/>
      <c r="K3" s="124"/>
      <c r="L3" s="124"/>
      <c r="M3" s="124"/>
      <c r="N3" s="124"/>
      <c r="O3" s="67"/>
      <c r="P3" s="91"/>
      <c r="Q3" s="91"/>
      <c r="R3" s="91"/>
    </row>
    <row r="4" spans="2:18" s="46" customFormat="1" ht="9.9499999999999993" customHeight="1" x14ac:dyDescent="0.25">
      <c r="B4" s="204" t="s">
        <v>160</v>
      </c>
      <c r="C4" s="205">
        <f>SUM(L:L)</f>
        <v>0</v>
      </c>
      <c r="D4" s="92"/>
      <c r="E4" s="124"/>
      <c r="F4" s="124"/>
      <c r="G4" s="124"/>
      <c r="H4" s="124"/>
      <c r="I4" s="124"/>
      <c r="J4" s="124"/>
      <c r="K4" s="124"/>
      <c r="L4" s="124"/>
      <c r="M4" s="124"/>
      <c r="N4" s="124"/>
      <c r="O4" s="67"/>
      <c r="P4" s="91"/>
      <c r="Q4" s="91"/>
      <c r="R4" s="91"/>
    </row>
    <row r="5" spans="2:18" s="46" customFormat="1" ht="9.9499999999999993" customHeight="1" x14ac:dyDescent="0.25">
      <c r="B5" s="204"/>
      <c r="C5" s="205"/>
      <c r="D5" s="92"/>
      <c r="E5" s="124"/>
      <c r="F5" s="124"/>
      <c r="G5" s="124"/>
      <c r="H5" s="124"/>
      <c r="I5" s="124"/>
      <c r="J5" s="124"/>
      <c r="K5" s="124"/>
      <c r="L5" s="124"/>
      <c r="M5" s="124"/>
      <c r="N5" s="124"/>
      <c r="O5" s="67"/>
      <c r="P5" s="91"/>
      <c r="Q5" s="91"/>
      <c r="R5" s="91"/>
    </row>
    <row r="6" spans="2:18" s="46" customFormat="1" ht="9.9499999999999993" customHeight="1" x14ac:dyDescent="0.25">
      <c r="B6" s="204" t="s">
        <v>193</v>
      </c>
      <c r="C6" s="205">
        <f>SUM(M:M)</f>
        <v>0</v>
      </c>
      <c r="D6" s="92"/>
      <c r="E6" s="124"/>
      <c r="F6" s="124"/>
      <c r="G6" s="124"/>
      <c r="H6" s="124"/>
      <c r="I6" s="124"/>
      <c r="J6" s="124"/>
      <c r="K6" s="124"/>
      <c r="L6" s="124"/>
      <c r="M6" s="124"/>
      <c r="N6" s="124"/>
      <c r="O6" s="67"/>
      <c r="P6" s="91"/>
      <c r="Q6" s="91"/>
      <c r="R6" s="91"/>
    </row>
    <row r="7" spans="2:18" s="46" customFormat="1" ht="9.9499999999999993" customHeight="1" x14ac:dyDescent="0.25">
      <c r="B7" s="204"/>
      <c r="C7" s="205"/>
      <c r="D7" s="92"/>
      <c r="E7" s="124"/>
      <c r="F7" s="124"/>
      <c r="G7" s="124"/>
      <c r="H7" s="124"/>
      <c r="I7" s="124"/>
      <c r="J7" s="124"/>
      <c r="K7" s="124"/>
      <c r="L7" s="124"/>
      <c r="M7" s="124"/>
      <c r="N7" s="124"/>
      <c r="O7" s="67"/>
      <c r="P7" s="91"/>
      <c r="Q7" s="91"/>
      <c r="R7" s="91"/>
    </row>
    <row r="8" spans="2:18" s="46" customFormat="1" ht="9.9499999999999993" customHeight="1" x14ac:dyDescent="0.25">
      <c r="B8" s="204" t="s">
        <v>190</v>
      </c>
      <c r="C8" s="205">
        <f>C4+C6</f>
        <v>0</v>
      </c>
      <c r="D8" s="92"/>
      <c r="E8" s="124"/>
      <c r="F8" s="124"/>
      <c r="G8" s="124"/>
      <c r="H8" s="124"/>
      <c r="I8" s="124"/>
      <c r="J8" s="124"/>
      <c r="K8" s="124"/>
      <c r="L8" s="124"/>
      <c r="M8" s="124"/>
      <c r="N8" s="124"/>
      <c r="O8" s="67"/>
      <c r="P8" s="91"/>
      <c r="Q8" s="91"/>
      <c r="R8" s="91"/>
    </row>
    <row r="9" spans="2:18" s="46" customFormat="1" ht="9.9499999999999993" customHeight="1" x14ac:dyDescent="0.25">
      <c r="B9" s="204"/>
      <c r="C9" s="205"/>
      <c r="D9" s="92"/>
      <c r="E9" s="124"/>
      <c r="F9" s="124"/>
      <c r="G9" s="124"/>
      <c r="H9" s="124"/>
      <c r="I9" s="124"/>
      <c r="J9" s="124"/>
      <c r="K9" s="124"/>
      <c r="L9" s="124"/>
      <c r="M9" s="124"/>
      <c r="N9" s="124"/>
      <c r="O9" s="67"/>
      <c r="P9" s="91"/>
      <c r="Q9" s="91"/>
      <c r="R9" s="91"/>
    </row>
    <row r="10" spans="2:18" s="46" customFormat="1" ht="8.1" customHeight="1" x14ac:dyDescent="0.25">
      <c r="B10" s="47"/>
      <c r="C10" s="49"/>
      <c r="D10" s="49"/>
      <c r="E10" s="49"/>
      <c r="F10" s="49"/>
      <c r="G10" s="49"/>
      <c r="H10" s="49"/>
      <c r="I10" s="49"/>
      <c r="J10" s="49"/>
      <c r="K10" s="49"/>
      <c r="L10" s="49"/>
      <c r="M10" s="49"/>
      <c r="N10" s="49"/>
      <c r="O10" s="71"/>
      <c r="P10" s="91"/>
      <c r="Q10" s="91"/>
      <c r="R10" s="91"/>
    </row>
    <row r="11" spans="2:18" s="125" customFormat="1" ht="42" customHeight="1" x14ac:dyDescent="0.25">
      <c r="B11" s="156" t="s">
        <v>151</v>
      </c>
      <c r="C11" s="156" t="s">
        <v>237</v>
      </c>
      <c r="D11" s="156" t="s">
        <v>238</v>
      </c>
      <c r="E11" s="158" t="s">
        <v>219</v>
      </c>
      <c r="F11" s="158" t="s">
        <v>244</v>
      </c>
      <c r="G11" s="156" t="s">
        <v>231</v>
      </c>
      <c r="H11" s="185" t="s">
        <v>232</v>
      </c>
      <c r="I11" s="185" t="s">
        <v>245</v>
      </c>
      <c r="J11" s="158" t="s">
        <v>230</v>
      </c>
      <c r="K11" s="156" t="s">
        <v>223</v>
      </c>
      <c r="L11" s="187" t="s">
        <v>177</v>
      </c>
      <c r="M11" s="156" t="s">
        <v>194</v>
      </c>
      <c r="N11" s="154" t="s">
        <v>169</v>
      </c>
      <c r="O11" s="154" t="s">
        <v>239</v>
      </c>
      <c r="P11" s="93"/>
      <c r="Q11" s="93"/>
      <c r="R11" s="93"/>
    </row>
    <row r="12" spans="2:18" ht="23.85" customHeight="1" x14ac:dyDescent="0.25">
      <c r="B12" s="155"/>
      <c r="C12" s="155"/>
      <c r="D12" s="155"/>
      <c r="E12" s="155"/>
      <c r="F12" s="155"/>
      <c r="G12" s="155"/>
      <c r="H12" s="186"/>
      <c r="I12" s="186"/>
      <c r="J12" s="155"/>
      <c r="K12" s="155"/>
      <c r="L12" s="186"/>
      <c r="M12" s="155"/>
      <c r="N12" s="155"/>
      <c r="O12" s="155"/>
    </row>
    <row r="13" spans="2:18" hidden="1" x14ac:dyDescent="0.25">
      <c r="B13" s="73"/>
      <c r="C13" s="137" t="str">
        <f>IFERROR(IF(VLOOKUP(B13,PartnerN°Ref,2,FALSE)=0,"",VLOOKUP(B13,PartnerN°Ref,2,FALSE)),"")</f>
        <v/>
      </c>
      <c r="D13" s="137" t="str">
        <f>IFERROR(IF(OR(VLOOKUP(B13,PartnerN°Ref,4,FALSE)="Country not found",VLOOKUP(B13,PartnerN°Ref,3,FALSE)=0),"",VLOOKUP(B13,PartnerN°Ref,3,FALSE)),"")</f>
        <v/>
      </c>
      <c r="E13" s="138" t="str">
        <f>IF(D13="","",CONCATENATE("Students from"," ",VLOOKUP(D13,CountryType,2,FALSE)))</f>
        <v/>
      </c>
      <c r="F13" s="95"/>
      <c r="G13" s="86">
        <v>0</v>
      </c>
      <c r="H13" s="139"/>
      <c r="I13" s="95"/>
      <c r="J13" s="84"/>
      <c r="K13" s="86"/>
      <c r="L13" s="87">
        <f>IF(O13="Error",0,ROUND(ROUND(G13,0)*(VLOOKUP(J13,TravelCosts,2,FALSE)),2))</f>
        <v>0</v>
      </c>
      <c r="M13" s="88">
        <f>IF(O13="Error",0,ROUND(ROUND(G13,0)*(ROUND(K13,0)*(INDEX(Rates,MATCH(H13,CountryALL,0),MATCH(E13,Category,0)))),2))</f>
        <v>0</v>
      </c>
      <c r="N13" s="89">
        <f t="shared" ref="N13" si="0">L13+M13</f>
        <v>0</v>
      </c>
      <c r="O13" s="79" t="str">
        <f>IF(OR(COUNTIF(PartnerN°,B13)=0,C13="",COUNTIF(SMSCountry,D13)=0,COUNTIF(Category,E13)=0,F13="",ISNUMBER(G13)=FALSE,COUNTIF(SMSCountry,H13)=0,I13="",COUNTIF(TravelBands,J13)=0,ISNUMBER(K13)=FALSE,COUNTIF(StudentSMSMonths,K13)=0,P13=1,Q13=1,R13=1,IF(ISNUMBER(G13)=TRUE,G13=INT(G13*1)/1=FALSE),IF(ISNUMBER(K13)=TRUE,K13=INT(K13*1)/1=FALSE)),"Error","")</f>
        <v>Error</v>
      </c>
      <c r="P13" s="90">
        <f>IF(AND(COUNTIF(EUCountry,D13)=1,COUNTIF(EUCountry,H13)=1),1,0)</f>
        <v>0</v>
      </c>
      <c r="Q13" s="90">
        <f>IF(AND(D13&lt;&gt;"",COUNTIF(SMSCountry,D13)=0),1,0)</f>
        <v>0</v>
      </c>
      <c r="R13" s="90">
        <f>IF(AND(H13&lt;&gt;"",COUNTIF(SMSCountry,H13)=0),1,0)</f>
        <v>0</v>
      </c>
    </row>
    <row r="14" spans="2:18" x14ac:dyDescent="0.25">
      <c r="B14" s="73"/>
      <c r="C14" s="137" t="str">
        <f>IFERROR(IF(VLOOKUP(B14,PartnerN°Ref,2,FALSE)=0,"",VLOOKUP(B14,PartnerN°Ref,2,FALSE)),"")</f>
        <v/>
      </c>
      <c r="D14" s="137" t="str">
        <f>IFERROR(IF(OR(VLOOKUP(B14,PartnerN°Ref,4,FALSE)="Country not found",VLOOKUP(B14,PartnerN°Ref,3,FALSE)=0),"",VLOOKUP(B14,PartnerN°Ref,3,FALSE)),"")</f>
        <v/>
      </c>
      <c r="E14" s="138" t="str">
        <f>IF(D14="","",CONCATENATE("Students from"," ",VLOOKUP(D14,CountryType,2,FALSE)))</f>
        <v/>
      </c>
      <c r="F14" s="95"/>
      <c r="G14" s="86">
        <v>0</v>
      </c>
      <c r="H14" s="139"/>
      <c r="I14" s="95"/>
      <c r="J14" s="84"/>
      <c r="K14" s="86"/>
      <c r="L14" s="87">
        <f>IF(O14="Error",0,ROUND(ROUND(G14,0)*(VLOOKUP(J14,TravelCosts,2,FALSE)),2))</f>
        <v>0</v>
      </c>
      <c r="M14" s="88">
        <f>IF(O14="Error",0,ROUND(ROUND(G14,0)*(ROUND(K14,0)*(INDEX(Rates,MATCH(H14,CountryALL,0),MATCH(E14,Category,0)))),2))</f>
        <v>0</v>
      </c>
      <c r="N14" s="89">
        <f t="shared" ref="N14" si="1">L14+M14</f>
        <v>0</v>
      </c>
      <c r="O14" s="79" t="str">
        <f>IF(OR(COUNTIF(PartnerN°,B14)=0,C14="",COUNTIF(SMSCountry,D14)=0,COUNTIF(Category,E14)=0,F14="",ISNUMBER(G14)=FALSE,COUNTIF(SMSCountry,H14)=0,I14="",COUNTIF(TravelBands,J14)=0,ISNUMBER(K14)=FALSE,COUNTIF(StudentSMSMonths,K14)=0,P14=1,Q14=1,R14=1,IF(ISNUMBER(G14)=TRUE,G14=INT(G14*1)/1=FALSE),IF(ISNUMBER(K14)=TRUE,K14=INT(K14*1)/1=FALSE)),"Error","")</f>
        <v>Error</v>
      </c>
      <c r="P14" s="90">
        <f>IF(AND(COUNTIF(EUCountry,D14)=1,COUNTIF(EUCountry,H14)=1),1,0)</f>
        <v>0</v>
      </c>
      <c r="Q14" s="90">
        <f>IF(AND(D14&lt;&gt;"",COUNTIF(SMSCountry,D14)=0),1,0)</f>
        <v>0</v>
      </c>
      <c r="R14" s="90">
        <f>IF(AND(H14&lt;&gt;"",COUNTIF(SMSCountry,H14)=0),1,0)</f>
        <v>0</v>
      </c>
    </row>
  </sheetData>
  <sheetProtection password="E359" sheet="1" objects="1" scenarios="1" selectLockedCells="1"/>
  <dataConsolidate/>
  <mergeCells count="21">
    <mergeCell ref="B11:B12"/>
    <mergeCell ref="C11:C12"/>
    <mergeCell ref="D11:D12"/>
    <mergeCell ref="E11:E12"/>
    <mergeCell ref="G11:G12"/>
    <mergeCell ref="O11:O12"/>
    <mergeCell ref="B2:O2"/>
    <mergeCell ref="K11:K12"/>
    <mergeCell ref="L11:L12"/>
    <mergeCell ref="M11:M12"/>
    <mergeCell ref="N11:N12"/>
    <mergeCell ref="I11:I12"/>
    <mergeCell ref="J11:J12"/>
    <mergeCell ref="B4:B5"/>
    <mergeCell ref="C4:C5"/>
    <mergeCell ref="B6:B7"/>
    <mergeCell ref="C6:C7"/>
    <mergeCell ref="B8:B9"/>
    <mergeCell ref="C8:C9"/>
    <mergeCell ref="F11:F12"/>
    <mergeCell ref="H11:H12"/>
  </mergeCells>
  <conditionalFormatting sqref="O13:O14">
    <cfRule type="containsText" dxfId="31" priority="227" operator="containsText" text="Error">
      <formula>NOT(ISERROR(SEARCH("Error",O13)))</formula>
    </cfRule>
  </conditionalFormatting>
  <conditionalFormatting sqref="C13:E14">
    <cfRule type="containsBlanks" dxfId="30" priority="121">
      <formula>LEN(TRIM(C13))=0</formula>
    </cfRule>
  </conditionalFormatting>
  <conditionalFormatting sqref="D11:D12">
    <cfRule type="expression" dxfId="29" priority="122">
      <formula>OR(COUNTIF($P:$P,1),COUNTIF($Q:$Q,1))</formula>
    </cfRule>
  </conditionalFormatting>
  <conditionalFormatting sqref="D13">
    <cfRule type="expression" dxfId="28" priority="123">
      <formula>OR(COUNTIF(P13,1),COUNTIF(Q13,1))</formula>
    </cfRule>
  </conditionalFormatting>
  <conditionalFormatting sqref="D14">
    <cfRule type="expression" dxfId="27" priority="218">
      <formula>OR(COUNTIF(P14,1),COUNTIF(Q14,1))</formula>
    </cfRule>
  </conditionalFormatting>
  <conditionalFormatting sqref="H11:H12">
    <cfRule type="expression" dxfId="26" priority="220">
      <formula>OR(COUNTIF($P:$P,1),COUNTIF($R:$R,1))</formula>
    </cfRule>
  </conditionalFormatting>
  <dataValidations count="9">
    <dataValidation allowBlank="1" showInputMessage="1" errorTitle="Warning: Max Ceilings exceeded" error="Please be aware that this exceed the &quot;Ceilings&quot; for the maximum amounts for staff cost by country" sqref="L13:L14"/>
    <dataValidation type="whole" allowBlank="1" showInputMessage="1" showErrorMessage="1" error="Format error (whole number only)" prompt="Please encode number (whole number only)" sqref="G13:G14">
      <formula1>0</formula1>
      <formula2>50000</formula2>
    </dataValidation>
    <dataValidation allowBlank="1" showInputMessage="1" showErrorMessage="1" error="Please encode City of Departure" prompt="Please encode City of Departure" sqref="F13:F14"/>
    <dataValidation allowBlank="1" showInputMessage="1" showErrorMessage="1" error="Please encode City of Destination" prompt="Please encode City of Destination" sqref="I13:I14"/>
    <dataValidation allowBlank="1" sqref="E13:E14"/>
    <dataValidation type="list" allowBlank="1" showInputMessage="1" showErrorMessage="1" error="Click arrow to select Receiving Country" prompt="Click arrow to select Receiving Country" sqref="H13:H14">
      <formula1>SMSCountry</formula1>
    </dataValidation>
    <dataValidation type="list" allowBlank="1" showInputMessage="1" showErrorMessage="1" error="Click arrow to select Partner N°" prompt="Click arrow to select Partner N°" sqref="B13:B14">
      <formula1>PartnerN°</formula1>
    </dataValidation>
    <dataValidation type="list" allowBlank="1" showInputMessage="1" showErrorMessage="1" error="Click arrow to select Distance" prompt="Click arrow to select Distance" sqref="J13:J14">
      <formula1>TravelBands</formula1>
    </dataValidation>
    <dataValidation type="list" allowBlank="1" showInputMessage="1" showErrorMessage="1" error="Please click to select Number of Months - Min 2 months / Max 12 months" prompt="Please click to select Number of Months - Min 2 months / Max 12 months" sqref="K13:K14">
      <formula1>StudentSMSMonths</formula1>
    </dataValidation>
  </dataValidations>
  <printOptions horizontalCentered="1"/>
  <pageMargins left="0.23622047244094491" right="0.23622047244094491" top="0.39370078740157483" bottom="0.94488188976377963" header="0.31496062992125984" footer="0.31496062992125984"/>
  <pageSetup paperSize="9" scale="35"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3572" r:id="rId4" name="Button 3">
              <controlPr defaultSize="0" print="0" autoFill="0" autoPict="0" macro="[0]!Button3_Click">
                <anchor moveWithCells="1" sizeWithCells="1">
                  <from>
                    <xdr:col>2</xdr:col>
                    <xdr:colOff>1485900</xdr:colOff>
                    <xdr:row>1</xdr:row>
                    <xdr:rowOff>85725</xdr:rowOff>
                  </from>
                  <to>
                    <xdr:col>2</xdr:col>
                    <xdr:colOff>3286125</xdr:colOff>
                    <xdr:row>1</xdr:row>
                    <xdr:rowOff>438150</xdr:rowOff>
                  </to>
                </anchor>
              </controlPr>
            </control>
          </mc:Choice>
        </mc:AlternateContent>
        <mc:AlternateContent xmlns:mc="http://schemas.openxmlformats.org/markup-compatibility/2006">
          <mc:Choice Requires="x14">
            <control shapeId="23573" r:id="rId5"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23574" r:id="rId6" name="Button 2">
              <controlPr defaultSize="0" print="0" autoFill="0" autoPict="0" macro="[0]!DeleteRow">
                <anchor moveWithCells="1" sizeWithCells="1">
                  <from>
                    <xdr:col>1</xdr:col>
                    <xdr:colOff>1743075</xdr:colOff>
                    <xdr:row>1</xdr:row>
                    <xdr:rowOff>76200</xdr:rowOff>
                  </from>
                  <to>
                    <xdr:col>2</xdr:col>
                    <xdr:colOff>1400175</xdr:colOff>
                    <xdr:row>1</xdr:row>
                    <xdr:rowOff>438150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9" tint="-0.249977111117893"/>
    <pageSetUpPr fitToPage="1"/>
  </sheetPr>
  <dimension ref="B1:R14"/>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28.7109375" style="16" customWidth="1"/>
    <col min="3" max="4" width="50.7109375" style="16" customWidth="1"/>
    <col min="5" max="5" width="40.7109375" style="16" customWidth="1"/>
    <col min="6" max="6" width="30.7109375" style="16" customWidth="1"/>
    <col min="7" max="7" width="14.28515625" style="16" bestFit="1" customWidth="1"/>
    <col min="8" max="8" width="50.7109375" style="16" customWidth="1"/>
    <col min="9" max="9" width="30.7109375" style="16" customWidth="1"/>
    <col min="10" max="10" width="24.7109375" style="16" customWidth="1"/>
    <col min="11" max="11" width="14.7109375" style="16" customWidth="1"/>
    <col min="12" max="14" width="20.7109375" style="16" customWidth="1"/>
    <col min="15" max="15" width="11.7109375" style="16" customWidth="1"/>
    <col min="16" max="18" width="1.7109375" style="90" hidden="1" customWidth="1"/>
    <col min="19" max="19" width="1.7109375" style="16" customWidth="1"/>
    <col min="20" max="16384" width="9.140625" style="16"/>
  </cols>
  <sheetData>
    <row r="1" spans="2:18" ht="8.1" customHeight="1" x14ac:dyDescent="0.25"/>
    <row r="2" spans="2:18" s="46" customFormat="1" ht="39.950000000000003" customHeight="1" x14ac:dyDescent="0.25">
      <c r="B2" s="157" t="s">
        <v>255</v>
      </c>
      <c r="C2" s="157"/>
      <c r="D2" s="157"/>
      <c r="E2" s="157"/>
      <c r="F2" s="157"/>
      <c r="G2" s="157"/>
      <c r="H2" s="157"/>
      <c r="I2" s="157"/>
      <c r="J2" s="157"/>
      <c r="K2" s="157"/>
      <c r="L2" s="157"/>
      <c r="M2" s="157"/>
      <c r="N2" s="157"/>
      <c r="O2" s="157"/>
      <c r="P2" s="91"/>
      <c r="Q2" s="91"/>
      <c r="R2" s="91"/>
    </row>
    <row r="3" spans="2:18" s="46" customFormat="1" ht="8.1" customHeight="1" x14ac:dyDescent="0.25">
      <c r="B3" s="81"/>
      <c r="C3" s="119"/>
      <c r="D3" s="119"/>
      <c r="E3" s="119"/>
      <c r="F3" s="119"/>
      <c r="G3" s="119"/>
      <c r="H3" s="119"/>
      <c r="I3" s="119"/>
      <c r="J3" s="119"/>
      <c r="K3" s="119"/>
      <c r="L3" s="119"/>
      <c r="M3" s="119"/>
      <c r="N3" s="119"/>
      <c r="O3" s="67"/>
      <c r="P3" s="91"/>
      <c r="Q3" s="91"/>
      <c r="R3" s="91"/>
    </row>
    <row r="4" spans="2:18" s="46" customFormat="1" ht="9.9499999999999993" customHeight="1" x14ac:dyDescent="0.25">
      <c r="B4" s="204" t="s">
        <v>160</v>
      </c>
      <c r="C4" s="205">
        <f>SUM(L:L)</f>
        <v>0</v>
      </c>
      <c r="D4" s="92"/>
      <c r="E4" s="119"/>
      <c r="F4" s="119"/>
      <c r="G4" s="119"/>
      <c r="H4" s="119"/>
      <c r="I4" s="119"/>
      <c r="J4" s="119"/>
      <c r="K4" s="119"/>
      <c r="L4" s="119"/>
      <c r="M4" s="119"/>
      <c r="N4" s="119"/>
      <c r="O4" s="67"/>
      <c r="P4" s="91"/>
      <c r="Q4" s="91"/>
      <c r="R4" s="91"/>
    </row>
    <row r="5" spans="2:18" s="46" customFormat="1" ht="9.9499999999999993" customHeight="1" x14ac:dyDescent="0.25">
      <c r="B5" s="204"/>
      <c r="C5" s="205"/>
      <c r="D5" s="92"/>
      <c r="E5" s="119"/>
      <c r="F5" s="119"/>
      <c r="G5" s="119"/>
      <c r="H5" s="119"/>
      <c r="I5" s="119"/>
      <c r="J5" s="119"/>
      <c r="K5" s="119"/>
      <c r="L5" s="119"/>
      <c r="M5" s="119"/>
      <c r="N5" s="119"/>
      <c r="O5" s="67"/>
      <c r="P5" s="91"/>
      <c r="Q5" s="91"/>
      <c r="R5" s="91"/>
    </row>
    <row r="6" spans="2:18" s="46" customFormat="1" ht="9.9499999999999993" customHeight="1" x14ac:dyDescent="0.25">
      <c r="B6" s="204" t="s">
        <v>193</v>
      </c>
      <c r="C6" s="205">
        <f>SUM(M:M)</f>
        <v>0</v>
      </c>
      <c r="D6" s="92"/>
      <c r="E6" s="119"/>
      <c r="F6" s="119"/>
      <c r="G6" s="119"/>
      <c r="H6" s="119"/>
      <c r="I6" s="119"/>
      <c r="J6" s="119"/>
      <c r="K6" s="119"/>
      <c r="L6" s="119"/>
      <c r="M6" s="119"/>
      <c r="N6" s="119"/>
      <c r="O6" s="67"/>
      <c r="P6" s="91"/>
      <c r="Q6" s="91"/>
      <c r="R6" s="91"/>
    </row>
    <row r="7" spans="2:18" s="46" customFormat="1" ht="9.9499999999999993" customHeight="1" x14ac:dyDescent="0.25">
      <c r="B7" s="204"/>
      <c r="C7" s="205"/>
      <c r="D7" s="92"/>
      <c r="E7" s="119"/>
      <c r="F7" s="119"/>
      <c r="G7" s="119"/>
      <c r="H7" s="119"/>
      <c r="I7" s="119"/>
      <c r="J7" s="119"/>
      <c r="K7" s="119"/>
      <c r="L7" s="119"/>
      <c r="M7" s="119"/>
      <c r="N7" s="119"/>
      <c r="O7" s="67"/>
      <c r="P7" s="91"/>
      <c r="Q7" s="91"/>
      <c r="R7" s="91"/>
    </row>
    <row r="8" spans="2:18" s="46" customFormat="1" ht="9.9499999999999993" customHeight="1" x14ac:dyDescent="0.25">
      <c r="B8" s="204" t="s">
        <v>190</v>
      </c>
      <c r="C8" s="205">
        <f>C4+C6</f>
        <v>0</v>
      </c>
      <c r="D8" s="92"/>
      <c r="E8" s="119"/>
      <c r="F8" s="119"/>
      <c r="G8" s="119"/>
      <c r="H8" s="119"/>
      <c r="I8" s="119"/>
      <c r="J8" s="119"/>
      <c r="K8" s="119"/>
      <c r="L8" s="119"/>
      <c r="M8" s="119"/>
      <c r="N8" s="119"/>
      <c r="O8" s="67"/>
      <c r="P8" s="91"/>
      <c r="Q8" s="91"/>
      <c r="R8" s="91"/>
    </row>
    <row r="9" spans="2:18" s="46" customFormat="1" ht="9.9499999999999993" customHeight="1" x14ac:dyDescent="0.25">
      <c r="B9" s="204"/>
      <c r="C9" s="205"/>
      <c r="D9" s="92"/>
      <c r="E9" s="119"/>
      <c r="F9" s="119"/>
      <c r="G9" s="119"/>
      <c r="H9" s="119"/>
      <c r="I9" s="119"/>
      <c r="J9" s="119"/>
      <c r="K9" s="119"/>
      <c r="L9" s="119"/>
      <c r="M9" s="119"/>
      <c r="N9" s="119"/>
      <c r="O9" s="67"/>
      <c r="P9" s="91"/>
      <c r="Q9" s="91"/>
      <c r="R9" s="91"/>
    </row>
    <row r="10" spans="2:18" s="46" customFormat="1" ht="8.1" customHeight="1" x14ac:dyDescent="0.25">
      <c r="B10" s="47"/>
      <c r="C10" s="49"/>
      <c r="D10" s="49"/>
      <c r="E10" s="49"/>
      <c r="F10" s="49"/>
      <c r="G10" s="49"/>
      <c r="H10" s="49"/>
      <c r="I10" s="49"/>
      <c r="J10" s="49"/>
      <c r="K10" s="49"/>
      <c r="L10" s="49"/>
      <c r="M10" s="49"/>
      <c r="N10" s="49"/>
      <c r="O10" s="71"/>
      <c r="P10" s="91"/>
      <c r="Q10" s="91"/>
      <c r="R10" s="91"/>
    </row>
    <row r="11" spans="2:18" s="117" customFormat="1" ht="42" customHeight="1" x14ac:dyDescent="0.25">
      <c r="B11" s="156" t="s">
        <v>151</v>
      </c>
      <c r="C11" s="156" t="s">
        <v>237</v>
      </c>
      <c r="D11" s="156" t="s">
        <v>238</v>
      </c>
      <c r="E11" s="158" t="s">
        <v>219</v>
      </c>
      <c r="F11" s="158" t="s">
        <v>244</v>
      </c>
      <c r="G11" s="156" t="s">
        <v>231</v>
      </c>
      <c r="H11" s="185" t="s">
        <v>232</v>
      </c>
      <c r="I11" s="185" t="s">
        <v>245</v>
      </c>
      <c r="J11" s="158" t="s">
        <v>230</v>
      </c>
      <c r="K11" s="156" t="s">
        <v>227</v>
      </c>
      <c r="L11" s="187" t="s">
        <v>177</v>
      </c>
      <c r="M11" s="154" t="s">
        <v>194</v>
      </c>
      <c r="N11" s="154" t="s">
        <v>169</v>
      </c>
      <c r="O11" s="154" t="s">
        <v>239</v>
      </c>
      <c r="P11" s="93"/>
      <c r="Q11" s="93"/>
      <c r="R11" s="93"/>
    </row>
    <row r="12" spans="2:18" ht="23.85" customHeight="1" x14ac:dyDescent="0.25">
      <c r="B12" s="155"/>
      <c r="C12" s="155"/>
      <c r="D12" s="155"/>
      <c r="E12" s="155"/>
      <c r="F12" s="155"/>
      <c r="G12" s="155"/>
      <c r="H12" s="186"/>
      <c r="I12" s="186"/>
      <c r="J12" s="155"/>
      <c r="K12" s="155"/>
      <c r="L12" s="186"/>
      <c r="M12" s="155"/>
      <c r="N12" s="155"/>
      <c r="O12" s="155"/>
    </row>
    <row r="13" spans="2:18" hidden="1" x14ac:dyDescent="0.25">
      <c r="B13" s="73"/>
      <c r="C13" s="137" t="str">
        <f>IFERROR(IF(VLOOKUP(B13,PartnerN°Ref,2,FALSE)=0,"",VLOOKUP(B13,PartnerN°Ref,2,FALSE)),"")</f>
        <v/>
      </c>
      <c r="D13" s="137" t="str">
        <f>IFERROR(IF(OR(VLOOKUP(B13,PartnerN°Ref,4,FALSE)="Country not found",VLOOKUP(B13,PartnerN°Ref,3,FALSE)=0),"",VLOOKUP(B13,PartnerN°Ref,3,FALSE)),"")</f>
        <v/>
      </c>
      <c r="E13" s="138" t="str">
        <f>IF(D13="","",CONCATENATE("Staff from"," ",VLOOKUP(D13,CountryType,2,FALSE)))</f>
        <v/>
      </c>
      <c r="F13" s="95"/>
      <c r="G13" s="86">
        <v>0</v>
      </c>
      <c r="H13" s="139"/>
      <c r="I13" s="95"/>
      <c r="J13" s="84"/>
      <c r="K13" s="86"/>
      <c r="L13" s="87">
        <f>IF(O13="Error",0,ROUND(ROUND(G13,0)*(VLOOKUP(J13,TravelCosts,2,FALSE)),2))</f>
        <v>0</v>
      </c>
      <c r="M13" s="88">
        <f>IF(O13="Error",0,ROUND(IF(AND(ROUND(K13,0)&gt;0,ROUND(K13,0)&lt;=14),ROUND(G13,0)*(ROUND(K13,0)*(INDEX(Rates,MATCH(H13,CountryALL,0),MATCH(E13,Category,0)))),IF(AND(ROUND(K13,0)&gt;14,ROUND(K13,0)&lt;=60),ROUND(G13,0)*((14*(INDEX(Rates,MATCH(H13,CountryALL,0),MATCH(E13,Category,0)))))+ROUND(G13,0)*(((ROUND(K13,0)-14)*(0.7*INDEX(Rates,MATCH(H13,CountryALL,0),MATCH(E13,Category,0))))),IF(ROUND(K13,0)&gt;60,0))),2))</f>
        <v>0</v>
      </c>
      <c r="N13" s="89">
        <f t="shared" ref="N13:N14" si="0">L13+M13</f>
        <v>0</v>
      </c>
      <c r="O13" s="79" t="str">
        <f>IF(OR(COUNTIF(PartnerN°,B13)=0,C13="",COUNTIF(SMSCountry,D13)=0,COUNTIF(Category,E13)=0,F13="",ISNUMBER(G13)=FALSE,COUNTIF(SMSCountry,H13)=0,I13="",COUNTIF(TravelBands,J13)=0,ISNUMBER(K13)=FALSE,COUNTIF(StaffSMSDays,K13)=0,P13=1,Q13=1,R13=1,IF(ISNUMBER(G13)=TRUE,G13=INT(G13*1)/1=FALSE),IF(ISNUMBER(K13)=TRUE,K13=INT(K13*1)/1=FALSE)),"Error","")</f>
        <v>Error</v>
      </c>
      <c r="P13" s="90">
        <f>IF(AND(COUNTIF(EUCountry,D13)=1,COUNTIF(EUCountry,H13)=1),1,0)</f>
        <v>0</v>
      </c>
      <c r="Q13" s="90">
        <f>IF(AND(D13&lt;&gt;"",COUNTIF(SMSCountry,D13)=0),1,0)</f>
        <v>0</v>
      </c>
      <c r="R13" s="90">
        <f>IF(AND(H13&lt;&gt;"",COUNTIF(SMSCountry,H13)=0),1,0)</f>
        <v>0</v>
      </c>
    </row>
    <row r="14" spans="2:18" x14ac:dyDescent="0.25">
      <c r="B14" s="73"/>
      <c r="C14" s="137" t="str">
        <f>IFERROR(IF(VLOOKUP(B14,PartnerN°Ref,2,FALSE)=0,"",VLOOKUP(B14,PartnerN°Ref,2,FALSE)),"")</f>
        <v/>
      </c>
      <c r="D14" s="137" t="str">
        <f>IFERROR(IF(OR(VLOOKUP(B14,PartnerN°Ref,4,FALSE)="Country not found",VLOOKUP(B14,PartnerN°Ref,3,FALSE)=0),"",VLOOKUP(B14,PartnerN°Ref,3,FALSE)),"")</f>
        <v/>
      </c>
      <c r="E14" s="138" t="str">
        <f>IF(D14="","",CONCATENATE("Staff from"," ",VLOOKUP(D14,CountryType,2,FALSE)))</f>
        <v/>
      </c>
      <c r="F14" s="95"/>
      <c r="G14" s="86">
        <v>0</v>
      </c>
      <c r="H14" s="139"/>
      <c r="I14" s="95"/>
      <c r="J14" s="84"/>
      <c r="K14" s="86"/>
      <c r="L14" s="87">
        <f>IF(O14="Error",0,ROUND(ROUND(G14,0)*(VLOOKUP(J14,TravelCosts,2,FALSE)),2))</f>
        <v>0</v>
      </c>
      <c r="M14" s="88">
        <f>IF(O14="Error",0,ROUND(IF(AND(ROUND(K14,0)&gt;0,ROUND(K14,0)&lt;=14),ROUND(G14,0)*(ROUND(K14,0)*(INDEX(Rates,MATCH(H14,CountryALL,0),MATCH(E14,Category,0)))),IF(AND(ROUND(K14,0)&gt;14,ROUND(K14,0)&lt;=60),ROUND(G14,0)*((14*(INDEX(Rates,MATCH(H14,CountryALL,0),MATCH(E14,Category,0)))))+ROUND(G14,0)*(((ROUND(K14,0)-14)*(0.7*INDEX(Rates,MATCH(H14,CountryALL,0),MATCH(E14,Category,0))))),IF(ROUND(K14,0)&gt;60,0))),2))</f>
        <v>0</v>
      </c>
      <c r="N14" s="89">
        <f t="shared" si="0"/>
        <v>0</v>
      </c>
      <c r="O14" s="79" t="str">
        <f>IF(OR(COUNTIF(PartnerN°,B14)=0,C14="",COUNTIF(SMSCountry,D14)=0,COUNTIF(Category,E14)=0,F14="",ISNUMBER(G14)=FALSE,COUNTIF(SMSCountry,H14)=0,I14="",COUNTIF(TravelBands,J14)=0,ISNUMBER(K14)=FALSE,COUNTIF(StaffSMSDays,K14)=0,P14=1,Q14=1,R14=1,IF(ISNUMBER(G14)=TRUE,G14=INT(G14*1)/1=FALSE),IF(ISNUMBER(K14)=TRUE,K14=INT(K14*1)/1=FALSE)),"Error","")</f>
        <v>Error</v>
      </c>
      <c r="P14" s="90">
        <f>IF(AND(COUNTIF(EUCountry,D14)=1,COUNTIF(EUCountry,H14)=1),1,0)</f>
        <v>0</v>
      </c>
      <c r="Q14" s="90">
        <f>IF(AND(D14&lt;&gt;"",COUNTIF(SMSCountry,D14)=0),1,0)</f>
        <v>0</v>
      </c>
      <c r="R14" s="90">
        <f>IF(AND(H14&lt;&gt;"",COUNTIF(SMSCountry,H14)=0),1,0)</f>
        <v>0</v>
      </c>
    </row>
  </sheetData>
  <sheetProtection password="E359" sheet="1" objects="1" scenarios="1" selectLockedCells="1"/>
  <dataConsolidate/>
  <mergeCells count="21">
    <mergeCell ref="D11:D12"/>
    <mergeCell ref="B4:B5"/>
    <mergeCell ref="C4:C5"/>
    <mergeCell ref="B6:B7"/>
    <mergeCell ref="C6:C7"/>
    <mergeCell ref="O11:O12"/>
    <mergeCell ref="B2:O2"/>
    <mergeCell ref="E11:E12"/>
    <mergeCell ref="F11:F12"/>
    <mergeCell ref="N11:N12"/>
    <mergeCell ref="H11:H12"/>
    <mergeCell ref="I11:I12"/>
    <mergeCell ref="J11:J12"/>
    <mergeCell ref="K11:K12"/>
    <mergeCell ref="L11:L12"/>
    <mergeCell ref="M11:M12"/>
    <mergeCell ref="G11:G12"/>
    <mergeCell ref="B8:B9"/>
    <mergeCell ref="C8:C9"/>
    <mergeCell ref="B11:B12"/>
    <mergeCell ref="C11:C12"/>
  </mergeCells>
  <conditionalFormatting sqref="O13:O14">
    <cfRule type="containsText" dxfId="25" priority="162" operator="containsText" text="Error">
      <formula>NOT(ISERROR(SEARCH("Error",O13)))</formula>
    </cfRule>
  </conditionalFormatting>
  <conditionalFormatting sqref="C13:E14">
    <cfRule type="containsBlanks" dxfId="24" priority="55">
      <formula>LEN(TRIM(C13))=0</formula>
    </cfRule>
  </conditionalFormatting>
  <conditionalFormatting sqref="H11:H12">
    <cfRule type="expression" dxfId="23" priority="155">
      <formula>OR(COUNTIF($P:$P,1),COUNTIF($R:$R,1))</formula>
    </cfRule>
  </conditionalFormatting>
  <conditionalFormatting sqref="D13">
    <cfRule type="expression" dxfId="22" priority="57">
      <formula>OR(COUNTIF(P13,1),COUNTIF(Q13,1))</formula>
    </cfRule>
  </conditionalFormatting>
  <conditionalFormatting sqref="D14">
    <cfRule type="expression" dxfId="21" priority="58">
      <formula>OR(COUNTIF(P14,1),COUNTIF(Q14,1))</formula>
    </cfRule>
  </conditionalFormatting>
  <conditionalFormatting sqref="D11:D12">
    <cfRule type="expression" dxfId="20" priority="56">
      <formula>OR(COUNTIF($P:$P,1),COUNTIF($Q:$Q,1))</formula>
    </cfRule>
  </conditionalFormatting>
  <dataValidations count="8">
    <dataValidation type="list" allowBlank="1" showInputMessage="1" showErrorMessage="1" error="Click arrow to select Receiving Country" prompt="Click arrow to select Receiving Country" sqref="H13:H14">
      <formula1>SMSCountry</formula1>
    </dataValidation>
    <dataValidation allowBlank="1" showInputMessage="1" showErrorMessage="1" error="Please encode City of Destination" prompt="Please encode City of Destination" sqref="I13:I14"/>
    <dataValidation allowBlank="1" showInputMessage="1" showErrorMessage="1" error="Please encode City of Departure" prompt="Please encode City of Departure" sqref="F13:F14"/>
    <dataValidation type="whole" allowBlank="1" showInputMessage="1" showErrorMessage="1" error="Format error (wole number only)" prompt="Please encode number (whole number only)" sqref="G13:G14">
      <formula1>0</formula1>
      <formula2>50000</formula2>
    </dataValidation>
    <dataValidation allowBlank="1" showInputMessage="1" errorTitle="Warning: Max Ceilings exceeded" error="Please be aware that this exceed the &quot;Ceilings&quot; for the maximum amounts for staff cost by country" sqref="L13:L14"/>
    <dataValidation type="list" allowBlank="1" showInputMessage="1" showErrorMessage="1" error="Click arrow to select Distance" prompt="Click arrow to select Distance" sqref="J13:J14">
      <formula1>TravelBands</formula1>
    </dataValidation>
    <dataValidation type="list" allowBlank="1" showInputMessage="1" showErrorMessage="1" error="Click arrow to select Partner N°" prompt="Click arrow to select Partner N°" sqref="B13:B14">
      <formula1>PartnerN°</formula1>
    </dataValidation>
    <dataValidation type="list" allowBlank="1" showInputMessage="1" showErrorMessage="1" error="Please click to select  Number of days - Min 5 days / Max 60 days" prompt="Please click to select  Number of days - Min 5 days / Max 60 days" sqref="K13:K14">
      <formula1>StaffSMSDays</formula1>
    </dataValidation>
  </dataValidations>
  <printOptions horizontalCentered="1"/>
  <pageMargins left="0.23622047244094491" right="0.23622047244094491" top="0.39370078740157483" bottom="0.94488188976377963" header="0.31496062992125984" footer="0.31496062992125984"/>
  <pageSetup paperSize="9" scale="35"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6880" r:id="rId4" name="Button 3">
              <controlPr defaultSize="0" print="0" autoFill="0" autoPict="0" macro="[0]!Button3_Click">
                <anchor moveWithCells="1" sizeWithCells="1">
                  <from>
                    <xdr:col>2</xdr:col>
                    <xdr:colOff>1485900</xdr:colOff>
                    <xdr:row>1</xdr:row>
                    <xdr:rowOff>85725</xdr:rowOff>
                  </from>
                  <to>
                    <xdr:col>2</xdr:col>
                    <xdr:colOff>3286125</xdr:colOff>
                    <xdr:row>1</xdr:row>
                    <xdr:rowOff>438150</xdr:rowOff>
                  </to>
                </anchor>
              </controlPr>
            </control>
          </mc:Choice>
        </mc:AlternateContent>
        <mc:AlternateContent xmlns:mc="http://schemas.openxmlformats.org/markup-compatibility/2006">
          <mc:Choice Requires="x14">
            <control shapeId="36881" r:id="rId5"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6882" r:id="rId6" name="Button 2">
              <controlPr defaultSize="0" print="0" autoFill="0" autoPict="0" macro="[0]!DeleteRow">
                <anchor moveWithCells="1" sizeWithCells="1">
                  <from>
                    <xdr:col>1</xdr:col>
                    <xdr:colOff>1743075</xdr:colOff>
                    <xdr:row>1</xdr:row>
                    <xdr:rowOff>76200</xdr:rowOff>
                  </from>
                  <to>
                    <xdr:col>2</xdr:col>
                    <xdr:colOff>1400175</xdr:colOff>
                    <xdr:row>1</xdr:row>
                    <xdr:rowOff>438150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7" tint="-0.499984740745262"/>
    <pageSetUpPr fitToPage="1"/>
  </sheetPr>
  <dimension ref="B1:J18"/>
  <sheetViews>
    <sheetView showGridLines="0" zoomScale="85" zoomScaleNormal="85" zoomScaleSheetLayoutView="55" workbookViewId="0">
      <pane ySplit="13" topLeftCell="A14" activePane="bottomLeft" state="frozen"/>
      <selection pane="bottomLeft" activeCell="B14" sqref="B14"/>
    </sheetView>
  </sheetViews>
  <sheetFormatPr defaultColWidth="9.140625" defaultRowHeight="18" x14ac:dyDescent="0.25"/>
  <cols>
    <col min="1" max="1" width="1.7109375" style="16" customWidth="1"/>
    <col min="2" max="2" width="28.7109375" style="16" customWidth="1"/>
    <col min="3" max="4" width="50.7109375" style="16" customWidth="1"/>
    <col min="5" max="5" width="40.7109375" style="16" customWidth="1"/>
    <col min="6" max="6" width="39.7109375" style="16" customWidth="1"/>
    <col min="7" max="7" width="60.7109375" style="16" customWidth="1"/>
    <col min="8" max="9" width="20.7109375" style="16" customWidth="1"/>
    <col min="10" max="10" width="11.28515625" style="16" bestFit="1" customWidth="1"/>
    <col min="11" max="11" width="1.7109375" style="16" customWidth="1"/>
    <col min="12" max="16384" width="9.140625" style="16"/>
  </cols>
  <sheetData>
    <row r="1" spans="2:10" ht="8.1" customHeight="1" x14ac:dyDescent="0.25"/>
    <row r="2" spans="2:10" s="46" customFormat="1" ht="39.950000000000003" customHeight="1" x14ac:dyDescent="0.25">
      <c r="B2" s="157" t="s">
        <v>211</v>
      </c>
      <c r="C2" s="157"/>
      <c r="D2" s="157"/>
      <c r="E2" s="157"/>
      <c r="F2" s="157"/>
      <c r="G2" s="157"/>
      <c r="H2" s="157"/>
      <c r="I2" s="157"/>
      <c r="J2" s="157"/>
    </row>
    <row r="3" spans="2:10" s="46" customFormat="1" ht="8.1" customHeight="1" x14ac:dyDescent="0.25">
      <c r="B3" s="81"/>
      <c r="H3" s="124"/>
      <c r="I3" s="124"/>
      <c r="J3" s="67"/>
    </row>
    <row r="4" spans="2:10" s="46" customFormat="1" ht="9.9499999999999993" customHeight="1" x14ac:dyDescent="0.25">
      <c r="B4" s="195" t="s">
        <v>190</v>
      </c>
      <c r="C4" s="206">
        <f>SUM(I:I)</f>
        <v>0</v>
      </c>
      <c r="D4" s="94"/>
      <c r="H4" s="124"/>
      <c r="I4" s="124"/>
      <c r="J4" s="67"/>
    </row>
    <row r="5" spans="2:10" s="46" customFormat="1" ht="9.9499999999999993" customHeight="1" x14ac:dyDescent="0.25">
      <c r="B5" s="196"/>
      <c r="C5" s="207"/>
      <c r="D5" s="94"/>
      <c r="H5" s="124"/>
      <c r="I5" s="124"/>
      <c r="J5" s="67"/>
    </row>
    <row r="6" spans="2:10" s="46" customFormat="1" ht="9.9499999999999993" customHeight="1" x14ac:dyDescent="0.25">
      <c r="B6" s="196"/>
      <c r="C6" s="207"/>
      <c r="D6" s="94"/>
      <c r="H6" s="124"/>
      <c r="I6" s="124"/>
      <c r="J6" s="67"/>
    </row>
    <row r="7" spans="2:10" s="46" customFormat="1" ht="9.9499999999999993" customHeight="1" x14ac:dyDescent="0.25">
      <c r="B7" s="196"/>
      <c r="C7" s="207"/>
      <c r="D7" s="94"/>
      <c r="H7" s="124"/>
      <c r="I7" s="124"/>
      <c r="J7" s="67"/>
    </row>
    <row r="8" spans="2:10" s="46" customFormat="1" ht="9.9499999999999993" customHeight="1" x14ac:dyDescent="0.25">
      <c r="B8" s="196"/>
      <c r="C8" s="207"/>
      <c r="D8" s="94"/>
      <c r="H8" s="124"/>
      <c r="I8" s="124"/>
      <c r="J8" s="67"/>
    </row>
    <row r="9" spans="2:10" s="46" customFormat="1" ht="9.9499999999999993" customHeight="1" x14ac:dyDescent="0.25">
      <c r="B9" s="197"/>
      <c r="C9" s="208"/>
      <c r="D9" s="94"/>
      <c r="H9" s="124"/>
      <c r="I9" s="124"/>
      <c r="J9" s="67"/>
    </row>
    <row r="10" spans="2:10" s="46" customFormat="1" ht="8.1" customHeight="1" x14ac:dyDescent="0.25">
      <c r="B10" s="47"/>
      <c r="C10" s="48"/>
      <c r="D10" s="48"/>
      <c r="E10" s="48"/>
      <c r="F10" s="48"/>
      <c r="G10" s="48"/>
      <c r="H10" s="49"/>
      <c r="I10" s="49"/>
      <c r="J10" s="71"/>
    </row>
    <row r="11" spans="2:10" s="125" customFormat="1" ht="42" customHeight="1" x14ac:dyDescent="0.25">
      <c r="B11" s="156" t="s">
        <v>235</v>
      </c>
      <c r="C11" s="156" t="s">
        <v>237</v>
      </c>
      <c r="D11" s="156" t="s">
        <v>238</v>
      </c>
      <c r="E11" s="156" t="s">
        <v>197</v>
      </c>
      <c r="F11" s="158" t="s">
        <v>198</v>
      </c>
      <c r="G11" s="158" t="s">
        <v>199</v>
      </c>
      <c r="H11" s="154" t="s">
        <v>171</v>
      </c>
      <c r="I11" s="154" t="s">
        <v>170</v>
      </c>
      <c r="J11" s="154" t="s">
        <v>239</v>
      </c>
    </row>
    <row r="12" spans="2:10" ht="23.85" customHeight="1" x14ac:dyDescent="0.25">
      <c r="B12" s="155"/>
      <c r="C12" s="155"/>
      <c r="D12" s="155"/>
      <c r="E12" s="155"/>
      <c r="F12" s="155"/>
      <c r="G12" s="155"/>
      <c r="H12" s="155"/>
      <c r="I12" s="155"/>
      <c r="J12" s="155"/>
    </row>
    <row r="13" spans="2:10" s="80" customFormat="1" hidden="1" x14ac:dyDescent="0.25">
      <c r="B13" s="45"/>
      <c r="C13" s="137" t="str">
        <f>IFERROR(IF(VLOOKUP(B13,PartnerN°Ref,2,FALSE)=0,"",VLOOKUP(B13,PartnerN°Ref,2,FALSE)),"")</f>
        <v/>
      </c>
      <c r="D13" s="137" t="str">
        <f>IFERROR(IF(OR(VLOOKUP(B13,PartnerN°Ref,4,FALSE)="Country not found",VLOOKUP(B13,PartnerN°Ref,3,FALSE)=0),"",VLOOKUP(B13,PartnerN°Ref,3,FALSE)),"")</f>
        <v/>
      </c>
      <c r="E13" s="95"/>
      <c r="F13" s="44"/>
      <c r="G13" s="44"/>
      <c r="H13" s="82">
        <v>0</v>
      </c>
      <c r="I13" s="83">
        <f>IF(J13="Error",0,ROUND(H13,2))</f>
        <v>0</v>
      </c>
      <c r="J13" s="79" t="str">
        <f>IF(OR(COUNTIF(PartnerN°,B13)=0,C13="",COUNTIF(CountryALL,D13)=0,E13="",F13="",G13="",ISNUMBER(H13)=FALSE,IF(ISNUMBER(H13)=TRUE,H13=INT(H13*100)/100=FALSE)),"Error","")</f>
        <v>Error</v>
      </c>
    </row>
    <row r="14" spans="2:10" s="80" customFormat="1" x14ac:dyDescent="0.25">
      <c r="B14" s="45"/>
      <c r="C14" s="137" t="str">
        <f>IFERROR(IF(VLOOKUP(B14,PartnerN°Ref,2,FALSE)=0,"",VLOOKUP(B14,PartnerN°Ref,2,FALSE)),"")</f>
        <v/>
      </c>
      <c r="D14" s="137" t="str">
        <f>IFERROR(IF(OR(VLOOKUP(B14,PartnerN°Ref,4,FALSE)="Country not found",VLOOKUP(B14,PartnerN°Ref,3,FALSE)=0),"",VLOOKUP(B14,PartnerN°Ref,3,FALSE)),"")</f>
        <v/>
      </c>
      <c r="E14" s="95"/>
      <c r="F14" s="44"/>
      <c r="G14" s="44"/>
      <c r="H14" s="82">
        <v>0</v>
      </c>
      <c r="I14" s="83">
        <f>IF(J14="Error",0,ROUND(H14,2))</f>
        <v>0</v>
      </c>
      <c r="J14" s="79" t="str">
        <f>IF(OR(COUNTIF(PartnerN°,B14)=0,C14="",COUNTIF(CountryALL,D14)=0,E14="",F14="",G14="",ISNUMBER(H14)=FALSE,IF(ISNUMBER(H14)=TRUE,H14=INT(H14*100)/100=FALSE)),"Error","")</f>
        <v>Error</v>
      </c>
    </row>
    <row r="16" spans="2:10" x14ac:dyDescent="0.25">
      <c r="B16" s="96" t="s">
        <v>240</v>
      </c>
    </row>
    <row r="17" spans="2:2" x14ac:dyDescent="0.25">
      <c r="B17" s="96" t="s">
        <v>241</v>
      </c>
    </row>
    <row r="18" spans="2:2" x14ac:dyDescent="0.25">
      <c r="B18" s="96" t="s">
        <v>242</v>
      </c>
    </row>
  </sheetData>
  <sheetProtection password="E359" sheet="1" objects="1" scenarios="1" selectLockedCells="1"/>
  <dataConsolidate/>
  <mergeCells count="12">
    <mergeCell ref="J11:J12"/>
    <mergeCell ref="B2:J2"/>
    <mergeCell ref="I11:I12"/>
    <mergeCell ref="F11:F12"/>
    <mergeCell ref="C4:C9"/>
    <mergeCell ref="B4:B9"/>
    <mergeCell ref="B11:B12"/>
    <mergeCell ref="C11:C12"/>
    <mergeCell ref="D11:D12"/>
    <mergeCell ref="G11:G12"/>
    <mergeCell ref="H11:H12"/>
    <mergeCell ref="E11:E12"/>
  </mergeCells>
  <conditionalFormatting sqref="J13:J14">
    <cfRule type="containsText" dxfId="19" priority="105" operator="containsText" text="Error">
      <formula>NOT(ISERROR(SEARCH("Error",J13)))</formula>
    </cfRule>
  </conditionalFormatting>
  <conditionalFormatting sqref="C13:D14">
    <cfRule type="containsBlanks" dxfId="18" priority="98">
      <formula>LEN(TRIM(C13))=0</formula>
    </cfRule>
  </conditionalFormatting>
  <dataValidations count="5">
    <dataValidation allowBlank="1" showInputMessage="1" showErrorMessage="1" error="Please encode Item" prompt="Please encode Item" sqref="E13:E14"/>
    <dataValidation type="custom" allowBlank="1" showInputMessage="1" showErrorMessage="1" error="Format error (2 decimals only)" prompt="Please encode amount (2 decimals only)" sqref="H13:H14">
      <formula1>H13=INT(H13*100)/100</formula1>
    </dataValidation>
    <dataValidation allowBlank="1" showInputMessage="1" showErrorMessage="1" error="Please encode Justification" prompt="Please encode Justification" sqref="G13:G14"/>
    <dataValidation allowBlank="1" showInputMessage="1" showErrorMessage="1" error="Please encode Source of Co-financing" prompt="Please encode Source of Co-financing" sqref="F13:F14"/>
    <dataValidation type="list" allowBlank="1" showInputMessage="1" showErrorMessage="1" error="Click arrow to select Partner n°" prompt="Click arrow to select Partner n°" sqref="B13:B14">
      <formula1>PartnerN°</formula1>
    </dataValidation>
  </dataValidations>
  <printOptions horizontalCentered="1"/>
  <pageMargins left="0.23622047244094491" right="0.23622047244094491" top="0.39370078740157483" bottom="0.94488188976377963" header="0.31496062992125984" footer="0.31496062992125984"/>
  <pageSetup paperSize="9" scale="44" fitToHeight="0" orientation="landscape" r:id="rId1"/>
  <headerFooter>
    <oddFooter xml:space="preserve">&amp;CPage &amp;P of 3
</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5855" r:id="rId4" name="Button 1">
              <controlPr defaultSize="0" print="0" autoFill="0" autoPict="0" macro="[0]!AddRow">
                <anchor moveWithCells="1" sizeWithCells="1">
                  <from>
                    <xdr:col>1</xdr:col>
                    <xdr:colOff>85725</xdr:colOff>
                    <xdr:row>1</xdr:row>
                    <xdr:rowOff>76200</xdr:rowOff>
                  </from>
                  <to>
                    <xdr:col>1</xdr:col>
                    <xdr:colOff>1666875</xdr:colOff>
                    <xdr:row>1</xdr:row>
                    <xdr:rowOff>438150</xdr:rowOff>
                  </to>
                </anchor>
              </controlPr>
            </control>
          </mc:Choice>
        </mc:AlternateContent>
        <mc:AlternateContent xmlns:mc="http://schemas.openxmlformats.org/markup-compatibility/2006">
          <mc:Choice Requires="x14">
            <control shapeId="35856" r:id="rId5" name="Button 2">
              <controlPr defaultSize="0" print="0" autoFill="0" autoPict="0" macro="[0]!DeleteRow">
                <anchor moveWithCells="1" sizeWithCells="1">
                  <from>
                    <xdr:col>1</xdr:col>
                    <xdr:colOff>1743075</xdr:colOff>
                    <xdr:row>1</xdr:row>
                    <xdr:rowOff>76200</xdr:rowOff>
                  </from>
                  <to>
                    <xdr:col>2</xdr:col>
                    <xdr:colOff>1400175</xdr:colOff>
                    <xdr:row>1</xdr:row>
                    <xdr:rowOff>438150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249977111117893"/>
    <pageSetUpPr fitToPage="1"/>
  </sheetPr>
  <dimension ref="B1:I81"/>
  <sheetViews>
    <sheetView showGridLines="0" zoomScale="85" zoomScaleNormal="85" zoomScaleSheetLayoutView="85" workbookViewId="0">
      <selection activeCell="B2" sqref="B2:I2"/>
    </sheetView>
  </sheetViews>
  <sheetFormatPr defaultColWidth="9.140625" defaultRowHeight="18" x14ac:dyDescent="0.25"/>
  <cols>
    <col min="1" max="1" width="1.7109375" style="16" customWidth="1"/>
    <col min="2" max="2" width="42.7109375" style="16" customWidth="1"/>
    <col min="3" max="9" width="22.7109375" style="16" customWidth="1"/>
    <col min="10" max="10" width="1.42578125" style="16" customWidth="1"/>
    <col min="11" max="16384" width="9.140625" style="16"/>
  </cols>
  <sheetData>
    <row r="1" spans="2:9" ht="8.1" customHeight="1" x14ac:dyDescent="0.25"/>
    <row r="2" spans="2:9" s="46" customFormat="1" ht="30" customHeight="1" x14ac:dyDescent="0.25">
      <c r="B2" s="157" t="s">
        <v>184</v>
      </c>
      <c r="C2" s="157"/>
      <c r="D2" s="157"/>
      <c r="E2" s="157"/>
      <c r="F2" s="157"/>
      <c r="G2" s="157"/>
      <c r="H2" s="157"/>
      <c r="I2" s="157"/>
    </row>
    <row r="3" spans="2:9" s="46" customFormat="1" ht="8.1" customHeight="1" x14ac:dyDescent="0.25">
      <c r="B3" s="47"/>
      <c r="C3" s="48"/>
      <c r="D3" s="48"/>
      <c r="E3" s="48"/>
      <c r="F3" s="49"/>
      <c r="G3" s="49"/>
      <c r="H3" s="49"/>
      <c r="I3" s="50"/>
    </row>
    <row r="4" spans="2:9" s="51" customFormat="1" ht="42" customHeight="1" x14ac:dyDescent="0.25">
      <c r="B4" s="15" t="s">
        <v>168</v>
      </c>
      <c r="C4" s="36" t="s">
        <v>200</v>
      </c>
      <c r="D4" s="36" t="s">
        <v>201</v>
      </c>
      <c r="E4" s="36" t="s">
        <v>212</v>
      </c>
      <c r="F4" s="36" t="s">
        <v>213</v>
      </c>
      <c r="G4" s="36" t="s">
        <v>214</v>
      </c>
      <c r="H4" s="37" t="s">
        <v>215</v>
      </c>
      <c r="I4" s="36" t="s">
        <v>170</v>
      </c>
    </row>
    <row r="5" spans="2:9" x14ac:dyDescent="0.25">
      <c r="B5" s="52" t="str">
        <f>Rates!P13</f>
        <v>Preparation</v>
      </c>
      <c r="C5" s="53">
        <f>SUMIF('1. Staff costs'!B:B,B5,'1. Staff costs'!S:S)</f>
        <v>0</v>
      </c>
      <c r="D5" s="53">
        <f>SUMIF('2-3. Travel Costs&amp;Costs of Stay'!B:B,B5,'2-3. Travel Costs&amp;Costs of Stay'!L:L)</f>
        <v>0</v>
      </c>
      <c r="E5" s="54">
        <f>SUMIF('2-3. Travel Costs&amp;Costs of Stay'!B:B,B5,'2-3. Travel Costs&amp;Costs of Stay'!M:M)</f>
        <v>0</v>
      </c>
      <c r="F5" s="54">
        <f>SUMIF('4. Equipment Costs'!B:B,B5,'4. Equipment Costs'!H:H)</f>
        <v>0</v>
      </c>
      <c r="G5" s="54">
        <f>SUMIF('5. Subcontracting Costs'!B:B,B5,'5. Subcontracting Costs'!H:H)</f>
        <v>0</v>
      </c>
      <c r="H5" s="209"/>
      <c r="I5" s="55">
        <f>SUM(C5:G5)</f>
        <v>0</v>
      </c>
    </row>
    <row r="6" spans="2:9" ht="16.5" customHeight="1" x14ac:dyDescent="0.25">
      <c r="B6" s="52" t="str">
        <f>Rates!P14</f>
        <v>Development</v>
      </c>
      <c r="C6" s="53">
        <f>SUMIF('1. Staff costs'!B:B,B6,'1. Staff costs'!S:S)</f>
        <v>0</v>
      </c>
      <c r="D6" s="53">
        <f>SUMIF('2-3. Travel Costs&amp;Costs of Stay'!B:B,B6,'2-3. Travel Costs&amp;Costs of Stay'!L:L)</f>
        <v>0</v>
      </c>
      <c r="E6" s="54">
        <f>SUMIF('2-3. Travel Costs&amp;Costs of Stay'!B:B,B6,'2-3. Travel Costs&amp;Costs of Stay'!M:M)</f>
        <v>0</v>
      </c>
      <c r="F6" s="54">
        <f>SUMIF('4. Equipment Costs'!B:B,B6,'4. Equipment Costs'!H:H)</f>
        <v>0</v>
      </c>
      <c r="G6" s="54">
        <f>SUMIF('5. Subcontracting Costs'!B:B,B6,'5. Subcontracting Costs'!H:H)</f>
        <v>0</v>
      </c>
      <c r="H6" s="210"/>
      <c r="I6" s="55">
        <f t="shared" ref="I6:I9" si="0">SUM(C6:G6)</f>
        <v>0</v>
      </c>
    </row>
    <row r="7" spans="2:9" ht="16.5" customHeight="1" x14ac:dyDescent="0.25">
      <c r="B7" s="52" t="str">
        <f>Rates!P15</f>
        <v>Quality Plan</v>
      </c>
      <c r="C7" s="53">
        <f>SUMIF('1. Staff costs'!B:B,B7,'1. Staff costs'!S:S)</f>
        <v>0</v>
      </c>
      <c r="D7" s="53">
        <f>SUMIF('2-3. Travel Costs&amp;Costs of Stay'!B:B,B7,'2-3. Travel Costs&amp;Costs of Stay'!L:L)</f>
        <v>0</v>
      </c>
      <c r="E7" s="54">
        <f>SUMIF('2-3. Travel Costs&amp;Costs of Stay'!B:B,B7,'2-3. Travel Costs&amp;Costs of Stay'!M:M)</f>
        <v>0</v>
      </c>
      <c r="F7" s="54">
        <f>SUMIF('4. Equipment Costs'!B:B,B7,'4. Equipment Costs'!H:H)</f>
        <v>0</v>
      </c>
      <c r="G7" s="54">
        <f>SUMIF('5. Subcontracting Costs'!B:B,B7,'5. Subcontracting Costs'!H:H)</f>
        <v>0</v>
      </c>
      <c r="H7" s="210"/>
      <c r="I7" s="55">
        <f t="shared" si="0"/>
        <v>0</v>
      </c>
    </row>
    <row r="8" spans="2:9" ht="16.5" customHeight="1" x14ac:dyDescent="0.25">
      <c r="B8" s="52" t="str">
        <f>Rates!P16</f>
        <v>Dissemination &amp; Exploitation</v>
      </c>
      <c r="C8" s="53">
        <f>SUMIF('1. Staff costs'!B:B,B8,'1. Staff costs'!S:S)</f>
        <v>0</v>
      </c>
      <c r="D8" s="53">
        <f>SUMIF('2-3. Travel Costs&amp;Costs of Stay'!B:B,B8,'2-3. Travel Costs&amp;Costs of Stay'!L:L)</f>
        <v>0</v>
      </c>
      <c r="E8" s="54">
        <f>SUMIF('2-3. Travel Costs&amp;Costs of Stay'!B:B,B8,'2-3. Travel Costs&amp;Costs of Stay'!M:M)</f>
        <v>0</v>
      </c>
      <c r="F8" s="54">
        <f>SUMIF('4. Equipment Costs'!B:B,B8,'4. Equipment Costs'!H:H)</f>
        <v>0</v>
      </c>
      <c r="G8" s="54">
        <f>SUMIF('5. Subcontracting Costs'!B:B,B8,'5. Subcontracting Costs'!H:H)</f>
        <v>0</v>
      </c>
      <c r="H8" s="210"/>
      <c r="I8" s="55">
        <f t="shared" si="0"/>
        <v>0</v>
      </c>
    </row>
    <row r="9" spans="2:9" ht="16.5" customHeight="1" x14ac:dyDescent="0.25">
      <c r="B9" s="52" t="str">
        <f>Rates!P17</f>
        <v>Management</v>
      </c>
      <c r="C9" s="53">
        <f>SUMIF('1. Staff costs'!B:B,B9,'1. Staff costs'!S:S)</f>
        <v>0</v>
      </c>
      <c r="D9" s="53">
        <f>SUMIF('2-3. Travel Costs&amp;Costs of Stay'!B:B,B9,'2-3. Travel Costs&amp;Costs of Stay'!L:L)</f>
        <v>0</v>
      </c>
      <c r="E9" s="54">
        <f>SUMIF('2-3. Travel Costs&amp;Costs of Stay'!B:B,B9,'2-3. Travel Costs&amp;Costs of Stay'!M:M)</f>
        <v>0</v>
      </c>
      <c r="F9" s="54">
        <f>SUMIF('4. Equipment Costs'!B:B,B9,'4. Equipment Costs'!H:H)</f>
        <v>0</v>
      </c>
      <c r="G9" s="54">
        <f>SUMIF('5. Subcontracting Costs'!B:B,B9,'5. Subcontracting Costs'!H:H)</f>
        <v>0</v>
      </c>
      <c r="H9" s="211"/>
      <c r="I9" s="55">
        <f t="shared" si="0"/>
        <v>0</v>
      </c>
    </row>
    <row r="10" spans="2:9" x14ac:dyDescent="0.25">
      <c r="B10" s="56" t="s">
        <v>2</v>
      </c>
      <c r="C10" s="55">
        <f t="shared" ref="C10:F10" si="1">SUM(C5:C9)</f>
        <v>0</v>
      </c>
      <c r="D10" s="55">
        <f t="shared" si="1"/>
        <v>0</v>
      </c>
      <c r="E10" s="55">
        <f t="shared" si="1"/>
        <v>0</v>
      </c>
      <c r="F10" s="55">
        <f t="shared" si="1"/>
        <v>0</v>
      </c>
      <c r="G10" s="55">
        <f>SUM(G5:G9)</f>
        <v>0</v>
      </c>
      <c r="H10" s="57">
        <f>'B. Special Mob Strand - Student'!C8+'B. Special Mob Strand - Staff'!C8</f>
        <v>0</v>
      </c>
      <c r="I10" s="43">
        <f>SUM(C10:H10)</f>
        <v>0</v>
      </c>
    </row>
    <row r="11" spans="2:9" ht="12" customHeight="1" x14ac:dyDescent="0.25"/>
    <row r="12" spans="2:9" ht="12" customHeight="1" x14ac:dyDescent="0.25"/>
    <row r="13" spans="2:9" ht="12" customHeight="1" x14ac:dyDescent="0.25"/>
    <row r="14" spans="2:9" ht="30" customHeight="1" x14ac:dyDescent="0.25">
      <c r="B14" s="157" t="s">
        <v>216</v>
      </c>
      <c r="C14" s="157"/>
      <c r="D14" s="157"/>
      <c r="E14" s="157"/>
      <c r="F14" s="157"/>
      <c r="G14" s="157"/>
      <c r="H14" s="157"/>
      <c r="I14" s="157"/>
    </row>
    <row r="15" spans="2:9" ht="8.1" customHeight="1" x14ac:dyDescent="0.25">
      <c r="B15" s="58"/>
      <c r="C15" s="59"/>
      <c r="D15" s="59"/>
      <c r="E15" s="59"/>
      <c r="F15" s="59"/>
      <c r="G15" s="59"/>
      <c r="H15" s="59"/>
      <c r="I15" s="60"/>
    </row>
    <row r="16" spans="2:9" ht="42" customHeight="1" x14ac:dyDescent="0.25">
      <c r="B16" s="15" t="s">
        <v>183</v>
      </c>
      <c r="C16" s="36" t="s">
        <v>200</v>
      </c>
      <c r="D16" s="36" t="s">
        <v>201</v>
      </c>
      <c r="E16" s="36" t="s">
        <v>212</v>
      </c>
      <c r="F16" s="36" t="s">
        <v>213</v>
      </c>
      <c r="G16" s="36" t="s">
        <v>214</v>
      </c>
      <c r="H16" s="37" t="s">
        <v>215</v>
      </c>
      <c r="I16" s="36" t="s">
        <v>170</v>
      </c>
    </row>
    <row r="17" spans="2:9" x14ac:dyDescent="0.25">
      <c r="B17" s="52" t="s">
        <v>208</v>
      </c>
      <c r="C17" s="53">
        <f>SUMIF(Overview!$E$33:$E$87,B17,Overview!$F$33:$F$87)</f>
        <v>0</v>
      </c>
      <c r="D17" s="53">
        <f>SUMIF(Overview!$E$33:$E$87,B17,Overview!$G$33:$G$87)</f>
        <v>0</v>
      </c>
      <c r="E17" s="53">
        <f>SUMIF(Overview!$E$33:$E$87,B17,Overview!$H$33:$H$87)</f>
        <v>0</v>
      </c>
      <c r="F17" s="53">
        <f>SUMIF(Overview!$E$33:$E$87,B17,Overview!$I$33:$I$87)</f>
        <v>0</v>
      </c>
      <c r="G17" s="53">
        <f>SUMIF(Overview!$E$33:$E$87,B17,Overview!$J$33:$J$87)</f>
        <v>0</v>
      </c>
      <c r="H17" s="61">
        <f>SUMIF(Overview!$E$33:$E$87,B17,Overview!$K$33:$K$87)</f>
        <v>0</v>
      </c>
      <c r="I17" s="55">
        <f>SUM(C17:H17)</f>
        <v>0</v>
      </c>
    </row>
    <row r="18" spans="2:9" x14ac:dyDescent="0.25">
      <c r="B18" s="52" t="s">
        <v>209</v>
      </c>
      <c r="C18" s="53">
        <f>SUMIF(Overview!$E$33:$E$87,B18,Overview!$F$33:$F$87)</f>
        <v>0</v>
      </c>
      <c r="D18" s="53">
        <f>SUMIF(Overview!$E$33:$E$87,B18,Overview!$G$33:$G$87)</f>
        <v>0</v>
      </c>
      <c r="E18" s="53">
        <f>SUMIF(Overview!$E$33:$E$87,B18,Overview!$H$33:$H$87)</f>
        <v>0</v>
      </c>
      <c r="F18" s="53">
        <f>SUMIF(Overview!$E$33:$E$87,B18,Overview!$I$33:$I$87)</f>
        <v>0</v>
      </c>
      <c r="G18" s="53">
        <f>SUMIF(Overview!$E$33:$E$87,B18,Overview!$J$33:$J$87)</f>
        <v>0</v>
      </c>
      <c r="H18" s="61">
        <f>SUMIF(Overview!$E$33:$E$87,B18,Overview!$K$33:$K$87)</f>
        <v>0</v>
      </c>
      <c r="I18" s="55">
        <f t="shared" ref="I18" si="2">SUM(C18:H18)</f>
        <v>0</v>
      </c>
    </row>
    <row r="19" spans="2:9" x14ac:dyDescent="0.25">
      <c r="B19" s="56" t="s">
        <v>2</v>
      </c>
      <c r="C19" s="55">
        <f t="shared" ref="C19:H19" si="3">SUM(C17:C18)</f>
        <v>0</v>
      </c>
      <c r="D19" s="55">
        <f t="shared" si="3"/>
        <v>0</v>
      </c>
      <c r="E19" s="55">
        <f t="shared" si="3"/>
        <v>0</v>
      </c>
      <c r="F19" s="55">
        <f t="shared" si="3"/>
        <v>0</v>
      </c>
      <c r="G19" s="55">
        <f t="shared" si="3"/>
        <v>0</v>
      </c>
      <c r="H19" s="57">
        <f t="shared" si="3"/>
        <v>0</v>
      </c>
      <c r="I19" s="43">
        <f>SUM(C19:H19)</f>
        <v>0</v>
      </c>
    </row>
    <row r="20" spans="2:9" ht="12" customHeight="1" x14ac:dyDescent="0.25"/>
    <row r="21" spans="2:9" ht="12" customHeight="1" x14ac:dyDescent="0.25"/>
    <row r="22" spans="2:9" ht="12" customHeight="1" x14ac:dyDescent="0.25"/>
    <row r="23" spans="2:9" ht="30" customHeight="1" x14ac:dyDescent="0.25">
      <c r="B23" s="157" t="s">
        <v>218</v>
      </c>
      <c r="C23" s="157"/>
      <c r="D23" s="157"/>
      <c r="E23" s="157"/>
      <c r="F23" s="157"/>
      <c r="G23" s="157"/>
      <c r="H23" s="157"/>
      <c r="I23" s="157"/>
    </row>
    <row r="24" spans="2:9" ht="8.1" customHeight="1" x14ac:dyDescent="0.25">
      <c r="B24" s="62"/>
      <c r="I24" s="63"/>
    </row>
    <row r="25" spans="2:9" ht="54" customHeight="1" x14ac:dyDescent="0.25">
      <c r="B25" s="34" t="s">
        <v>217</v>
      </c>
      <c r="C25" s="15" t="str">
        <f>Rates!P13</f>
        <v>Preparation</v>
      </c>
      <c r="D25" s="15" t="str">
        <f>Rates!P14</f>
        <v>Development</v>
      </c>
      <c r="E25" s="15" t="str">
        <f>Rates!P15</f>
        <v>Quality Plan</v>
      </c>
      <c r="F25" s="34" t="str">
        <f>Rates!P16</f>
        <v>Dissemination &amp; Exploitation</v>
      </c>
      <c r="G25" s="15" t="str">
        <f>Rates!P17</f>
        <v>Management</v>
      </c>
      <c r="H25" s="37" t="s">
        <v>215</v>
      </c>
      <c r="I25" s="36" t="s">
        <v>170</v>
      </c>
    </row>
    <row r="26" spans="2:9" x14ac:dyDescent="0.25">
      <c r="B26" s="15" t="s">
        <v>9</v>
      </c>
      <c r="C26" s="54">
        <f>SUMIFS('1. Staff costs'!S:S,'1. Staff costs'!C:C,B26,'1. Staff costs'!B:B,$C$25)+SUMIFS('2-3. Travel Costs&amp;Costs of Stay'!N:N,'2-3. Travel Costs&amp;Costs of Stay'!C:C,B26,'2-3. Travel Costs&amp;Costs of Stay'!B:B,$C$25)+SUMIFS('4. Equipment Costs'!H:H,'4. Equipment Costs'!C:C,B26,'4. Equipment Costs'!B:B,$C$25)+SUMIFS('5. Subcontracting Costs'!H:H,'5. Subcontracting Costs'!C:C,B26,'5. Subcontracting Costs'!B:B,$C$25)</f>
        <v>0</v>
      </c>
      <c r="D26" s="54">
        <f>SUMIFS('1. Staff costs'!S:S,'1. Staff costs'!C:C,B26,'1. Staff costs'!B:B,$D$25)+SUMIFS('2-3. Travel Costs&amp;Costs of Stay'!N:N,'2-3. Travel Costs&amp;Costs of Stay'!C:C,B26,'2-3. Travel Costs&amp;Costs of Stay'!B:B,$D$25)+SUMIFS('4. Equipment Costs'!H:H,'4. Equipment Costs'!C:C,B26,'4. Equipment Costs'!B:B,$D$25)+SUMIFS('5. Subcontracting Costs'!H:H,'5. Subcontracting Costs'!C:C,B26,'5. Subcontracting Costs'!B:B,$D$25)</f>
        <v>0</v>
      </c>
      <c r="E26" s="54">
        <f>SUMIFS('1. Staff costs'!S:S,'1. Staff costs'!C:C,B26,'1. Staff costs'!B:B,$E$25)+SUMIFS('2-3. Travel Costs&amp;Costs of Stay'!N:N,'2-3. Travel Costs&amp;Costs of Stay'!C:C,B26,'2-3. Travel Costs&amp;Costs of Stay'!B:B,$E$25)+SUMIFS('4. Equipment Costs'!H:H,'4. Equipment Costs'!C:C,B26,'4. Equipment Costs'!B:B,$E$25)+SUMIFS('5. Subcontracting Costs'!H:H,'5. Subcontracting Costs'!C:C,B26,'5. Subcontracting Costs'!B:B,$E$25)</f>
        <v>0</v>
      </c>
      <c r="F26" s="54">
        <f>SUMIFS('1. Staff costs'!S:S,'1. Staff costs'!C:C,B26,'1. Staff costs'!B:B,$B$8)+SUMIFS('2-3. Travel Costs&amp;Costs of Stay'!N:N,'2-3. Travel Costs&amp;Costs of Stay'!C:C,B26,'2-3. Travel Costs&amp;Costs of Stay'!B:B,$B$8)+SUMIFS('4. Equipment Costs'!H:H,'4. Equipment Costs'!C:C,B26,'4. Equipment Costs'!B:B,$B$8)+SUMIFS('5. Subcontracting Costs'!H:H,'5. Subcontracting Costs'!C:C,B26,'5. Subcontracting Costs'!B:B,$B$8)</f>
        <v>0</v>
      </c>
      <c r="G26" s="54">
        <f>SUMIFS('1. Staff costs'!S:S,'1. Staff costs'!C:C,B26,'1. Staff costs'!B:B,$G$25)+SUMIFS('2-3. Travel Costs&amp;Costs of Stay'!N:N,'2-3. Travel Costs&amp;Costs of Stay'!C:C,B26,'2-3. Travel Costs&amp;Costs of Stay'!B:B,$G$25)+SUMIFS('4. Equipment Costs'!H:H,'4. Equipment Costs'!C:C,B26,'4. Equipment Costs'!B:B,$G$25)+SUMIFS('5. Subcontracting Costs'!H:H,'5. Subcontracting Costs'!C:C,B26,'5. Subcontracting Costs'!B:B,$G$25)</f>
        <v>0</v>
      </c>
      <c r="H26" s="61">
        <f>SUMIF('B. Special Mob Strand - Student'!B:B,B26,'B. Special Mob Strand - Student'!N:N)+SUMIF('B. Special Mob Strand - Staff'!B:B,B26,'B. Special Mob Strand - Staff'!N:N)</f>
        <v>0</v>
      </c>
      <c r="I26" s="64">
        <f>SUM(C26:H26)</f>
        <v>0</v>
      </c>
    </row>
    <row r="27" spans="2:9" x14ac:dyDescent="0.25">
      <c r="B27" s="15" t="s">
        <v>10</v>
      </c>
      <c r="C27" s="54">
        <f>SUMIFS('1. Staff costs'!S:S,'1. Staff costs'!C:C,B27,'1. Staff costs'!B:B,$C$25)+SUMIFS('2-3. Travel Costs&amp;Costs of Stay'!N:N,'2-3. Travel Costs&amp;Costs of Stay'!C:C,B27,'2-3. Travel Costs&amp;Costs of Stay'!B:B,$C$25)+SUMIFS('4. Equipment Costs'!H:H,'4. Equipment Costs'!C:C,B27,'4. Equipment Costs'!B:B,$C$25)+SUMIFS('5. Subcontracting Costs'!H:H,'5. Subcontracting Costs'!C:C,B27,'5. Subcontracting Costs'!B:B,$C$25)</f>
        <v>0</v>
      </c>
      <c r="D27" s="54">
        <f>SUMIFS('1. Staff costs'!S:S,'1. Staff costs'!C:C,B27,'1. Staff costs'!B:B,$D$25)+SUMIFS('2-3. Travel Costs&amp;Costs of Stay'!N:N,'2-3. Travel Costs&amp;Costs of Stay'!C:C,B27,'2-3. Travel Costs&amp;Costs of Stay'!B:B,$D$25)+SUMIFS('4. Equipment Costs'!H:H,'4. Equipment Costs'!C:C,B27,'4. Equipment Costs'!B:B,$D$25)+SUMIFS('5. Subcontracting Costs'!H:H,'5. Subcontracting Costs'!C:C,B27,'5. Subcontracting Costs'!B:B,$D$25)</f>
        <v>0</v>
      </c>
      <c r="E27" s="54">
        <f>SUMIFS('1. Staff costs'!S:S,'1. Staff costs'!C:C,B27,'1. Staff costs'!B:B,$E$25)+SUMIFS('2-3. Travel Costs&amp;Costs of Stay'!N:N,'2-3. Travel Costs&amp;Costs of Stay'!C:C,B27,'2-3. Travel Costs&amp;Costs of Stay'!B:B,$E$25)+SUMIFS('4. Equipment Costs'!H:H,'4. Equipment Costs'!C:C,B27,'4. Equipment Costs'!B:B,$E$25)+SUMIFS('5. Subcontracting Costs'!H:H,'5. Subcontracting Costs'!C:C,B27,'5. Subcontracting Costs'!B:B,$E$25)</f>
        <v>0</v>
      </c>
      <c r="F27" s="54">
        <f>SUMIFS('1. Staff costs'!S:S,'1. Staff costs'!C:C,B27,'1. Staff costs'!B:B,$B$8)+SUMIFS('2-3. Travel Costs&amp;Costs of Stay'!N:N,'2-3. Travel Costs&amp;Costs of Stay'!C:C,B27,'2-3. Travel Costs&amp;Costs of Stay'!B:B,$B$8)+SUMIFS('4. Equipment Costs'!H:H,'4. Equipment Costs'!C:C,B27,'4. Equipment Costs'!B:B,$B$8)+SUMIFS('5. Subcontracting Costs'!H:H,'5. Subcontracting Costs'!C:C,B27,'5. Subcontracting Costs'!B:B,$B$8)</f>
        <v>0</v>
      </c>
      <c r="G27" s="54">
        <f>SUMIFS('1. Staff costs'!S:S,'1. Staff costs'!C:C,B27,'1. Staff costs'!B:B,$G$25)+SUMIFS('2-3. Travel Costs&amp;Costs of Stay'!N:N,'2-3. Travel Costs&amp;Costs of Stay'!C:C,B27,'2-3. Travel Costs&amp;Costs of Stay'!B:B,$G$25)+SUMIFS('4. Equipment Costs'!H:H,'4. Equipment Costs'!C:C,B27,'4. Equipment Costs'!B:B,$G$25)+SUMIFS('5. Subcontracting Costs'!H:H,'5. Subcontracting Costs'!C:C,B27,'5. Subcontracting Costs'!B:B,$G$25)</f>
        <v>0</v>
      </c>
      <c r="H27" s="61">
        <f>SUMIF('B. Special Mob Strand - Student'!B:B,B27,'B. Special Mob Strand - Student'!N:N)+SUMIF('B. Special Mob Strand - Staff'!B:B,B27,'B. Special Mob Strand - Staff'!N:N)</f>
        <v>0</v>
      </c>
      <c r="I27" s="64">
        <f t="shared" ref="I27:I80" si="4">SUM(C27:H27)</f>
        <v>0</v>
      </c>
    </row>
    <row r="28" spans="2:9" x14ac:dyDescent="0.25">
      <c r="B28" s="15" t="s">
        <v>11</v>
      </c>
      <c r="C28" s="54">
        <f>SUMIFS('1. Staff costs'!S:S,'1. Staff costs'!C:C,B28,'1. Staff costs'!B:B,$C$25)+SUMIFS('2-3. Travel Costs&amp;Costs of Stay'!N:N,'2-3. Travel Costs&amp;Costs of Stay'!C:C,B28,'2-3. Travel Costs&amp;Costs of Stay'!B:B,$C$25)+SUMIFS('4. Equipment Costs'!H:H,'4. Equipment Costs'!C:C,B28,'4. Equipment Costs'!B:B,$C$25)+SUMIFS('5. Subcontracting Costs'!H:H,'5. Subcontracting Costs'!C:C,B28,'5. Subcontracting Costs'!B:B,$C$25)</f>
        <v>0</v>
      </c>
      <c r="D28" s="54">
        <f>SUMIFS('1. Staff costs'!S:S,'1. Staff costs'!C:C,B28,'1. Staff costs'!B:B,$D$25)+SUMIFS('2-3. Travel Costs&amp;Costs of Stay'!N:N,'2-3. Travel Costs&amp;Costs of Stay'!C:C,B28,'2-3. Travel Costs&amp;Costs of Stay'!B:B,$D$25)+SUMIFS('4. Equipment Costs'!H:H,'4. Equipment Costs'!C:C,B28,'4. Equipment Costs'!B:B,$D$25)+SUMIFS('5. Subcontracting Costs'!H:H,'5. Subcontracting Costs'!C:C,B28,'5. Subcontracting Costs'!B:B,$D$25)</f>
        <v>0</v>
      </c>
      <c r="E28" s="54">
        <f>SUMIFS('1. Staff costs'!S:S,'1. Staff costs'!C:C,B28,'1. Staff costs'!B:B,$E$25)+SUMIFS('2-3. Travel Costs&amp;Costs of Stay'!N:N,'2-3. Travel Costs&amp;Costs of Stay'!C:C,B28,'2-3. Travel Costs&amp;Costs of Stay'!B:B,$E$25)+SUMIFS('4. Equipment Costs'!H:H,'4. Equipment Costs'!C:C,B28,'4. Equipment Costs'!B:B,$E$25)+SUMIFS('5. Subcontracting Costs'!H:H,'5. Subcontracting Costs'!C:C,B28,'5. Subcontracting Costs'!B:B,$E$25)</f>
        <v>0</v>
      </c>
      <c r="F28" s="54">
        <f>SUMIFS('1. Staff costs'!S:S,'1. Staff costs'!C:C,B28,'1. Staff costs'!B:B,$B$8)+SUMIFS('2-3. Travel Costs&amp;Costs of Stay'!N:N,'2-3. Travel Costs&amp;Costs of Stay'!C:C,B28,'2-3. Travel Costs&amp;Costs of Stay'!B:B,$B$8)+SUMIFS('4. Equipment Costs'!H:H,'4. Equipment Costs'!C:C,B28,'4. Equipment Costs'!B:B,$B$8)+SUMIFS('5. Subcontracting Costs'!H:H,'5. Subcontracting Costs'!C:C,B28,'5. Subcontracting Costs'!B:B,$B$8)</f>
        <v>0</v>
      </c>
      <c r="G28" s="54">
        <f>SUMIFS('1. Staff costs'!S:S,'1. Staff costs'!C:C,B28,'1. Staff costs'!B:B,$G$25)+SUMIFS('2-3. Travel Costs&amp;Costs of Stay'!N:N,'2-3. Travel Costs&amp;Costs of Stay'!C:C,B28,'2-3. Travel Costs&amp;Costs of Stay'!B:B,$G$25)+SUMIFS('4. Equipment Costs'!H:H,'4. Equipment Costs'!C:C,B28,'4. Equipment Costs'!B:B,$G$25)+SUMIFS('5. Subcontracting Costs'!H:H,'5. Subcontracting Costs'!C:C,B28,'5. Subcontracting Costs'!B:B,$G$25)</f>
        <v>0</v>
      </c>
      <c r="H28" s="61">
        <f>SUMIF('B. Special Mob Strand - Student'!B:B,B28,'B. Special Mob Strand - Student'!N:N)+SUMIF('B. Special Mob Strand - Staff'!B:B,B28,'B. Special Mob Strand - Staff'!N:N)</f>
        <v>0</v>
      </c>
      <c r="I28" s="64">
        <f t="shared" si="4"/>
        <v>0</v>
      </c>
    </row>
    <row r="29" spans="2:9" x14ac:dyDescent="0.25">
      <c r="B29" s="15" t="s">
        <v>12</v>
      </c>
      <c r="C29" s="54">
        <f>SUMIFS('1. Staff costs'!S:S,'1. Staff costs'!C:C,B29,'1. Staff costs'!B:B,$C$25)+SUMIFS('2-3. Travel Costs&amp;Costs of Stay'!N:N,'2-3. Travel Costs&amp;Costs of Stay'!C:C,B29,'2-3. Travel Costs&amp;Costs of Stay'!B:B,$C$25)+SUMIFS('4. Equipment Costs'!H:H,'4. Equipment Costs'!C:C,B29,'4. Equipment Costs'!B:B,$C$25)+SUMIFS('5. Subcontracting Costs'!H:H,'5. Subcontracting Costs'!C:C,B29,'5. Subcontracting Costs'!B:B,$C$25)</f>
        <v>0</v>
      </c>
      <c r="D29" s="54">
        <f>SUMIFS('1. Staff costs'!S:S,'1. Staff costs'!C:C,B29,'1. Staff costs'!B:B,$D$25)+SUMIFS('2-3. Travel Costs&amp;Costs of Stay'!N:N,'2-3. Travel Costs&amp;Costs of Stay'!C:C,B29,'2-3. Travel Costs&amp;Costs of Stay'!B:B,$D$25)+SUMIFS('4. Equipment Costs'!H:H,'4. Equipment Costs'!C:C,B29,'4. Equipment Costs'!B:B,$D$25)+SUMIFS('5. Subcontracting Costs'!H:H,'5. Subcontracting Costs'!C:C,B29,'5. Subcontracting Costs'!B:B,$D$25)</f>
        <v>0</v>
      </c>
      <c r="E29" s="54">
        <f>SUMIFS('1. Staff costs'!S:S,'1. Staff costs'!C:C,B29,'1. Staff costs'!B:B,$E$25)+SUMIFS('2-3. Travel Costs&amp;Costs of Stay'!N:N,'2-3. Travel Costs&amp;Costs of Stay'!C:C,B29,'2-3. Travel Costs&amp;Costs of Stay'!B:B,$E$25)+SUMIFS('4. Equipment Costs'!H:H,'4. Equipment Costs'!C:C,B29,'4. Equipment Costs'!B:B,$E$25)+SUMIFS('5. Subcontracting Costs'!H:H,'5. Subcontracting Costs'!C:C,B29,'5. Subcontracting Costs'!B:B,$E$25)</f>
        <v>0</v>
      </c>
      <c r="F29" s="54">
        <f>SUMIFS('1. Staff costs'!S:S,'1. Staff costs'!C:C,B29,'1. Staff costs'!B:B,$B$8)+SUMIFS('2-3. Travel Costs&amp;Costs of Stay'!N:N,'2-3. Travel Costs&amp;Costs of Stay'!C:C,B29,'2-3. Travel Costs&amp;Costs of Stay'!B:B,$B$8)+SUMIFS('4. Equipment Costs'!H:H,'4. Equipment Costs'!C:C,B29,'4. Equipment Costs'!B:B,$B$8)+SUMIFS('5. Subcontracting Costs'!H:H,'5. Subcontracting Costs'!C:C,B29,'5. Subcontracting Costs'!B:B,$B$8)</f>
        <v>0</v>
      </c>
      <c r="G29" s="54">
        <f>SUMIFS('1. Staff costs'!S:S,'1. Staff costs'!C:C,B29,'1. Staff costs'!B:B,$G$25)+SUMIFS('2-3. Travel Costs&amp;Costs of Stay'!N:N,'2-3. Travel Costs&amp;Costs of Stay'!C:C,B29,'2-3. Travel Costs&amp;Costs of Stay'!B:B,$G$25)+SUMIFS('4. Equipment Costs'!H:H,'4. Equipment Costs'!C:C,B29,'4. Equipment Costs'!B:B,$G$25)+SUMIFS('5. Subcontracting Costs'!H:H,'5. Subcontracting Costs'!C:C,B29,'5. Subcontracting Costs'!B:B,$G$25)</f>
        <v>0</v>
      </c>
      <c r="H29" s="61">
        <f>SUMIF('B. Special Mob Strand - Student'!B:B,B29,'B. Special Mob Strand - Student'!N:N)+SUMIF('B. Special Mob Strand - Staff'!B:B,B29,'B. Special Mob Strand - Staff'!N:N)</f>
        <v>0</v>
      </c>
      <c r="I29" s="64">
        <f t="shared" si="4"/>
        <v>0</v>
      </c>
    </row>
    <row r="30" spans="2:9" x14ac:dyDescent="0.25">
      <c r="B30" s="15" t="s">
        <v>13</v>
      </c>
      <c r="C30" s="54">
        <f>SUMIFS('1. Staff costs'!S:S,'1. Staff costs'!C:C,B30,'1. Staff costs'!B:B,$C$25)+SUMIFS('2-3. Travel Costs&amp;Costs of Stay'!N:N,'2-3. Travel Costs&amp;Costs of Stay'!C:C,B30,'2-3. Travel Costs&amp;Costs of Stay'!B:B,$C$25)+SUMIFS('4. Equipment Costs'!H:H,'4. Equipment Costs'!C:C,B30,'4. Equipment Costs'!B:B,$C$25)+SUMIFS('5. Subcontracting Costs'!H:H,'5. Subcontracting Costs'!C:C,B30,'5. Subcontracting Costs'!B:B,$C$25)</f>
        <v>0</v>
      </c>
      <c r="D30" s="54">
        <f>SUMIFS('1. Staff costs'!S:S,'1. Staff costs'!C:C,B30,'1. Staff costs'!B:B,$D$25)+SUMIFS('2-3. Travel Costs&amp;Costs of Stay'!N:N,'2-3. Travel Costs&amp;Costs of Stay'!C:C,B30,'2-3. Travel Costs&amp;Costs of Stay'!B:B,$D$25)+SUMIFS('4. Equipment Costs'!H:H,'4. Equipment Costs'!C:C,B30,'4. Equipment Costs'!B:B,$D$25)+SUMIFS('5. Subcontracting Costs'!H:H,'5. Subcontracting Costs'!C:C,B30,'5. Subcontracting Costs'!B:B,$D$25)</f>
        <v>0</v>
      </c>
      <c r="E30" s="54">
        <f>SUMIFS('1. Staff costs'!S:S,'1. Staff costs'!C:C,B30,'1. Staff costs'!B:B,$E$25)+SUMIFS('2-3. Travel Costs&amp;Costs of Stay'!N:N,'2-3. Travel Costs&amp;Costs of Stay'!C:C,B30,'2-3. Travel Costs&amp;Costs of Stay'!B:B,$E$25)+SUMIFS('4. Equipment Costs'!H:H,'4. Equipment Costs'!C:C,B30,'4. Equipment Costs'!B:B,$E$25)+SUMIFS('5. Subcontracting Costs'!H:H,'5. Subcontracting Costs'!C:C,B30,'5. Subcontracting Costs'!B:B,$E$25)</f>
        <v>0</v>
      </c>
      <c r="F30" s="54">
        <f>SUMIFS('1. Staff costs'!S:S,'1. Staff costs'!C:C,B30,'1. Staff costs'!B:B,$B$8)+SUMIFS('2-3. Travel Costs&amp;Costs of Stay'!N:N,'2-3. Travel Costs&amp;Costs of Stay'!C:C,B30,'2-3. Travel Costs&amp;Costs of Stay'!B:B,$B$8)+SUMIFS('4. Equipment Costs'!H:H,'4. Equipment Costs'!C:C,B30,'4. Equipment Costs'!B:B,$B$8)+SUMIFS('5. Subcontracting Costs'!H:H,'5. Subcontracting Costs'!C:C,B30,'5. Subcontracting Costs'!B:B,$B$8)</f>
        <v>0</v>
      </c>
      <c r="G30" s="54">
        <f>SUMIFS('1. Staff costs'!S:S,'1. Staff costs'!C:C,B30,'1. Staff costs'!B:B,$G$25)+SUMIFS('2-3. Travel Costs&amp;Costs of Stay'!N:N,'2-3. Travel Costs&amp;Costs of Stay'!C:C,B30,'2-3. Travel Costs&amp;Costs of Stay'!B:B,$G$25)+SUMIFS('4. Equipment Costs'!H:H,'4. Equipment Costs'!C:C,B30,'4. Equipment Costs'!B:B,$G$25)+SUMIFS('5. Subcontracting Costs'!H:H,'5. Subcontracting Costs'!C:C,B30,'5. Subcontracting Costs'!B:B,$G$25)</f>
        <v>0</v>
      </c>
      <c r="H30" s="61">
        <f>SUMIF('B. Special Mob Strand - Student'!B:B,B30,'B. Special Mob Strand - Student'!N:N)+SUMIF('B. Special Mob Strand - Staff'!B:B,B30,'B. Special Mob Strand - Staff'!N:N)</f>
        <v>0</v>
      </c>
      <c r="I30" s="64">
        <f t="shared" si="4"/>
        <v>0</v>
      </c>
    </row>
    <row r="31" spans="2:9" x14ac:dyDescent="0.25">
      <c r="B31" s="15" t="s">
        <v>14</v>
      </c>
      <c r="C31" s="54">
        <f>SUMIFS('1. Staff costs'!S:S,'1. Staff costs'!C:C,B31,'1. Staff costs'!B:B,$C$25)+SUMIFS('2-3. Travel Costs&amp;Costs of Stay'!N:N,'2-3. Travel Costs&amp;Costs of Stay'!C:C,B31,'2-3. Travel Costs&amp;Costs of Stay'!B:B,$C$25)+SUMIFS('4. Equipment Costs'!H:H,'4. Equipment Costs'!C:C,B31,'4. Equipment Costs'!B:B,$C$25)+SUMIFS('5. Subcontracting Costs'!H:H,'5. Subcontracting Costs'!C:C,B31,'5. Subcontracting Costs'!B:B,$C$25)</f>
        <v>0</v>
      </c>
      <c r="D31" s="54">
        <f>SUMIFS('1. Staff costs'!S:S,'1. Staff costs'!C:C,B31,'1. Staff costs'!B:B,$D$25)+SUMIFS('2-3. Travel Costs&amp;Costs of Stay'!N:N,'2-3. Travel Costs&amp;Costs of Stay'!C:C,B31,'2-3. Travel Costs&amp;Costs of Stay'!B:B,$D$25)+SUMIFS('4. Equipment Costs'!H:H,'4. Equipment Costs'!C:C,B31,'4. Equipment Costs'!B:B,$D$25)+SUMIFS('5. Subcontracting Costs'!H:H,'5. Subcontracting Costs'!C:C,B31,'5. Subcontracting Costs'!B:B,$D$25)</f>
        <v>0</v>
      </c>
      <c r="E31" s="54">
        <f>SUMIFS('1. Staff costs'!S:S,'1. Staff costs'!C:C,B31,'1. Staff costs'!B:B,$E$25)+SUMIFS('2-3. Travel Costs&amp;Costs of Stay'!N:N,'2-3. Travel Costs&amp;Costs of Stay'!C:C,B31,'2-3. Travel Costs&amp;Costs of Stay'!B:B,$E$25)+SUMIFS('4. Equipment Costs'!H:H,'4. Equipment Costs'!C:C,B31,'4. Equipment Costs'!B:B,$E$25)+SUMIFS('5. Subcontracting Costs'!H:H,'5. Subcontracting Costs'!C:C,B31,'5. Subcontracting Costs'!B:B,$E$25)</f>
        <v>0</v>
      </c>
      <c r="F31" s="54">
        <f>SUMIFS('1. Staff costs'!S:S,'1. Staff costs'!C:C,B31,'1. Staff costs'!B:B,$B$8)+SUMIFS('2-3. Travel Costs&amp;Costs of Stay'!N:N,'2-3. Travel Costs&amp;Costs of Stay'!C:C,B31,'2-3. Travel Costs&amp;Costs of Stay'!B:B,$B$8)+SUMIFS('4. Equipment Costs'!H:H,'4. Equipment Costs'!C:C,B31,'4. Equipment Costs'!B:B,$B$8)+SUMIFS('5. Subcontracting Costs'!H:H,'5. Subcontracting Costs'!C:C,B31,'5. Subcontracting Costs'!B:B,$B$8)</f>
        <v>0</v>
      </c>
      <c r="G31" s="54">
        <f>SUMIFS('1. Staff costs'!S:S,'1. Staff costs'!C:C,B31,'1. Staff costs'!B:B,$G$25)+SUMIFS('2-3. Travel Costs&amp;Costs of Stay'!N:N,'2-3. Travel Costs&amp;Costs of Stay'!C:C,B31,'2-3. Travel Costs&amp;Costs of Stay'!B:B,$G$25)+SUMIFS('4. Equipment Costs'!H:H,'4. Equipment Costs'!C:C,B31,'4. Equipment Costs'!B:B,$G$25)+SUMIFS('5. Subcontracting Costs'!H:H,'5. Subcontracting Costs'!C:C,B31,'5. Subcontracting Costs'!B:B,$G$25)</f>
        <v>0</v>
      </c>
      <c r="H31" s="61">
        <f>SUMIF('B. Special Mob Strand - Student'!B:B,B31,'B. Special Mob Strand - Student'!N:N)+SUMIF('B. Special Mob Strand - Staff'!B:B,B31,'B. Special Mob Strand - Staff'!N:N)</f>
        <v>0</v>
      </c>
      <c r="I31" s="64">
        <f t="shared" si="4"/>
        <v>0</v>
      </c>
    </row>
    <row r="32" spans="2:9" x14ac:dyDescent="0.25">
      <c r="B32" s="15" t="s">
        <v>15</v>
      </c>
      <c r="C32" s="54">
        <f>SUMIFS('1. Staff costs'!S:S,'1. Staff costs'!C:C,B32,'1. Staff costs'!B:B,$C$25)+SUMIFS('2-3. Travel Costs&amp;Costs of Stay'!N:N,'2-3. Travel Costs&amp;Costs of Stay'!C:C,B32,'2-3. Travel Costs&amp;Costs of Stay'!B:B,$C$25)+SUMIFS('4. Equipment Costs'!H:H,'4. Equipment Costs'!C:C,B32,'4. Equipment Costs'!B:B,$C$25)+SUMIFS('5. Subcontracting Costs'!H:H,'5. Subcontracting Costs'!C:C,B32,'5. Subcontracting Costs'!B:B,$C$25)</f>
        <v>0</v>
      </c>
      <c r="D32" s="54">
        <f>SUMIFS('1. Staff costs'!S:S,'1. Staff costs'!C:C,B32,'1. Staff costs'!B:B,$D$25)+SUMIFS('2-3. Travel Costs&amp;Costs of Stay'!N:N,'2-3. Travel Costs&amp;Costs of Stay'!C:C,B32,'2-3. Travel Costs&amp;Costs of Stay'!B:B,$D$25)+SUMIFS('4. Equipment Costs'!H:H,'4. Equipment Costs'!C:C,B32,'4. Equipment Costs'!B:B,$D$25)+SUMIFS('5. Subcontracting Costs'!H:H,'5. Subcontracting Costs'!C:C,B32,'5. Subcontracting Costs'!B:B,$D$25)</f>
        <v>0</v>
      </c>
      <c r="E32" s="54">
        <f>SUMIFS('1. Staff costs'!S:S,'1. Staff costs'!C:C,B32,'1. Staff costs'!B:B,$E$25)+SUMIFS('2-3. Travel Costs&amp;Costs of Stay'!N:N,'2-3. Travel Costs&amp;Costs of Stay'!C:C,B32,'2-3. Travel Costs&amp;Costs of Stay'!B:B,$E$25)+SUMIFS('4. Equipment Costs'!H:H,'4. Equipment Costs'!C:C,B32,'4. Equipment Costs'!B:B,$E$25)+SUMIFS('5. Subcontracting Costs'!H:H,'5. Subcontracting Costs'!C:C,B32,'5. Subcontracting Costs'!B:B,$E$25)</f>
        <v>0</v>
      </c>
      <c r="F32" s="54">
        <f>SUMIFS('1. Staff costs'!S:S,'1. Staff costs'!C:C,B32,'1. Staff costs'!B:B,$B$8)+SUMIFS('2-3. Travel Costs&amp;Costs of Stay'!N:N,'2-3. Travel Costs&amp;Costs of Stay'!C:C,B32,'2-3. Travel Costs&amp;Costs of Stay'!B:B,$B$8)+SUMIFS('4. Equipment Costs'!H:H,'4. Equipment Costs'!C:C,B32,'4. Equipment Costs'!B:B,$B$8)+SUMIFS('5. Subcontracting Costs'!H:H,'5. Subcontracting Costs'!C:C,B32,'5. Subcontracting Costs'!B:B,$B$8)</f>
        <v>0</v>
      </c>
      <c r="G32" s="54">
        <f>SUMIFS('1. Staff costs'!S:S,'1. Staff costs'!C:C,B32,'1. Staff costs'!B:B,$G$25)+SUMIFS('2-3. Travel Costs&amp;Costs of Stay'!N:N,'2-3. Travel Costs&amp;Costs of Stay'!C:C,B32,'2-3. Travel Costs&amp;Costs of Stay'!B:B,$G$25)+SUMIFS('4. Equipment Costs'!H:H,'4. Equipment Costs'!C:C,B32,'4. Equipment Costs'!B:B,$G$25)+SUMIFS('5. Subcontracting Costs'!H:H,'5. Subcontracting Costs'!C:C,B32,'5. Subcontracting Costs'!B:B,$G$25)</f>
        <v>0</v>
      </c>
      <c r="H32" s="61">
        <f>SUMIF('B. Special Mob Strand - Student'!B:B,B32,'B. Special Mob Strand - Student'!N:N)+SUMIF('B. Special Mob Strand - Staff'!B:B,B32,'B. Special Mob Strand - Staff'!N:N)</f>
        <v>0</v>
      </c>
      <c r="I32" s="64">
        <f t="shared" si="4"/>
        <v>0</v>
      </c>
    </row>
    <row r="33" spans="2:9" x14ac:dyDescent="0.25">
      <c r="B33" s="15" t="s">
        <v>16</v>
      </c>
      <c r="C33" s="54">
        <f>SUMIFS('1. Staff costs'!S:S,'1. Staff costs'!C:C,B33,'1. Staff costs'!B:B,$C$25)+SUMIFS('2-3. Travel Costs&amp;Costs of Stay'!N:N,'2-3. Travel Costs&amp;Costs of Stay'!C:C,B33,'2-3. Travel Costs&amp;Costs of Stay'!B:B,$C$25)+SUMIFS('4. Equipment Costs'!H:H,'4. Equipment Costs'!C:C,B33,'4. Equipment Costs'!B:B,$C$25)+SUMIFS('5. Subcontracting Costs'!H:H,'5. Subcontracting Costs'!C:C,B33,'5. Subcontracting Costs'!B:B,$C$25)</f>
        <v>0</v>
      </c>
      <c r="D33" s="54">
        <f>SUMIFS('1. Staff costs'!S:S,'1. Staff costs'!C:C,B33,'1. Staff costs'!B:B,$D$25)+SUMIFS('2-3. Travel Costs&amp;Costs of Stay'!N:N,'2-3. Travel Costs&amp;Costs of Stay'!C:C,B33,'2-3. Travel Costs&amp;Costs of Stay'!B:B,$D$25)+SUMIFS('4. Equipment Costs'!H:H,'4. Equipment Costs'!C:C,B33,'4. Equipment Costs'!B:B,$D$25)+SUMIFS('5. Subcontracting Costs'!H:H,'5. Subcontracting Costs'!C:C,B33,'5. Subcontracting Costs'!B:B,$D$25)</f>
        <v>0</v>
      </c>
      <c r="E33" s="54">
        <f>SUMIFS('1. Staff costs'!S:S,'1. Staff costs'!C:C,B33,'1. Staff costs'!B:B,$E$25)+SUMIFS('2-3. Travel Costs&amp;Costs of Stay'!N:N,'2-3. Travel Costs&amp;Costs of Stay'!C:C,B33,'2-3. Travel Costs&amp;Costs of Stay'!B:B,$E$25)+SUMIFS('4. Equipment Costs'!H:H,'4. Equipment Costs'!C:C,B33,'4. Equipment Costs'!B:B,$E$25)+SUMIFS('5. Subcontracting Costs'!H:H,'5. Subcontracting Costs'!C:C,B33,'5. Subcontracting Costs'!B:B,$E$25)</f>
        <v>0</v>
      </c>
      <c r="F33" s="54">
        <f>SUMIFS('1. Staff costs'!S:S,'1. Staff costs'!C:C,B33,'1. Staff costs'!B:B,$B$8)+SUMIFS('2-3. Travel Costs&amp;Costs of Stay'!N:N,'2-3. Travel Costs&amp;Costs of Stay'!C:C,B33,'2-3. Travel Costs&amp;Costs of Stay'!B:B,$B$8)+SUMIFS('4. Equipment Costs'!H:H,'4. Equipment Costs'!C:C,B33,'4. Equipment Costs'!B:B,$B$8)+SUMIFS('5. Subcontracting Costs'!H:H,'5. Subcontracting Costs'!C:C,B33,'5. Subcontracting Costs'!B:B,$B$8)</f>
        <v>0</v>
      </c>
      <c r="G33" s="54">
        <f>SUMIFS('1. Staff costs'!S:S,'1. Staff costs'!C:C,B33,'1. Staff costs'!B:B,$G$25)+SUMIFS('2-3. Travel Costs&amp;Costs of Stay'!N:N,'2-3. Travel Costs&amp;Costs of Stay'!C:C,B33,'2-3. Travel Costs&amp;Costs of Stay'!B:B,$G$25)+SUMIFS('4. Equipment Costs'!H:H,'4. Equipment Costs'!C:C,B33,'4. Equipment Costs'!B:B,$G$25)+SUMIFS('5. Subcontracting Costs'!H:H,'5. Subcontracting Costs'!C:C,B33,'5. Subcontracting Costs'!B:B,$G$25)</f>
        <v>0</v>
      </c>
      <c r="H33" s="61">
        <f>SUMIF('B. Special Mob Strand - Student'!B:B,B33,'B. Special Mob Strand - Student'!N:N)+SUMIF('B. Special Mob Strand - Staff'!B:B,B33,'B. Special Mob Strand - Staff'!N:N)</f>
        <v>0</v>
      </c>
      <c r="I33" s="64">
        <f t="shared" si="4"/>
        <v>0</v>
      </c>
    </row>
    <row r="34" spans="2:9" x14ac:dyDescent="0.25">
      <c r="B34" s="15" t="s">
        <v>17</v>
      </c>
      <c r="C34" s="54">
        <f>SUMIFS('1. Staff costs'!S:S,'1. Staff costs'!C:C,B34,'1. Staff costs'!B:B,$C$25)+SUMIFS('2-3. Travel Costs&amp;Costs of Stay'!N:N,'2-3. Travel Costs&amp;Costs of Stay'!C:C,B34,'2-3. Travel Costs&amp;Costs of Stay'!B:B,$C$25)+SUMIFS('4. Equipment Costs'!H:H,'4. Equipment Costs'!C:C,B34,'4. Equipment Costs'!B:B,$C$25)+SUMIFS('5. Subcontracting Costs'!H:H,'5. Subcontracting Costs'!C:C,B34,'5. Subcontracting Costs'!B:B,$C$25)</f>
        <v>0</v>
      </c>
      <c r="D34" s="54">
        <f>SUMIFS('1. Staff costs'!S:S,'1. Staff costs'!C:C,B34,'1. Staff costs'!B:B,$D$25)+SUMIFS('2-3. Travel Costs&amp;Costs of Stay'!N:N,'2-3. Travel Costs&amp;Costs of Stay'!C:C,B34,'2-3. Travel Costs&amp;Costs of Stay'!B:B,$D$25)+SUMIFS('4. Equipment Costs'!H:H,'4. Equipment Costs'!C:C,B34,'4. Equipment Costs'!B:B,$D$25)+SUMIFS('5. Subcontracting Costs'!H:H,'5. Subcontracting Costs'!C:C,B34,'5. Subcontracting Costs'!B:B,$D$25)</f>
        <v>0</v>
      </c>
      <c r="E34" s="54">
        <f>SUMIFS('1. Staff costs'!S:S,'1. Staff costs'!C:C,B34,'1. Staff costs'!B:B,$E$25)+SUMIFS('2-3. Travel Costs&amp;Costs of Stay'!N:N,'2-3. Travel Costs&amp;Costs of Stay'!C:C,B34,'2-3. Travel Costs&amp;Costs of Stay'!B:B,$E$25)+SUMIFS('4. Equipment Costs'!H:H,'4. Equipment Costs'!C:C,B34,'4. Equipment Costs'!B:B,$E$25)+SUMIFS('5. Subcontracting Costs'!H:H,'5. Subcontracting Costs'!C:C,B34,'5. Subcontracting Costs'!B:B,$E$25)</f>
        <v>0</v>
      </c>
      <c r="F34" s="54">
        <f>SUMIFS('1. Staff costs'!S:S,'1. Staff costs'!C:C,B34,'1. Staff costs'!B:B,$B$8)+SUMIFS('2-3. Travel Costs&amp;Costs of Stay'!N:N,'2-3. Travel Costs&amp;Costs of Stay'!C:C,B34,'2-3. Travel Costs&amp;Costs of Stay'!B:B,$B$8)+SUMIFS('4. Equipment Costs'!H:H,'4. Equipment Costs'!C:C,B34,'4. Equipment Costs'!B:B,$B$8)+SUMIFS('5. Subcontracting Costs'!H:H,'5. Subcontracting Costs'!C:C,B34,'5. Subcontracting Costs'!B:B,$B$8)</f>
        <v>0</v>
      </c>
      <c r="G34" s="54">
        <f>SUMIFS('1. Staff costs'!S:S,'1. Staff costs'!C:C,B34,'1. Staff costs'!B:B,$G$25)+SUMIFS('2-3. Travel Costs&amp;Costs of Stay'!N:N,'2-3. Travel Costs&amp;Costs of Stay'!C:C,B34,'2-3. Travel Costs&amp;Costs of Stay'!B:B,$G$25)+SUMIFS('4. Equipment Costs'!H:H,'4. Equipment Costs'!C:C,B34,'4. Equipment Costs'!B:B,$G$25)+SUMIFS('5. Subcontracting Costs'!H:H,'5. Subcontracting Costs'!C:C,B34,'5. Subcontracting Costs'!B:B,$G$25)</f>
        <v>0</v>
      </c>
      <c r="H34" s="61">
        <f>SUMIF('B. Special Mob Strand - Student'!B:B,B34,'B. Special Mob Strand - Student'!N:N)+SUMIF('B. Special Mob Strand - Staff'!B:B,B34,'B. Special Mob Strand - Staff'!N:N)</f>
        <v>0</v>
      </c>
      <c r="I34" s="64">
        <f t="shared" si="4"/>
        <v>0</v>
      </c>
    </row>
    <row r="35" spans="2:9" x14ac:dyDescent="0.25">
      <c r="B35" s="15" t="s">
        <v>18</v>
      </c>
      <c r="C35" s="54">
        <f>SUMIFS('1. Staff costs'!S:S,'1. Staff costs'!C:C,B35,'1. Staff costs'!B:B,$C$25)+SUMIFS('2-3. Travel Costs&amp;Costs of Stay'!N:N,'2-3. Travel Costs&amp;Costs of Stay'!C:C,B35,'2-3. Travel Costs&amp;Costs of Stay'!B:B,$C$25)+SUMIFS('4. Equipment Costs'!H:H,'4. Equipment Costs'!C:C,B35,'4. Equipment Costs'!B:B,$C$25)+SUMIFS('5. Subcontracting Costs'!H:H,'5. Subcontracting Costs'!C:C,B35,'5. Subcontracting Costs'!B:B,$C$25)</f>
        <v>0</v>
      </c>
      <c r="D35" s="54">
        <f>SUMIFS('1. Staff costs'!S:S,'1. Staff costs'!C:C,B35,'1. Staff costs'!B:B,$D$25)+SUMIFS('2-3. Travel Costs&amp;Costs of Stay'!N:N,'2-3. Travel Costs&amp;Costs of Stay'!C:C,B35,'2-3. Travel Costs&amp;Costs of Stay'!B:B,$D$25)+SUMIFS('4. Equipment Costs'!H:H,'4. Equipment Costs'!C:C,B35,'4. Equipment Costs'!B:B,$D$25)+SUMIFS('5. Subcontracting Costs'!H:H,'5. Subcontracting Costs'!C:C,B35,'5. Subcontracting Costs'!B:B,$D$25)</f>
        <v>0</v>
      </c>
      <c r="E35" s="54">
        <f>SUMIFS('1. Staff costs'!S:S,'1. Staff costs'!C:C,B35,'1. Staff costs'!B:B,$E$25)+SUMIFS('2-3. Travel Costs&amp;Costs of Stay'!N:N,'2-3. Travel Costs&amp;Costs of Stay'!C:C,B35,'2-3. Travel Costs&amp;Costs of Stay'!B:B,$E$25)+SUMIFS('4. Equipment Costs'!H:H,'4. Equipment Costs'!C:C,B35,'4. Equipment Costs'!B:B,$E$25)+SUMIFS('5. Subcontracting Costs'!H:H,'5. Subcontracting Costs'!C:C,B35,'5. Subcontracting Costs'!B:B,$E$25)</f>
        <v>0</v>
      </c>
      <c r="F35" s="54">
        <f>SUMIFS('1. Staff costs'!S:S,'1. Staff costs'!C:C,B35,'1. Staff costs'!B:B,$B$8)+SUMIFS('2-3. Travel Costs&amp;Costs of Stay'!N:N,'2-3. Travel Costs&amp;Costs of Stay'!C:C,B35,'2-3. Travel Costs&amp;Costs of Stay'!B:B,$B$8)+SUMIFS('4. Equipment Costs'!H:H,'4. Equipment Costs'!C:C,B35,'4. Equipment Costs'!B:B,$B$8)+SUMIFS('5. Subcontracting Costs'!H:H,'5. Subcontracting Costs'!C:C,B35,'5. Subcontracting Costs'!B:B,$B$8)</f>
        <v>0</v>
      </c>
      <c r="G35" s="54">
        <f>SUMIFS('1. Staff costs'!S:S,'1. Staff costs'!C:C,B35,'1. Staff costs'!B:B,$G$25)+SUMIFS('2-3. Travel Costs&amp;Costs of Stay'!N:N,'2-3. Travel Costs&amp;Costs of Stay'!C:C,B35,'2-3. Travel Costs&amp;Costs of Stay'!B:B,$G$25)+SUMIFS('4. Equipment Costs'!H:H,'4. Equipment Costs'!C:C,B35,'4. Equipment Costs'!B:B,$G$25)+SUMIFS('5. Subcontracting Costs'!H:H,'5. Subcontracting Costs'!C:C,B35,'5. Subcontracting Costs'!B:B,$G$25)</f>
        <v>0</v>
      </c>
      <c r="H35" s="61">
        <f>SUMIF('B. Special Mob Strand - Student'!B:B,B35,'B. Special Mob Strand - Student'!N:N)+SUMIF('B. Special Mob Strand - Staff'!B:B,B35,'B. Special Mob Strand - Staff'!N:N)</f>
        <v>0</v>
      </c>
      <c r="I35" s="64">
        <f t="shared" si="4"/>
        <v>0</v>
      </c>
    </row>
    <row r="36" spans="2:9" x14ac:dyDescent="0.25">
      <c r="B36" s="15" t="s">
        <v>19</v>
      </c>
      <c r="C36" s="54">
        <f>SUMIFS('1. Staff costs'!S:S,'1. Staff costs'!C:C,B36,'1. Staff costs'!B:B,$C$25)+SUMIFS('2-3. Travel Costs&amp;Costs of Stay'!N:N,'2-3. Travel Costs&amp;Costs of Stay'!C:C,B36,'2-3. Travel Costs&amp;Costs of Stay'!B:B,$C$25)+SUMIFS('4. Equipment Costs'!H:H,'4. Equipment Costs'!C:C,B36,'4. Equipment Costs'!B:B,$C$25)+SUMIFS('5. Subcontracting Costs'!H:H,'5. Subcontracting Costs'!C:C,B36,'5. Subcontracting Costs'!B:B,$C$25)</f>
        <v>0</v>
      </c>
      <c r="D36" s="54">
        <f>SUMIFS('1. Staff costs'!S:S,'1. Staff costs'!C:C,B36,'1. Staff costs'!B:B,$D$25)+SUMIFS('2-3. Travel Costs&amp;Costs of Stay'!N:N,'2-3. Travel Costs&amp;Costs of Stay'!C:C,B36,'2-3. Travel Costs&amp;Costs of Stay'!B:B,$D$25)+SUMIFS('4. Equipment Costs'!H:H,'4. Equipment Costs'!C:C,B36,'4. Equipment Costs'!B:B,$D$25)+SUMIFS('5. Subcontracting Costs'!H:H,'5. Subcontracting Costs'!C:C,B36,'5. Subcontracting Costs'!B:B,$D$25)</f>
        <v>0</v>
      </c>
      <c r="E36" s="54">
        <f>SUMIFS('1. Staff costs'!S:S,'1. Staff costs'!C:C,B36,'1. Staff costs'!B:B,$E$25)+SUMIFS('2-3. Travel Costs&amp;Costs of Stay'!N:N,'2-3. Travel Costs&amp;Costs of Stay'!C:C,B36,'2-3. Travel Costs&amp;Costs of Stay'!B:B,$E$25)+SUMIFS('4. Equipment Costs'!H:H,'4. Equipment Costs'!C:C,B36,'4. Equipment Costs'!B:B,$E$25)+SUMIFS('5. Subcontracting Costs'!H:H,'5. Subcontracting Costs'!C:C,B36,'5. Subcontracting Costs'!B:B,$E$25)</f>
        <v>0</v>
      </c>
      <c r="F36" s="54">
        <f>SUMIFS('1. Staff costs'!S:S,'1. Staff costs'!C:C,B36,'1. Staff costs'!B:B,$B$8)+SUMIFS('2-3. Travel Costs&amp;Costs of Stay'!N:N,'2-3. Travel Costs&amp;Costs of Stay'!C:C,B36,'2-3. Travel Costs&amp;Costs of Stay'!B:B,$B$8)+SUMIFS('4. Equipment Costs'!H:H,'4. Equipment Costs'!C:C,B36,'4. Equipment Costs'!B:B,$B$8)+SUMIFS('5. Subcontracting Costs'!H:H,'5. Subcontracting Costs'!C:C,B36,'5. Subcontracting Costs'!B:B,$B$8)</f>
        <v>0</v>
      </c>
      <c r="G36" s="54">
        <f>SUMIFS('1. Staff costs'!S:S,'1. Staff costs'!C:C,B36,'1. Staff costs'!B:B,$G$25)+SUMIFS('2-3. Travel Costs&amp;Costs of Stay'!N:N,'2-3. Travel Costs&amp;Costs of Stay'!C:C,B36,'2-3. Travel Costs&amp;Costs of Stay'!B:B,$G$25)+SUMIFS('4. Equipment Costs'!H:H,'4. Equipment Costs'!C:C,B36,'4. Equipment Costs'!B:B,$G$25)+SUMIFS('5. Subcontracting Costs'!H:H,'5. Subcontracting Costs'!C:C,B36,'5. Subcontracting Costs'!B:B,$G$25)</f>
        <v>0</v>
      </c>
      <c r="H36" s="61">
        <f>SUMIF('B. Special Mob Strand - Student'!B:B,B36,'B. Special Mob Strand - Student'!N:N)+SUMIF('B. Special Mob Strand - Staff'!B:B,B36,'B. Special Mob Strand - Staff'!N:N)</f>
        <v>0</v>
      </c>
      <c r="I36" s="64">
        <f t="shared" si="4"/>
        <v>0</v>
      </c>
    </row>
    <row r="37" spans="2:9" x14ac:dyDescent="0.25">
      <c r="B37" s="15" t="s">
        <v>20</v>
      </c>
      <c r="C37" s="54">
        <f>SUMIFS('1. Staff costs'!S:S,'1. Staff costs'!C:C,B37,'1. Staff costs'!B:B,$C$25)+SUMIFS('2-3. Travel Costs&amp;Costs of Stay'!N:N,'2-3. Travel Costs&amp;Costs of Stay'!C:C,B37,'2-3. Travel Costs&amp;Costs of Stay'!B:B,$C$25)+SUMIFS('4. Equipment Costs'!H:H,'4. Equipment Costs'!C:C,B37,'4. Equipment Costs'!B:B,$C$25)+SUMIFS('5. Subcontracting Costs'!H:H,'5. Subcontracting Costs'!C:C,B37,'5. Subcontracting Costs'!B:B,$C$25)</f>
        <v>0</v>
      </c>
      <c r="D37" s="54">
        <f>SUMIFS('1. Staff costs'!S:S,'1. Staff costs'!C:C,B37,'1. Staff costs'!B:B,$D$25)+SUMIFS('2-3. Travel Costs&amp;Costs of Stay'!N:N,'2-3. Travel Costs&amp;Costs of Stay'!C:C,B37,'2-3. Travel Costs&amp;Costs of Stay'!B:B,$D$25)+SUMIFS('4. Equipment Costs'!H:H,'4. Equipment Costs'!C:C,B37,'4. Equipment Costs'!B:B,$D$25)+SUMIFS('5. Subcontracting Costs'!H:H,'5. Subcontracting Costs'!C:C,B37,'5. Subcontracting Costs'!B:B,$D$25)</f>
        <v>0</v>
      </c>
      <c r="E37" s="54">
        <f>SUMIFS('1. Staff costs'!S:S,'1. Staff costs'!C:C,B37,'1. Staff costs'!B:B,$E$25)+SUMIFS('2-3. Travel Costs&amp;Costs of Stay'!N:N,'2-3. Travel Costs&amp;Costs of Stay'!C:C,B37,'2-3. Travel Costs&amp;Costs of Stay'!B:B,$E$25)+SUMIFS('4. Equipment Costs'!H:H,'4. Equipment Costs'!C:C,B37,'4. Equipment Costs'!B:B,$E$25)+SUMIFS('5. Subcontracting Costs'!H:H,'5. Subcontracting Costs'!C:C,B37,'5. Subcontracting Costs'!B:B,$E$25)</f>
        <v>0</v>
      </c>
      <c r="F37" s="54">
        <f>SUMIFS('1. Staff costs'!S:S,'1. Staff costs'!C:C,B37,'1. Staff costs'!B:B,$B$8)+SUMIFS('2-3. Travel Costs&amp;Costs of Stay'!N:N,'2-3. Travel Costs&amp;Costs of Stay'!C:C,B37,'2-3. Travel Costs&amp;Costs of Stay'!B:B,$B$8)+SUMIFS('4. Equipment Costs'!H:H,'4. Equipment Costs'!C:C,B37,'4. Equipment Costs'!B:B,$B$8)+SUMIFS('5. Subcontracting Costs'!H:H,'5. Subcontracting Costs'!C:C,B37,'5. Subcontracting Costs'!B:B,$B$8)</f>
        <v>0</v>
      </c>
      <c r="G37" s="54">
        <f>SUMIFS('1. Staff costs'!S:S,'1. Staff costs'!C:C,B37,'1. Staff costs'!B:B,$G$25)+SUMIFS('2-3. Travel Costs&amp;Costs of Stay'!N:N,'2-3. Travel Costs&amp;Costs of Stay'!C:C,B37,'2-3. Travel Costs&amp;Costs of Stay'!B:B,$G$25)+SUMIFS('4. Equipment Costs'!H:H,'4. Equipment Costs'!C:C,B37,'4. Equipment Costs'!B:B,$G$25)+SUMIFS('5. Subcontracting Costs'!H:H,'5. Subcontracting Costs'!C:C,B37,'5. Subcontracting Costs'!B:B,$G$25)</f>
        <v>0</v>
      </c>
      <c r="H37" s="61">
        <f>SUMIF('B. Special Mob Strand - Student'!B:B,B37,'B. Special Mob Strand - Student'!N:N)+SUMIF('B. Special Mob Strand - Staff'!B:B,B37,'B. Special Mob Strand - Staff'!N:N)</f>
        <v>0</v>
      </c>
      <c r="I37" s="64">
        <f t="shared" si="4"/>
        <v>0</v>
      </c>
    </row>
    <row r="38" spans="2:9" x14ac:dyDescent="0.25">
      <c r="B38" s="15" t="s">
        <v>161</v>
      </c>
      <c r="C38" s="54">
        <f>SUMIFS('1. Staff costs'!S:S,'1. Staff costs'!C:C,B38,'1. Staff costs'!B:B,$C$25)+SUMIFS('2-3. Travel Costs&amp;Costs of Stay'!N:N,'2-3. Travel Costs&amp;Costs of Stay'!C:C,B38,'2-3. Travel Costs&amp;Costs of Stay'!B:B,$C$25)+SUMIFS('4. Equipment Costs'!H:H,'4. Equipment Costs'!C:C,B38,'4. Equipment Costs'!B:B,$C$25)+SUMIFS('5. Subcontracting Costs'!H:H,'5. Subcontracting Costs'!C:C,B38,'5. Subcontracting Costs'!B:B,$C$25)</f>
        <v>0</v>
      </c>
      <c r="D38" s="54">
        <f>SUMIFS('1. Staff costs'!S:S,'1. Staff costs'!C:C,B38,'1. Staff costs'!B:B,$D$25)+SUMIFS('2-3. Travel Costs&amp;Costs of Stay'!N:N,'2-3. Travel Costs&amp;Costs of Stay'!C:C,B38,'2-3. Travel Costs&amp;Costs of Stay'!B:B,$D$25)+SUMIFS('4. Equipment Costs'!H:H,'4. Equipment Costs'!C:C,B38,'4. Equipment Costs'!B:B,$D$25)+SUMIFS('5. Subcontracting Costs'!H:H,'5. Subcontracting Costs'!C:C,B38,'5. Subcontracting Costs'!B:B,$D$25)</f>
        <v>0</v>
      </c>
      <c r="E38" s="54">
        <f>SUMIFS('1. Staff costs'!S:S,'1. Staff costs'!C:C,B38,'1. Staff costs'!B:B,$E$25)+SUMIFS('2-3. Travel Costs&amp;Costs of Stay'!N:N,'2-3. Travel Costs&amp;Costs of Stay'!C:C,B38,'2-3. Travel Costs&amp;Costs of Stay'!B:B,$E$25)+SUMIFS('4. Equipment Costs'!H:H,'4. Equipment Costs'!C:C,B38,'4. Equipment Costs'!B:B,$E$25)+SUMIFS('5. Subcontracting Costs'!H:H,'5. Subcontracting Costs'!C:C,B38,'5. Subcontracting Costs'!B:B,$E$25)</f>
        <v>0</v>
      </c>
      <c r="F38" s="54">
        <f>SUMIFS('1. Staff costs'!S:S,'1. Staff costs'!C:C,B38,'1. Staff costs'!B:B,$B$8)+SUMIFS('2-3. Travel Costs&amp;Costs of Stay'!N:N,'2-3. Travel Costs&amp;Costs of Stay'!C:C,B38,'2-3. Travel Costs&amp;Costs of Stay'!B:B,$B$8)+SUMIFS('4. Equipment Costs'!H:H,'4. Equipment Costs'!C:C,B38,'4. Equipment Costs'!B:B,$B$8)+SUMIFS('5. Subcontracting Costs'!H:H,'5. Subcontracting Costs'!C:C,B38,'5. Subcontracting Costs'!B:B,$B$8)</f>
        <v>0</v>
      </c>
      <c r="G38" s="54">
        <f>SUMIFS('1. Staff costs'!S:S,'1. Staff costs'!C:C,B38,'1. Staff costs'!B:B,$G$25)+SUMIFS('2-3. Travel Costs&amp;Costs of Stay'!N:N,'2-3. Travel Costs&amp;Costs of Stay'!C:C,B38,'2-3. Travel Costs&amp;Costs of Stay'!B:B,$G$25)+SUMIFS('4. Equipment Costs'!H:H,'4. Equipment Costs'!C:C,B38,'4. Equipment Costs'!B:B,$G$25)+SUMIFS('5. Subcontracting Costs'!H:H,'5. Subcontracting Costs'!C:C,B38,'5. Subcontracting Costs'!B:B,$G$25)</f>
        <v>0</v>
      </c>
      <c r="H38" s="61">
        <f>SUMIF('B. Special Mob Strand - Student'!B:B,B38,'B. Special Mob Strand - Student'!N:N)+SUMIF('B. Special Mob Strand - Staff'!B:B,B38,'B. Special Mob Strand - Staff'!N:N)</f>
        <v>0</v>
      </c>
      <c r="I38" s="64">
        <f t="shared" si="4"/>
        <v>0</v>
      </c>
    </row>
    <row r="39" spans="2:9" x14ac:dyDescent="0.25">
      <c r="B39" s="15" t="s">
        <v>21</v>
      </c>
      <c r="C39" s="54">
        <f>SUMIFS('1. Staff costs'!S:S,'1. Staff costs'!C:C,B39,'1. Staff costs'!B:B,$C$25)+SUMIFS('2-3. Travel Costs&amp;Costs of Stay'!N:N,'2-3. Travel Costs&amp;Costs of Stay'!C:C,B39,'2-3. Travel Costs&amp;Costs of Stay'!B:B,$C$25)+SUMIFS('4. Equipment Costs'!H:H,'4. Equipment Costs'!C:C,B39,'4. Equipment Costs'!B:B,$C$25)+SUMIFS('5. Subcontracting Costs'!H:H,'5. Subcontracting Costs'!C:C,B39,'5. Subcontracting Costs'!B:B,$C$25)</f>
        <v>0</v>
      </c>
      <c r="D39" s="54">
        <f>SUMIFS('1. Staff costs'!S:S,'1. Staff costs'!C:C,B39,'1. Staff costs'!B:B,$D$25)+SUMIFS('2-3. Travel Costs&amp;Costs of Stay'!N:N,'2-3. Travel Costs&amp;Costs of Stay'!C:C,B39,'2-3. Travel Costs&amp;Costs of Stay'!B:B,$D$25)+SUMIFS('4. Equipment Costs'!H:H,'4. Equipment Costs'!C:C,B39,'4. Equipment Costs'!B:B,$D$25)+SUMIFS('5. Subcontracting Costs'!H:H,'5. Subcontracting Costs'!C:C,B39,'5. Subcontracting Costs'!B:B,$D$25)</f>
        <v>0</v>
      </c>
      <c r="E39" s="54">
        <f>SUMIFS('1. Staff costs'!S:S,'1. Staff costs'!C:C,B39,'1. Staff costs'!B:B,$E$25)+SUMIFS('2-3. Travel Costs&amp;Costs of Stay'!N:N,'2-3. Travel Costs&amp;Costs of Stay'!C:C,B39,'2-3. Travel Costs&amp;Costs of Stay'!B:B,$E$25)+SUMIFS('4. Equipment Costs'!H:H,'4. Equipment Costs'!C:C,B39,'4. Equipment Costs'!B:B,$E$25)+SUMIFS('5. Subcontracting Costs'!H:H,'5. Subcontracting Costs'!C:C,B39,'5. Subcontracting Costs'!B:B,$E$25)</f>
        <v>0</v>
      </c>
      <c r="F39" s="54">
        <f>SUMIFS('1. Staff costs'!S:S,'1. Staff costs'!C:C,B39,'1. Staff costs'!B:B,$B$8)+SUMIFS('2-3. Travel Costs&amp;Costs of Stay'!N:N,'2-3. Travel Costs&amp;Costs of Stay'!C:C,B39,'2-3. Travel Costs&amp;Costs of Stay'!B:B,$B$8)+SUMIFS('4. Equipment Costs'!H:H,'4. Equipment Costs'!C:C,B39,'4. Equipment Costs'!B:B,$B$8)+SUMIFS('5. Subcontracting Costs'!H:H,'5. Subcontracting Costs'!C:C,B39,'5. Subcontracting Costs'!B:B,$B$8)</f>
        <v>0</v>
      </c>
      <c r="G39" s="54">
        <f>SUMIFS('1. Staff costs'!S:S,'1. Staff costs'!C:C,B39,'1. Staff costs'!B:B,$G$25)+SUMIFS('2-3. Travel Costs&amp;Costs of Stay'!N:N,'2-3. Travel Costs&amp;Costs of Stay'!C:C,B39,'2-3. Travel Costs&amp;Costs of Stay'!B:B,$G$25)+SUMIFS('4. Equipment Costs'!H:H,'4. Equipment Costs'!C:C,B39,'4. Equipment Costs'!B:B,$G$25)+SUMIFS('5. Subcontracting Costs'!H:H,'5. Subcontracting Costs'!C:C,B39,'5. Subcontracting Costs'!B:B,$G$25)</f>
        <v>0</v>
      </c>
      <c r="H39" s="61">
        <f>SUMIF('B. Special Mob Strand - Student'!B:B,B39,'B. Special Mob Strand - Student'!N:N)+SUMIF('B. Special Mob Strand - Staff'!B:B,B39,'B. Special Mob Strand - Staff'!N:N)</f>
        <v>0</v>
      </c>
      <c r="I39" s="64">
        <f t="shared" si="4"/>
        <v>0</v>
      </c>
    </row>
    <row r="40" spans="2:9" x14ac:dyDescent="0.25">
      <c r="B40" s="15" t="s">
        <v>22</v>
      </c>
      <c r="C40" s="54">
        <f>SUMIFS('1. Staff costs'!S:S,'1. Staff costs'!C:C,B40,'1. Staff costs'!B:B,$C$25)+SUMIFS('2-3. Travel Costs&amp;Costs of Stay'!N:N,'2-3. Travel Costs&amp;Costs of Stay'!C:C,B40,'2-3. Travel Costs&amp;Costs of Stay'!B:B,$C$25)+SUMIFS('4. Equipment Costs'!H:H,'4. Equipment Costs'!C:C,B40,'4. Equipment Costs'!B:B,$C$25)+SUMIFS('5. Subcontracting Costs'!H:H,'5. Subcontracting Costs'!C:C,B40,'5. Subcontracting Costs'!B:B,$C$25)</f>
        <v>0</v>
      </c>
      <c r="D40" s="54">
        <f>SUMIFS('1. Staff costs'!S:S,'1. Staff costs'!C:C,B40,'1. Staff costs'!B:B,$D$25)+SUMIFS('2-3. Travel Costs&amp;Costs of Stay'!N:N,'2-3. Travel Costs&amp;Costs of Stay'!C:C,B40,'2-3. Travel Costs&amp;Costs of Stay'!B:B,$D$25)+SUMIFS('4. Equipment Costs'!H:H,'4. Equipment Costs'!C:C,B40,'4. Equipment Costs'!B:B,$D$25)+SUMIFS('5. Subcontracting Costs'!H:H,'5. Subcontracting Costs'!C:C,B40,'5. Subcontracting Costs'!B:B,$D$25)</f>
        <v>0</v>
      </c>
      <c r="E40" s="54">
        <f>SUMIFS('1. Staff costs'!S:S,'1. Staff costs'!C:C,B40,'1. Staff costs'!B:B,$E$25)+SUMIFS('2-3. Travel Costs&amp;Costs of Stay'!N:N,'2-3. Travel Costs&amp;Costs of Stay'!C:C,B40,'2-3. Travel Costs&amp;Costs of Stay'!B:B,$E$25)+SUMIFS('4. Equipment Costs'!H:H,'4. Equipment Costs'!C:C,B40,'4. Equipment Costs'!B:B,$E$25)+SUMIFS('5. Subcontracting Costs'!H:H,'5. Subcontracting Costs'!C:C,B40,'5. Subcontracting Costs'!B:B,$E$25)</f>
        <v>0</v>
      </c>
      <c r="F40" s="54">
        <f>SUMIFS('1. Staff costs'!S:S,'1. Staff costs'!C:C,B40,'1. Staff costs'!B:B,$B$8)+SUMIFS('2-3. Travel Costs&amp;Costs of Stay'!N:N,'2-3. Travel Costs&amp;Costs of Stay'!C:C,B40,'2-3. Travel Costs&amp;Costs of Stay'!B:B,$B$8)+SUMIFS('4. Equipment Costs'!H:H,'4. Equipment Costs'!C:C,B40,'4. Equipment Costs'!B:B,$B$8)+SUMIFS('5. Subcontracting Costs'!H:H,'5. Subcontracting Costs'!C:C,B40,'5. Subcontracting Costs'!B:B,$B$8)</f>
        <v>0</v>
      </c>
      <c r="G40" s="54">
        <f>SUMIFS('1. Staff costs'!S:S,'1. Staff costs'!C:C,B40,'1. Staff costs'!B:B,$G$25)+SUMIFS('2-3. Travel Costs&amp;Costs of Stay'!N:N,'2-3. Travel Costs&amp;Costs of Stay'!C:C,B40,'2-3. Travel Costs&amp;Costs of Stay'!B:B,$G$25)+SUMIFS('4. Equipment Costs'!H:H,'4. Equipment Costs'!C:C,B40,'4. Equipment Costs'!B:B,$G$25)+SUMIFS('5. Subcontracting Costs'!H:H,'5. Subcontracting Costs'!C:C,B40,'5. Subcontracting Costs'!B:B,$G$25)</f>
        <v>0</v>
      </c>
      <c r="H40" s="61">
        <f>SUMIF('B. Special Mob Strand - Student'!B:B,B40,'B. Special Mob Strand - Student'!N:N)+SUMIF('B. Special Mob Strand - Staff'!B:B,B40,'B. Special Mob Strand - Staff'!N:N)</f>
        <v>0</v>
      </c>
      <c r="I40" s="64">
        <f t="shared" si="4"/>
        <v>0</v>
      </c>
    </row>
    <row r="41" spans="2:9" x14ac:dyDescent="0.25">
      <c r="B41" s="15" t="s">
        <v>23</v>
      </c>
      <c r="C41" s="54">
        <f>SUMIFS('1. Staff costs'!S:S,'1. Staff costs'!C:C,B41,'1. Staff costs'!B:B,$C$25)+SUMIFS('2-3. Travel Costs&amp;Costs of Stay'!N:N,'2-3. Travel Costs&amp;Costs of Stay'!C:C,B41,'2-3. Travel Costs&amp;Costs of Stay'!B:B,$C$25)+SUMIFS('4. Equipment Costs'!H:H,'4. Equipment Costs'!C:C,B41,'4. Equipment Costs'!B:B,$C$25)+SUMIFS('5. Subcontracting Costs'!H:H,'5. Subcontracting Costs'!C:C,B41,'5. Subcontracting Costs'!B:B,$C$25)</f>
        <v>0</v>
      </c>
      <c r="D41" s="54">
        <f>SUMIFS('1. Staff costs'!S:S,'1. Staff costs'!C:C,B41,'1. Staff costs'!B:B,$D$25)+SUMIFS('2-3. Travel Costs&amp;Costs of Stay'!N:N,'2-3. Travel Costs&amp;Costs of Stay'!C:C,B41,'2-3. Travel Costs&amp;Costs of Stay'!B:B,$D$25)+SUMIFS('4. Equipment Costs'!H:H,'4. Equipment Costs'!C:C,B41,'4. Equipment Costs'!B:B,$D$25)+SUMIFS('5. Subcontracting Costs'!H:H,'5. Subcontracting Costs'!C:C,B41,'5. Subcontracting Costs'!B:B,$D$25)</f>
        <v>0</v>
      </c>
      <c r="E41" s="54">
        <f>SUMIFS('1. Staff costs'!S:S,'1. Staff costs'!C:C,B41,'1. Staff costs'!B:B,$E$25)+SUMIFS('2-3. Travel Costs&amp;Costs of Stay'!N:N,'2-3. Travel Costs&amp;Costs of Stay'!C:C,B41,'2-3. Travel Costs&amp;Costs of Stay'!B:B,$E$25)+SUMIFS('4. Equipment Costs'!H:H,'4. Equipment Costs'!C:C,B41,'4. Equipment Costs'!B:B,$E$25)+SUMIFS('5. Subcontracting Costs'!H:H,'5. Subcontracting Costs'!C:C,B41,'5. Subcontracting Costs'!B:B,$E$25)</f>
        <v>0</v>
      </c>
      <c r="F41" s="54">
        <f>SUMIFS('1. Staff costs'!S:S,'1. Staff costs'!C:C,B41,'1. Staff costs'!B:B,$B$8)+SUMIFS('2-3. Travel Costs&amp;Costs of Stay'!N:N,'2-3. Travel Costs&amp;Costs of Stay'!C:C,B41,'2-3. Travel Costs&amp;Costs of Stay'!B:B,$B$8)+SUMIFS('4. Equipment Costs'!H:H,'4. Equipment Costs'!C:C,B41,'4. Equipment Costs'!B:B,$B$8)+SUMIFS('5. Subcontracting Costs'!H:H,'5. Subcontracting Costs'!C:C,B41,'5. Subcontracting Costs'!B:B,$B$8)</f>
        <v>0</v>
      </c>
      <c r="G41" s="54">
        <f>SUMIFS('1. Staff costs'!S:S,'1. Staff costs'!C:C,B41,'1. Staff costs'!B:B,$G$25)+SUMIFS('2-3. Travel Costs&amp;Costs of Stay'!N:N,'2-3. Travel Costs&amp;Costs of Stay'!C:C,B41,'2-3. Travel Costs&amp;Costs of Stay'!B:B,$G$25)+SUMIFS('4. Equipment Costs'!H:H,'4. Equipment Costs'!C:C,B41,'4. Equipment Costs'!B:B,$G$25)+SUMIFS('5. Subcontracting Costs'!H:H,'5. Subcontracting Costs'!C:C,B41,'5. Subcontracting Costs'!B:B,$G$25)</f>
        <v>0</v>
      </c>
      <c r="H41" s="61">
        <f>SUMIF('B. Special Mob Strand - Student'!B:B,B41,'B. Special Mob Strand - Student'!N:N)+SUMIF('B. Special Mob Strand - Staff'!B:B,B41,'B. Special Mob Strand - Staff'!N:N)</f>
        <v>0</v>
      </c>
      <c r="I41" s="64">
        <f t="shared" si="4"/>
        <v>0</v>
      </c>
    </row>
    <row r="42" spans="2:9" x14ac:dyDescent="0.25">
      <c r="B42" s="15" t="s">
        <v>24</v>
      </c>
      <c r="C42" s="54">
        <f>SUMIFS('1. Staff costs'!S:S,'1. Staff costs'!C:C,B42,'1. Staff costs'!B:B,$C$25)+SUMIFS('2-3. Travel Costs&amp;Costs of Stay'!N:N,'2-3. Travel Costs&amp;Costs of Stay'!C:C,B42,'2-3. Travel Costs&amp;Costs of Stay'!B:B,$C$25)+SUMIFS('4. Equipment Costs'!H:H,'4. Equipment Costs'!C:C,B42,'4. Equipment Costs'!B:B,$C$25)+SUMIFS('5. Subcontracting Costs'!H:H,'5. Subcontracting Costs'!C:C,B42,'5. Subcontracting Costs'!B:B,$C$25)</f>
        <v>0</v>
      </c>
      <c r="D42" s="54">
        <f>SUMIFS('1. Staff costs'!S:S,'1. Staff costs'!C:C,B42,'1. Staff costs'!B:B,$D$25)+SUMIFS('2-3. Travel Costs&amp;Costs of Stay'!N:N,'2-3. Travel Costs&amp;Costs of Stay'!C:C,B42,'2-3. Travel Costs&amp;Costs of Stay'!B:B,$D$25)+SUMIFS('4. Equipment Costs'!H:H,'4. Equipment Costs'!C:C,B42,'4. Equipment Costs'!B:B,$D$25)+SUMIFS('5. Subcontracting Costs'!H:H,'5. Subcontracting Costs'!C:C,B42,'5. Subcontracting Costs'!B:B,$D$25)</f>
        <v>0</v>
      </c>
      <c r="E42" s="54">
        <f>SUMIFS('1. Staff costs'!S:S,'1. Staff costs'!C:C,B42,'1. Staff costs'!B:B,$E$25)+SUMIFS('2-3. Travel Costs&amp;Costs of Stay'!N:N,'2-3. Travel Costs&amp;Costs of Stay'!C:C,B42,'2-3. Travel Costs&amp;Costs of Stay'!B:B,$E$25)+SUMIFS('4. Equipment Costs'!H:H,'4. Equipment Costs'!C:C,B42,'4. Equipment Costs'!B:B,$E$25)+SUMIFS('5. Subcontracting Costs'!H:H,'5. Subcontracting Costs'!C:C,B42,'5. Subcontracting Costs'!B:B,$E$25)</f>
        <v>0</v>
      </c>
      <c r="F42" s="54">
        <f>SUMIFS('1. Staff costs'!S:S,'1. Staff costs'!C:C,B42,'1. Staff costs'!B:B,$B$8)+SUMIFS('2-3. Travel Costs&amp;Costs of Stay'!N:N,'2-3. Travel Costs&amp;Costs of Stay'!C:C,B42,'2-3. Travel Costs&amp;Costs of Stay'!B:B,$B$8)+SUMIFS('4. Equipment Costs'!H:H,'4. Equipment Costs'!C:C,B42,'4. Equipment Costs'!B:B,$B$8)+SUMIFS('5. Subcontracting Costs'!H:H,'5. Subcontracting Costs'!C:C,B42,'5. Subcontracting Costs'!B:B,$B$8)</f>
        <v>0</v>
      </c>
      <c r="G42" s="54">
        <f>SUMIFS('1. Staff costs'!S:S,'1. Staff costs'!C:C,B42,'1. Staff costs'!B:B,$G$25)+SUMIFS('2-3. Travel Costs&amp;Costs of Stay'!N:N,'2-3. Travel Costs&amp;Costs of Stay'!C:C,B42,'2-3. Travel Costs&amp;Costs of Stay'!B:B,$G$25)+SUMIFS('4. Equipment Costs'!H:H,'4. Equipment Costs'!C:C,B42,'4. Equipment Costs'!B:B,$G$25)+SUMIFS('5. Subcontracting Costs'!H:H,'5. Subcontracting Costs'!C:C,B42,'5. Subcontracting Costs'!B:B,$G$25)</f>
        <v>0</v>
      </c>
      <c r="H42" s="61">
        <f>SUMIF('B. Special Mob Strand - Student'!B:B,B42,'B. Special Mob Strand - Student'!N:N)+SUMIF('B. Special Mob Strand - Staff'!B:B,B42,'B. Special Mob Strand - Staff'!N:N)</f>
        <v>0</v>
      </c>
      <c r="I42" s="64">
        <f t="shared" si="4"/>
        <v>0</v>
      </c>
    </row>
    <row r="43" spans="2:9" x14ac:dyDescent="0.25">
      <c r="B43" s="15" t="s">
        <v>25</v>
      </c>
      <c r="C43" s="54">
        <f>SUMIFS('1. Staff costs'!S:S,'1. Staff costs'!C:C,B43,'1. Staff costs'!B:B,$C$25)+SUMIFS('2-3. Travel Costs&amp;Costs of Stay'!N:N,'2-3. Travel Costs&amp;Costs of Stay'!C:C,B43,'2-3. Travel Costs&amp;Costs of Stay'!B:B,$C$25)+SUMIFS('4. Equipment Costs'!H:H,'4. Equipment Costs'!C:C,B43,'4. Equipment Costs'!B:B,$C$25)+SUMIFS('5. Subcontracting Costs'!H:H,'5. Subcontracting Costs'!C:C,B43,'5. Subcontracting Costs'!B:B,$C$25)</f>
        <v>0</v>
      </c>
      <c r="D43" s="54">
        <f>SUMIFS('1. Staff costs'!S:S,'1. Staff costs'!C:C,B43,'1. Staff costs'!B:B,$D$25)+SUMIFS('2-3. Travel Costs&amp;Costs of Stay'!N:N,'2-3. Travel Costs&amp;Costs of Stay'!C:C,B43,'2-3. Travel Costs&amp;Costs of Stay'!B:B,$D$25)+SUMIFS('4. Equipment Costs'!H:H,'4. Equipment Costs'!C:C,B43,'4. Equipment Costs'!B:B,$D$25)+SUMIFS('5. Subcontracting Costs'!H:H,'5. Subcontracting Costs'!C:C,B43,'5. Subcontracting Costs'!B:B,$D$25)</f>
        <v>0</v>
      </c>
      <c r="E43" s="54">
        <f>SUMIFS('1. Staff costs'!S:S,'1. Staff costs'!C:C,B43,'1. Staff costs'!B:B,$E$25)+SUMIFS('2-3. Travel Costs&amp;Costs of Stay'!N:N,'2-3. Travel Costs&amp;Costs of Stay'!C:C,B43,'2-3. Travel Costs&amp;Costs of Stay'!B:B,$E$25)+SUMIFS('4. Equipment Costs'!H:H,'4. Equipment Costs'!C:C,B43,'4. Equipment Costs'!B:B,$E$25)+SUMIFS('5. Subcontracting Costs'!H:H,'5. Subcontracting Costs'!C:C,B43,'5. Subcontracting Costs'!B:B,$E$25)</f>
        <v>0</v>
      </c>
      <c r="F43" s="54">
        <f>SUMIFS('1. Staff costs'!S:S,'1. Staff costs'!C:C,B43,'1. Staff costs'!B:B,$B$8)+SUMIFS('2-3. Travel Costs&amp;Costs of Stay'!N:N,'2-3. Travel Costs&amp;Costs of Stay'!C:C,B43,'2-3. Travel Costs&amp;Costs of Stay'!B:B,$B$8)+SUMIFS('4. Equipment Costs'!H:H,'4. Equipment Costs'!C:C,B43,'4. Equipment Costs'!B:B,$B$8)+SUMIFS('5. Subcontracting Costs'!H:H,'5. Subcontracting Costs'!C:C,B43,'5. Subcontracting Costs'!B:B,$B$8)</f>
        <v>0</v>
      </c>
      <c r="G43" s="54">
        <f>SUMIFS('1. Staff costs'!S:S,'1. Staff costs'!C:C,B43,'1. Staff costs'!B:B,$G$25)+SUMIFS('2-3. Travel Costs&amp;Costs of Stay'!N:N,'2-3. Travel Costs&amp;Costs of Stay'!C:C,B43,'2-3. Travel Costs&amp;Costs of Stay'!B:B,$G$25)+SUMIFS('4. Equipment Costs'!H:H,'4. Equipment Costs'!C:C,B43,'4. Equipment Costs'!B:B,$G$25)+SUMIFS('5. Subcontracting Costs'!H:H,'5. Subcontracting Costs'!C:C,B43,'5. Subcontracting Costs'!B:B,$G$25)</f>
        <v>0</v>
      </c>
      <c r="H43" s="61">
        <f>SUMIF('B. Special Mob Strand - Student'!B:B,B43,'B. Special Mob Strand - Student'!N:N)+SUMIF('B. Special Mob Strand - Staff'!B:B,B43,'B. Special Mob Strand - Staff'!N:N)</f>
        <v>0</v>
      </c>
      <c r="I43" s="64">
        <f t="shared" si="4"/>
        <v>0</v>
      </c>
    </row>
    <row r="44" spans="2:9" x14ac:dyDescent="0.25">
      <c r="B44" s="15" t="s">
        <v>26</v>
      </c>
      <c r="C44" s="54">
        <f>SUMIFS('1. Staff costs'!S:S,'1. Staff costs'!C:C,B44,'1. Staff costs'!B:B,$C$25)+SUMIFS('2-3. Travel Costs&amp;Costs of Stay'!N:N,'2-3. Travel Costs&amp;Costs of Stay'!C:C,B44,'2-3. Travel Costs&amp;Costs of Stay'!B:B,$C$25)+SUMIFS('4. Equipment Costs'!H:H,'4. Equipment Costs'!C:C,B44,'4. Equipment Costs'!B:B,$C$25)+SUMIFS('5. Subcontracting Costs'!H:H,'5. Subcontracting Costs'!C:C,B44,'5. Subcontracting Costs'!B:B,$C$25)</f>
        <v>0</v>
      </c>
      <c r="D44" s="54">
        <f>SUMIFS('1. Staff costs'!S:S,'1. Staff costs'!C:C,B44,'1. Staff costs'!B:B,$D$25)+SUMIFS('2-3. Travel Costs&amp;Costs of Stay'!N:N,'2-3. Travel Costs&amp;Costs of Stay'!C:C,B44,'2-3. Travel Costs&amp;Costs of Stay'!B:B,$D$25)+SUMIFS('4. Equipment Costs'!H:H,'4. Equipment Costs'!C:C,B44,'4. Equipment Costs'!B:B,$D$25)+SUMIFS('5. Subcontracting Costs'!H:H,'5. Subcontracting Costs'!C:C,B44,'5. Subcontracting Costs'!B:B,$D$25)</f>
        <v>0</v>
      </c>
      <c r="E44" s="54">
        <f>SUMIFS('1. Staff costs'!S:S,'1. Staff costs'!C:C,B44,'1. Staff costs'!B:B,$E$25)+SUMIFS('2-3. Travel Costs&amp;Costs of Stay'!N:N,'2-3. Travel Costs&amp;Costs of Stay'!C:C,B44,'2-3. Travel Costs&amp;Costs of Stay'!B:B,$E$25)+SUMIFS('4. Equipment Costs'!H:H,'4. Equipment Costs'!C:C,B44,'4. Equipment Costs'!B:B,$E$25)+SUMIFS('5. Subcontracting Costs'!H:H,'5. Subcontracting Costs'!C:C,B44,'5. Subcontracting Costs'!B:B,$E$25)</f>
        <v>0</v>
      </c>
      <c r="F44" s="54">
        <f>SUMIFS('1. Staff costs'!S:S,'1. Staff costs'!C:C,B44,'1. Staff costs'!B:B,$B$8)+SUMIFS('2-3. Travel Costs&amp;Costs of Stay'!N:N,'2-3. Travel Costs&amp;Costs of Stay'!C:C,B44,'2-3. Travel Costs&amp;Costs of Stay'!B:B,$B$8)+SUMIFS('4. Equipment Costs'!H:H,'4. Equipment Costs'!C:C,B44,'4. Equipment Costs'!B:B,$B$8)+SUMIFS('5. Subcontracting Costs'!H:H,'5. Subcontracting Costs'!C:C,B44,'5. Subcontracting Costs'!B:B,$B$8)</f>
        <v>0</v>
      </c>
      <c r="G44" s="54">
        <f>SUMIFS('1. Staff costs'!S:S,'1. Staff costs'!C:C,B44,'1. Staff costs'!B:B,$G$25)+SUMIFS('2-3. Travel Costs&amp;Costs of Stay'!N:N,'2-3. Travel Costs&amp;Costs of Stay'!C:C,B44,'2-3. Travel Costs&amp;Costs of Stay'!B:B,$G$25)+SUMIFS('4. Equipment Costs'!H:H,'4. Equipment Costs'!C:C,B44,'4. Equipment Costs'!B:B,$G$25)+SUMIFS('5. Subcontracting Costs'!H:H,'5. Subcontracting Costs'!C:C,B44,'5. Subcontracting Costs'!B:B,$G$25)</f>
        <v>0</v>
      </c>
      <c r="H44" s="61">
        <f>SUMIF('B. Special Mob Strand - Student'!B:B,B44,'B. Special Mob Strand - Student'!N:N)+SUMIF('B. Special Mob Strand - Staff'!B:B,B44,'B. Special Mob Strand - Staff'!N:N)</f>
        <v>0</v>
      </c>
      <c r="I44" s="64">
        <f t="shared" si="4"/>
        <v>0</v>
      </c>
    </row>
    <row r="45" spans="2:9" x14ac:dyDescent="0.25">
      <c r="B45" s="15" t="s">
        <v>27</v>
      </c>
      <c r="C45" s="54">
        <f>SUMIFS('1. Staff costs'!S:S,'1. Staff costs'!C:C,B45,'1. Staff costs'!B:B,$C$25)+SUMIFS('2-3. Travel Costs&amp;Costs of Stay'!N:N,'2-3. Travel Costs&amp;Costs of Stay'!C:C,B45,'2-3. Travel Costs&amp;Costs of Stay'!B:B,$C$25)+SUMIFS('4. Equipment Costs'!H:H,'4. Equipment Costs'!C:C,B45,'4. Equipment Costs'!B:B,$C$25)+SUMIFS('5. Subcontracting Costs'!H:H,'5. Subcontracting Costs'!C:C,B45,'5. Subcontracting Costs'!B:B,$C$25)</f>
        <v>0</v>
      </c>
      <c r="D45" s="54">
        <f>SUMIFS('1. Staff costs'!S:S,'1. Staff costs'!C:C,B45,'1. Staff costs'!B:B,$D$25)+SUMIFS('2-3. Travel Costs&amp;Costs of Stay'!N:N,'2-3. Travel Costs&amp;Costs of Stay'!C:C,B45,'2-3. Travel Costs&amp;Costs of Stay'!B:B,$D$25)+SUMIFS('4. Equipment Costs'!H:H,'4. Equipment Costs'!C:C,B45,'4. Equipment Costs'!B:B,$D$25)+SUMIFS('5. Subcontracting Costs'!H:H,'5. Subcontracting Costs'!C:C,B45,'5. Subcontracting Costs'!B:B,$D$25)</f>
        <v>0</v>
      </c>
      <c r="E45" s="54">
        <f>SUMIFS('1. Staff costs'!S:S,'1. Staff costs'!C:C,B45,'1. Staff costs'!B:B,$E$25)+SUMIFS('2-3. Travel Costs&amp;Costs of Stay'!N:N,'2-3. Travel Costs&amp;Costs of Stay'!C:C,B45,'2-3. Travel Costs&amp;Costs of Stay'!B:B,$E$25)+SUMIFS('4. Equipment Costs'!H:H,'4. Equipment Costs'!C:C,B45,'4. Equipment Costs'!B:B,$E$25)+SUMIFS('5. Subcontracting Costs'!H:H,'5. Subcontracting Costs'!C:C,B45,'5. Subcontracting Costs'!B:B,$E$25)</f>
        <v>0</v>
      </c>
      <c r="F45" s="54">
        <f>SUMIFS('1. Staff costs'!S:S,'1. Staff costs'!C:C,B45,'1. Staff costs'!B:B,$B$8)+SUMIFS('2-3. Travel Costs&amp;Costs of Stay'!N:N,'2-3. Travel Costs&amp;Costs of Stay'!C:C,B45,'2-3. Travel Costs&amp;Costs of Stay'!B:B,$B$8)+SUMIFS('4. Equipment Costs'!H:H,'4. Equipment Costs'!C:C,B45,'4. Equipment Costs'!B:B,$B$8)+SUMIFS('5. Subcontracting Costs'!H:H,'5. Subcontracting Costs'!C:C,B45,'5. Subcontracting Costs'!B:B,$B$8)</f>
        <v>0</v>
      </c>
      <c r="G45" s="54">
        <f>SUMIFS('1. Staff costs'!S:S,'1. Staff costs'!C:C,B45,'1. Staff costs'!B:B,$G$25)+SUMIFS('2-3. Travel Costs&amp;Costs of Stay'!N:N,'2-3. Travel Costs&amp;Costs of Stay'!C:C,B45,'2-3. Travel Costs&amp;Costs of Stay'!B:B,$G$25)+SUMIFS('4. Equipment Costs'!H:H,'4. Equipment Costs'!C:C,B45,'4. Equipment Costs'!B:B,$G$25)+SUMIFS('5. Subcontracting Costs'!H:H,'5. Subcontracting Costs'!C:C,B45,'5. Subcontracting Costs'!B:B,$G$25)</f>
        <v>0</v>
      </c>
      <c r="H45" s="61">
        <f>SUMIF('B. Special Mob Strand - Student'!B:B,B45,'B. Special Mob Strand - Student'!N:N)+SUMIF('B. Special Mob Strand - Staff'!B:B,B45,'B. Special Mob Strand - Staff'!N:N)</f>
        <v>0</v>
      </c>
      <c r="I45" s="64">
        <f t="shared" si="4"/>
        <v>0</v>
      </c>
    </row>
    <row r="46" spans="2:9" x14ac:dyDescent="0.25">
      <c r="B46" s="15" t="s">
        <v>112</v>
      </c>
      <c r="C46" s="54">
        <f>SUMIFS('1. Staff costs'!S:S,'1. Staff costs'!C:C,B46,'1. Staff costs'!B:B,$C$25)+SUMIFS('2-3. Travel Costs&amp;Costs of Stay'!N:N,'2-3. Travel Costs&amp;Costs of Stay'!C:C,B46,'2-3. Travel Costs&amp;Costs of Stay'!B:B,$C$25)+SUMIFS('4. Equipment Costs'!H:H,'4. Equipment Costs'!C:C,B46,'4. Equipment Costs'!B:B,$C$25)+SUMIFS('5. Subcontracting Costs'!H:H,'5. Subcontracting Costs'!C:C,B46,'5. Subcontracting Costs'!B:B,$C$25)</f>
        <v>0</v>
      </c>
      <c r="D46" s="54">
        <f>SUMIFS('1. Staff costs'!S:S,'1. Staff costs'!C:C,B46,'1. Staff costs'!B:B,$D$25)+SUMIFS('2-3. Travel Costs&amp;Costs of Stay'!N:N,'2-3. Travel Costs&amp;Costs of Stay'!C:C,B46,'2-3. Travel Costs&amp;Costs of Stay'!B:B,$D$25)+SUMIFS('4. Equipment Costs'!H:H,'4. Equipment Costs'!C:C,B46,'4. Equipment Costs'!B:B,$D$25)+SUMIFS('5. Subcontracting Costs'!H:H,'5. Subcontracting Costs'!C:C,B46,'5. Subcontracting Costs'!B:B,$D$25)</f>
        <v>0</v>
      </c>
      <c r="E46" s="54">
        <f>SUMIFS('1. Staff costs'!S:S,'1. Staff costs'!C:C,B46,'1. Staff costs'!B:B,$E$25)+SUMIFS('2-3. Travel Costs&amp;Costs of Stay'!N:N,'2-3. Travel Costs&amp;Costs of Stay'!C:C,B46,'2-3. Travel Costs&amp;Costs of Stay'!B:B,$E$25)+SUMIFS('4. Equipment Costs'!H:H,'4. Equipment Costs'!C:C,B46,'4. Equipment Costs'!B:B,$E$25)+SUMIFS('5. Subcontracting Costs'!H:H,'5. Subcontracting Costs'!C:C,B46,'5. Subcontracting Costs'!B:B,$E$25)</f>
        <v>0</v>
      </c>
      <c r="F46" s="54">
        <f>SUMIFS('1. Staff costs'!S:S,'1. Staff costs'!C:C,B46,'1. Staff costs'!B:B,$B$8)+SUMIFS('2-3. Travel Costs&amp;Costs of Stay'!N:N,'2-3. Travel Costs&amp;Costs of Stay'!C:C,B46,'2-3. Travel Costs&amp;Costs of Stay'!B:B,$B$8)+SUMIFS('4. Equipment Costs'!H:H,'4. Equipment Costs'!C:C,B46,'4. Equipment Costs'!B:B,$B$8)+SUMIFS('5. Subcontracting Costs'!H:H,'5. Subcontracting Costs'!C:C,B46,'5. Subcontracting Costs'!B:B,$B$8)</f>
        <v>0</v>
      </c>
      <c r="G46" s="54">
        <f>SUMIFS('1. Staff costs'!S:S,'1. Staff costs'!C:C,B46,'1. Staff costs'!B:B,$G$25)+SUMIFS('2-3. Travel Costs&amp;Costs of Stay'!N:N,'2-3. Travel Costs&amp;Costs of Stay'!C:C,B46,'2-3. Travel Costs&amp;Costs of Stay'!B:B,$G$25)+SUMIFS('4. Equipment Costs'!H:H,'4. Equipment Costs'!C:C,B46,'4. Equipment Costs'!B:B,$G$25)+SUMIFS('5. Subcontracting Costs'!H:H,'5. Subcontracting Costs'!C:C,B46,'5. Subcontracting Costs'!B:B,$G$25)</f>
        <v>0</v>
      </c>
      <c r="H46" s="61">
        <f>SUMIF('B. Special Mob Strand - Student'!B:B,B46,'B. Special Mob Strand - Student'!N:N)+SUMIF('B. Special Mob Strand - Staff'!B:B,B46,'B. Special Mob Strand - Staff'!N:N)</f>
        <v>0</v>
      </c>
      <c r="I46" s="64">
        <f t="shared" si="4"/>
        <v>0</v>
      </c>
    </row>
    <row r="47" spans="2:9" x14ac:dyDescent="0.25">
      <c r="B47" s="15" t="s">
        <v>113</v>
      </c>
      <c r="C47" s="54">
        <f>SUMIFS('1. Staff costs'!S:S,'1. Staff costs'!C:C,B47,'1. Staff costs'!B:B,$C$25)+SUMIFS('2-3. Travel Costs&amp;Costs of Stay'!N:N,'2-3. Travel Costs&amp;Costs of Stay'!C:C,B47,'2-3. Travel Costs&amp;Costs of Stay'!B:B,$C$25)+SUMIFS('4. Equipment Costs'!H:H,'4. Equipment Costs'!C:C,B47,'4. Equipment Costs'!B:B,$C$25)+SUMIFS('5. Subcontracting Costs'!H:H,'5. Subcontracting Costs'!C:C,B47,'5. Subcontracting Costs'!B:B,$C$25)</f>
        <v>0</v>
      </c>
      <c r="D47" s="54">
        <f>SUMIFS('1. Staff costs'!S:S,'1. Staff costs'!C:C,B47,'1. Staff costs'!B:B,$D$25)+SUMIFS('2-3. Travel Costs&amp;Costs of Stay'!N:N,'2-3. Travel Costs&amp;Costs of Stay'!C:C,B47,'2-3. Travel Costs&amp;Costs of Stay'!B:B,$D$25)+SUMIFS('4. Equipment Costs'!H:H,'4. Equipment Costs'!C:C,B47,'4. Equipment Costs'!B:B,$D$25)+SUMIFS('5. Subcontracting Costs'!H:H,'5. Subcontracting Costs'!C:C,B47,'5. Subcontracting Costs'!B:B,$D$25)</f>
        <v>0</v>
      </c>
      <c r="E47" s="54">
        <f>SUMIFS('1. Staff costs'!S:S,'1. Staff costs'!C:C,B47,'1. Staff costs'!B:B,$E$25)+SUMIFS('2-3. Travel Costs&amp;Costs of Stay'!N:N,'2-3. Travel Costs&amp;Costs of Stay'!C:C,B47,'2-3. Travel Costs&amp;Costs of Stay'!B:B,$E$25)+SUMIFS('4. Equipment Costs'!H:H,'4. Equipment Costs'!C:C,B47,'4. Equipment Costs'!B:B,$E$25)+SUMIFS('5. Subcontracting Costs'!H:H,'5. Subcontracting Costs'!C:C,B47,'5. Subcontracting Costs'!B:B,$E$25)</f>
        <v>0</v>
      </c>
      <c r="F47" s="54">
        <f>SUMIFS('1. Staff costs'!S:S,'1. Staff costs'!C:C,B47,'1. Staff costs'!B:B,$B$8)+SUMIFS('2-3. Travel Costs&amp;Costs of Stay'!N:N,'2-3. Travel Costs&amp;Costs of Stay'!C:C,B47,'2-3. Travel Costs&amp;Costs of Stay'!B:B,$B$8)+SUMIFS('4. Equipment Costs'!H:H,'4. Equipment Costs'!C:C,B47,'4. Equipment Costs'!B:B,$B$8)+SUMIFS('5. Subcontracting Costs'!H:H,'5. Subcontracting Costs'!C:C,B47,'5. Subcontracting Costs'!B:B,$B$8)</f>
        <v>0</v>
      </c>
      <c r="G47" s="54">
        <f>SUMIFS('1. Staff costs'!S:S,'1. Staff costs'!C:C,B47,'1. Staff costs'!B:B,$G$25)+SUMIFS('2-3. Travel Costs&amp;Costs of Stay'!N:N,'2-3. Travel Costs&amp;Costs of Stay'!C:C,B47,'2-3. Travel Costs&amp;Costs of Stay'!B:B,$G$25)+SUMIFS('4. Equipment Costs'!H:H,'4. Equipment Costs'!C:C,B47,'4. Equipment Costs'!B:B,$G$25)+SUMIFS('5. Subcontracting Costs'!H:H,'5. Subcontracting Costs'!C:C,B47,'5. Subcontracting Costs'!B:B,$G$25)</f>
        <v>0</v>
      </c>
      <c r="H47" s="61">
        <f>SUMIF('B. Special Mob Strand - Student'!B:B,B47,'B. Special Mob Strand - Student'!N:N)+SUMIF('B. Special Mob Strand - Staff'!B:B,B47,'B. Special Mob Strand - Staff'!N:N)</f>
        <v>0</v>
      </c>
      <c r="I47" s="64">
        <f t="shared" si="4"/>
        <v>0</v>
      </c>
    </row>
    <row r="48" spans="2:9" x14ac:dyDescent="0.25">
      <c r="B48" s="15" t="s">
        <v>114</v>
      </c>
      <c r="C48" s="54">
        <f>SUMIFS('1. Staff costs'!S:S,'1. Staff costs'!C:C,B48,'1. Staff costs'!B:B,$C$25)+SUMIFS('2-3. Travel Costs&amp;Costs of Stay'!N:N,'2-3. Travel Costs&amp;Costs of Stay'!C:C,B48,'2-3. Travel Costs&amp;Costs of Stay'!B:B,$C$25)+SUMIFS('4. Equipment Costs'!H:H,'4. Equipment Costs'!C:C,B48,'4. Equipment Costs'!B:B,$C$25)+SUMIFS('5. Subcontracting Costs'!H:H,'5. Subcontracting Costs'!C:C,B48,'5. Subcontracting Costs'!B:B,$C$25)</f>
        <v>0</v>
      </c>
      <c r="D48" s="54">
        <f>SUMIFS('1. Staff costs'!S:S,'1. Staff costs'!C:C,B48,'1. Staff costs'!B:B,$D$25)+SUMIFS('2-3. Travel Costs&amp;Costs of Stay'!N:N,'2-3. Travel Costs&amp;Costs of Stay'!C:C,B48,'2-3. Travel Costs&amp;Costs of Stay'!B:B,$D$25)+SUMIFS('4. Equipment Costs'!H:H,'4. Equipment Costs'!C:C,B48,'4. Equipment Costs'!B:B,$D$25)+SUMIFS('5. Subcontracting Costs'!H:H,'5. Subcontracting Costs'!C:C,B48,'5. Subcontracting Costs'!B:B,$D$25)</f>
        <v>0</v>
      </c>
      <c r="E48" s="54">
        <f>SUMIFS('1. Staff costs'!S:S,'1. Staff costs'!C:C,B48,'1. Staff costs'!B:B,$E$25)+SUMIFS('2-3. Travel Costs&amp;Costs of Stay'!N:N,'2-3. Travel Costs&amp;Costs of Stay'!C:C,B48,'2-3. Travel Costs&amp;Costs of Stay'!B:B,$E$25)+SUMIFS('4. Equipment Costs'!H:H,'4. Equipment Costs'!C:C,B48,'4. Equipment Costs'!B:B,$E$25)+SUMIFS('5. Subcontracting Costs'!H:H,'5. Subcontracting Costs'!C:C,B48,'5. Subcontracting Costs'!B:B,$E$25)</f>
        <v>0</v>
      </c>
      <c r="F48" s="54">
        <f>SUMIFS('1. Staff costs'!S:S,'1. Staff costs'!C:C,B48,'1. Staff costs'!B:B,$B$8)+SUMIFS('2-3. Travel Costs&amp;Costs of Stay'!N:N,'2-3. Travel Costs&amp;Costs of Stay'!C:C,B48,'2-3. Travel Costs&amp;Costs of Stay'!B:B,$B$8)+SUMIFS('4. Equipment Costs'!H:H,'4. Equipment Costs'!C:C,B48,'4. Equipment Costs'!B:B,$B$8)+SUMIFS('5. Subcontracting Costs'!H:H,'5. Subcontracting Costs'!C:C,B48,'5. Subcontracting Costs'!B:B,$B$8)</f>
        <v>0</v>
      </c>
      <c r="G48" s="54">
        <f>SUMIFS('1. Staff costs'!S:S,'1. Staff costs'!C:C,B48,'1. Staff costs'!B:B,$G$25)+SUMIFS('2-3. Travel Costs&amp;Costs of Stay'!N:N,'2-3. Travel Costs&amp;Costs of Stay'!C:C,B48,'2-3. Travel Costs&amp;Costs of Stay'!B:B,$G$25)+SUMIFS('4. Equipment Costs'!H:H,'4. Equipment Costs'!C:C,B48,'4. Equipment Costs'!B:B,$G$25)+SUMIFS('5. Subcontracting Costs'!H:H,'5. Subcontracting Costs'!C:C,B48,'5. Subcontracting Costs'!B:B,$G$25)</f>
        <v>0</v>
      </c>
      <c r="H48" s="61">
        <f>SUMIF('B. Special Mob Strand - Student'!B:B,B48,'B. Special Mob Strand - Student'!N:N)+SUMIF('B. Special Mob Strand - Staff'!B:B,B48,'B. Special Mob Strand - Staff'!N:N)</f>
        <v>0</v>
      </c>
      <c r="I48" s="64">
        <f t="shared" si="4"/>
        <v>0</v>
      </c>
    </row>
    <row r="49" spans="2:9" x14ac:dyDescent="0.25">
      <c r="B49" s="15" t="s">
        <v>115</v>
      </c>
      <c r="C49" s="54">
        <f>SUMIFS('1. Staff costs'!S:S,'1. Staff costs'!C:C,B49,'1. Staff costs'!B:B,$C$25)+SUMIFS('2-3. Travel Costs&amp;Costs of Stay'!N:N,'2-3. Travel Costs&amp;Costs of Stay'!C:C,B49,'2-3. Travel Costs&amp;Costs of Stay'!B:B,$C$25)+SUMIFS('4. Equipment Costs'!H:H,'4. Equipment Costs'!C:C,B49,'4. Equipment Costs'!B:B,$C$25)+SUMIFS('5. Subcontracting Costs'!H:H,'5. Subcontracting Costs'!C:C,B49,'5. Subcontracting Costs'!B:B,$C$25)</f>
        <v>0</v>
      </c>
      <c r="D49" s="54">
        <f>SUMIFS('1. Staff costs'!S:S,'1. Staff costs'!C:C,B49,'1. Staff costs'!B:B,$D$25)+SUMIFS('2-3. Travel Costs&amp;Costs of Stay'!N:N,'2-3. Travel Costs&amp;Costs of Stay'!C:C,B49,'2-3. Travel Costs&amp;Costs of Stay'!B:B,$D$25)+SUMIFS('4. Equipment Costs'!H:H,'4. Equipment Costs'!C:C,B49,'4. Equipment Costs'!B:B,$D$25)+SUMIFS('5. Subcontracting Costs'!H:H,'5. Subcontracting Costs'!C:C,B49,'5. Subcontracting Costs'!B:B,$D$25)</f>
        <v>0</v>
      </c>
      <c r="E49" s="54">
        <f>SUMIFS('1. Staff costs'!S:S,'1. Staff costs'!C:C,B49,'1. Staff costs'!B:B,$E$25)+SUMIFS('2-3. Travel Costs&amp;Costs of Stay'!N:N,'2-3. Travel Costs&amp;Costs of Stay'!C:C,B49,'2-3. Travel Costs&amp;Costs of Stay'!B:B,$E$25)+SUMIFS('4. Equipment Costs'!H:H,'4. Equipment Costs'!C:C,B49,'4. Equipment Costs'!B:B,$E$25)+SUMIFS('5. Subcontracting Costs'!H:H,'5. Subcontracting Costs'!C:C,B49,'5. Subcontracting Costs'!B:B,$E$25)</f>
        <v>0</v>
      </c>
      <c r="F49" s="54">
        <f>SUMIFS('1. Staff costs'!S:S,'1. Staff costs'!C:C,B49,'1. Staff costs'!B:B,$B$8)+SUMIFS('2-3. Travel Costs&amp;Costs of Stay'!N:N,'2-3. Travel Costs&amp;Costs of Stay'!C:C,B49,'2-3. Travel Costs&amp;Costs of Stay'!B:B,$B$8)+SUMIFS('4. Equipment Costs'!H:H,'4. Equipment Costs'!C:C,B49,'4. Equipment Costs'!B:B,$B$8)+SUMIFS('5. Subcontracting Costs'!H:H,'5. Subcontracting Costs'!C:C,B49,'5. Subcontracting Costs'!B:B,$B$8)</f>
        <v>0</v>
      </c>
      <c r="G49" s="54">
        <f>SUMIFS('1. Staff costs'!S:S,'1. Staff costs'!C:C,B49,'1. Staff costs'!B:B,$G$25)+SUMIFS('2-3. Travel Costs&amp;Costs of Stay'!N:N,'2-3. Travel Costs&amp;Costs of Stay'!C:C,B49,'2-3. Travel Costs&amp;Costs of Stay'!B:B,$G$25)+SUMIFS('4. Equipment Costs'!H:H,'4. Equipment Costs'!C:C,B49,'4. Equipment Costs'!B:B,$G$25)+SUMIFS('5. Subcontracting Costs'!H:H,'5. Subcontracting Costs'!C:C,B49,'5. Subcontracting Costs'!B:B,$G$25)</f>
        <v>0</v>
      </c>
      <c r="H49" s="61">
        <f>SUMIF('B. Special Mob Strand - Student'!B:B,B49,'B. Special Mob Strand - Student'!N:N)+SUMIF('B. Special Mob Strand - Staff'!B:B,B49,'B. Special Mob Strand - Staff'!N:N)</f>
        <v>0</v>
      </c>
      <c r="I49" s="64">
        <f t="shared" si="4"/>
        <v>0</v>
      </c>
    </row>
    <row r="50" spans="2:9" x14ac:dyDescent="0.25">
      <c r="B50" s="15" t="s">
        <v>116</v>
      </c>
      <c r="C50" s="54">
        <f>SUMIFS('1. Staff costs'!S:S,'1. Staff costs'!C:C,B50,'1. Staff costs'!B:B,$C$25)+SUMIFS('2-3. Travel Costs&amp;Costs of Stay'!N:N,'2-3. Travel Costs&amp;Costs of Stay'!C:C,B50,'2-3. Travel Costs&amp;Costs of Stay'!B:B,$C$25)+SUMIFS('4. Equipment Costs'!H:H,'4. Equipment Costs'!C:C,B50,'4. Equipment Costs'!B:B,$C$25)+SUMIFS('5. Subcontracting Costs'!H:H,'5. Subcontracting Costs'!C:C,B50,'5. Subcontracting Costs'!B:B,$C$25)</f>
        <v>0</v>
      </c>
      <c r="D50" s="54">
        <f>SUMIFS('1. Staff costs'!S:S,'1. Staff costs'!C:C,B50,'1. Staff costs'!B:B,$D$25)+SUMIFS('2-3. Travel Costs&amp;Costs of Stay'!N:N,'2-3. Travel Costs&amp;Costs of Stay'!C:C,B50,'2-3. Travel Costs&amp;Costs of Stay'!B:B,$D$25)+SUMIFS('4. Equipment Costs'!H:H,'4. Equipment Costs'!C:C,B50,'4. Equipment Costs'!B:B,$D$25)+SUMIFS('5. Subcontracting Costs'!H:H,'5. Subcontracting Costs'!C:C,B50,'5. Subcontracting Costs'!B:B,$D$25)</f>
        <v>0</v>
      </c>
      <c r="E50" s="54">
        <f>SUMIFS('1. Staff costs'!S:S,'1. Staff costs'!C:C,B50,'1. Staff costs'!B:B,$E$25)+SUMIFS('2-3. Travel Costs&amp;Costs of Stay'!N:N,'2-3. Travel Costs&amp;Costs of Stay'!C:C,B50,'2-3. Travel Costs&amp;Costs of Stay'!B:B,$E$25)+SUMIFS('4. Equipment Costs'!H:H,'4. Equipment Costs'!C:C,B50,'4. Equipment Costs'!B:B,$E$25)+SUMIFS('5. Subcontracting Costs'!H:H,'5. Subcontracting Costs'!C:C,B50,'5. Subcontracting Costs'!B:B,$E$25)</f>
        <v>0</v>
      </c>
      <c r="F50" s="54">
        <f>SUMIFS('1. Staff costs'!S:S,'1. Staff costs'!C:C,B50,'1. Staff costs'!B:B,$B$8)+SUMIFS('2-3. Travel Costs&amp;Costs of Stay'!N:N,'2-3. Travel Costs&amp;Costs of Stay'!C:C,B50,'2-3. Travel Costs&amp;Costs of Stay'!B:B,$B$8)+SUMIFS('4. Equipment Costs'!H:H,'4. Equipment Costs'!C:C,B50,'4. Equipment Costs'!B:B,$B$8)+SUMIFS('5. Subcontracting Costs'!H:H,'5. Subcontracting Costs'!C:C,B50,'5. Subcontracting Costs'!B:B,$B$8)</f>
        <v>0</v>
      </c>
      <c r="G50" s="54">
        <f>SUMIFS('1. Staff costs'!S:S,'1. Staff costs'!C:C,B50,'1. Staff costs'!B:B,$G$25)+SUMIFS('2-3. Travel Costs&amp;Costs of Stay'!N:N,'2-3. Travel Costs&amp;Costs of Stay'!C:C,B50,'2-3. Travel Costs&amp;Costs of Stay'!B:B,$G$25)+SUMIFS('4. Equipment Costs'!H:H,'4. Equipment Costs'!C:C,B50,'4. Equipment Costs'!B:B,$G$25)+SUMIFS('5. Subcontracting Costs'!H:H,'5. Subcontracting Costs'!C:C,B50,'5. Subcontracting Costs'!B:B,$G$25)</f>
        <v>0</v>
      </c>
      <c r="H50" s="61">
        <f>SUMIF('B. Special Mob Strand - Student'!B:B,B50,'B. Special Mob Strand - Student'!N:N)+SUMIF('B. Special Mob Strand - Staff'!B:B,B50,'B. Special Mob Strand - Staff'!N:N)</f>
        <v>0</v>
      </c>
      <c r="I50" s="64">
        <f t="shared" si="4"/>
        <v>0</v>
      </c>
    </row>
    <row r="51" spans="2:9" x14ac:dyDescent="0.25">
      <c r="B51" s="15" t="s">
        <v>117</v>
      </c>
      <c r="C51" s="54">
        <f>SUMIFS('1. Staff costs'!S:S,'1. Staff costs'!C:C,B51,'1. Staff costs'!B:B,$C$25)+SUMIFS('2-3. Travel Costs&amp;Costs of Stay'!N:N,'2-3. Travel Costs&amp;Costs of Stay'!C:C,B51,'2-3. Travel Costs&amp;Costs of Stay'!B:B,$C$25)+SUMIFS('4. Equipment Costs'!H:H,'4. Equipment Costs'!C:C,B51,'4. Equipment Costs'!B:B,$C$25)+SUMIFS('5. Subcontracting Costs'!H:H,'5. Subcontracting Costs'!C:C,B51,'5. Subcontracting Costs'!B:B,$C$25)</f>
        <v>0</v>
      </c>
      <c r="D51" s="54">
        <f>SUMIFS('1. Staff costs'!S:S,'1. Staff costs'!C:C,B51,'1. Staff costs'!B:B,$D$25)+SUMIFS('2-3. Travel Costs&amp;Costs of Stay'!N:N,'2-3. Travel Costs&amp;Costs of Stay'!C:C,B51,'2-3. Travel Costs&amp;Costs of Stay'!B:B,$D$25)+SUMIFS('4. Equipment Costs'!H:H,'4. Equipment Costs'!C:C,B51,'4. Equipment Costs'!B:B,$D$25)+SUMIFS('5. Subcontracting Costs'!H:H,'5. Subcontracting Costs'!C:C,B51,'5. Subcontracting Costs'!B:B,$D$25)</f>
        <v>0</v>
      </c>
      <c r="E51" s="54">
        <f>SUMIFS('1. Staff costs'!S:S,'1. Staff costs'!C:C,B51,'1. Staff costs'!B:B,$E$25)+SUMIFS('2-3. Travel Costs&amp;Costs of Stay'!N:N,'2-3. Travel Costs&amp;Costs of Stay'!C:C,B51,'2-3. Travel Costs&amp;Costs of Stay'!B:B,$E$25)+SUMIFS('4. Equipment Costs'!H:H,'4. Equipment Costs'!C:C,B51,'4. Equipment Costs'!B:B,$E$25)+SUMIFS('5. Subcontracting Costs'!H:H,'5. Subcontracting Costs'!C:C,B51,'5. Subcontracting Costs'!B:B,$E$25)</f>
        <v>0</v>
      </c>
      <c r="F51" s="54">
        <f>SUMIFS('1. Staff costs'!S:S,'1. Staff costs'!C:C,B51,'1. Staff costs'!B:B,$B$8)+SUMIFS('2-3. Travel Costs&amp;Costs of Stay'!N:N,'2-3. Travel Costs&amp;Costs of Stay'!C:C,B51,'2-3. Travel Costs&amp;Costs of Stay'!B:B,$B$8)+SUMIFS('4. Equipment Costs'!H:H,'4. Equipment Costs'!C:C,B51,'4. Equipment Costs'!B:B,$B$8)+SUMIFS('5. Subcontracting Costs'!H:H,'5. Subcontracting Costs'!C:C,B51,'5. Subcontracting Costs'!B:B,$B$8)</f>
        <v>0</v>
      </c>
      <c r="G51" s="54">
        <f>SUMIFS('1. Staff costs'!S:S,'1. Staff costs'!C:C,B51,'1. Staff costs'!B:B,$G$25)+SUMIFS('2-3. Travel Costs&amp;Costs of Stay'!N:N,'2-3. Travel Costs&amp;Costs of Stay'!C:C,B51,'2-3. Travel Costs&amp;Costs of Stay'!B:B,$G$25)+SUMIFS('4. Equipment Costs'!H:H,'4. Equipment Costs'!C:C,B51,'4. Equipment Costs'!B:B,$G$25)+SUMIFS('5. Subcontracting Costs'!H:H,'5. Subcontracting Costs'!C:C,B51,'5. Subcontracting Costs'!B:B,$G$25)</f>
        <v>0</v>
      </c>
      <c r="H51" s="61">
        <f>SUMIF('B. Special Mob Strand - Student'!B:B,B51,'B. Special Mob Strand - Student'!N:N)+SUMIF('B. Special Mob Strand - Staff'!B:B,B51,'B. Special Mob Strand - Staff'!N:N)</f>
        <v>0</v>
      </c>
      <c r="I51" s="64">
        <f t="shared" si="4"/>
        <v>0</v>
      </c>
    </row>
    <row r="52" spans="2:9" x14ac:dyDescent="0.25">
      <c r="B52" s="15" t="s">
        <v>118</v>
      </c>
      <c r="C52" s="54">
        <f>SUMIFS('1. Staff costs'!S:S,'1. Staff costs'!C:C,B52,'1. Staff costs'!B:B,$C$25)+SUMIFS('2-3. Travel Costs&amp;Costs of Stay'!N:N,'2-3. Travel Costs&amp;Costs of Stay'!C:C,B52,'2-3. Travel Costs&amp;Costs of Stay'!B:B,$C$25)+SUMIFS('4. Equipment Costs'!H:H,'4. Equipment Costs'!C:C,B52,'4. Equipment Costs'!B:B,$C$25)+SUMIFS('5. Subcontracting Costs'!H:H,'5. Subcontracting Costs'!C:C,B52,'5. Subcontracting Costs'!B:B,$C$25)</f>
        <v>0</v>
      </c>
      <c r="D52" s="54">
        <f>SUMIFS('1. Staff costs'!S:S,'1. Staff costs'!C:C,B52,'1. Staff costs'!B:B,$D$25)+SUMIFS('2-3. Travel Costs&amp;Costs of Stay'!N:N,'2-3. Travel Costs&amp;Costs of Stay'!C:C,B52,'2-3. Travel Costs&amp;Costs of Stay'!B:B,$D$25)+SUMIFS('4. Equipment Costs'!H:H,'4. Equipment Costs'!C:C,B52,'4. Equipment Costs'!B:B,$D$25)+SUMIFS('5. Subcontracting Costs'!H:H,'5. Subcontracting Costs'!C:C,B52,'5. Subcontracting Costs'!B:B,$D$25)</f>
        <v>0</v>
      </c>
      <c r="E52" s="54">
        <f>SUMIFS('1. Staff costs'!S:S,'1. Staff costs'!C:C,B52,'1. Staff costs'!B:B,$E$25)+SUMIFS('2-3. Travel Costs&amp;Costs of Stay'!N:N,'2-3. Travel Costs&amp;Costs of Stay'!C:C,B52,'2-3. Travel Costs&amp;Costs of Stay'!B:B,$E$25)+SUMIFS('4. Equipment Costs'!H:H,'4. Equipment Costs'!C:C,B52,'4. Equipment Costs'!B:B,$E$25)+SUMIFS('5. Subcontracting Costs'!H:H,'5. Subcontracting Costs'!C:C,B52,'5. Subcontracting Costs'!B:B,$E$25)</f>
        <v>0</v>
      </c>
      <c r="F52" s="54">
        <f>SUMIFS('1. Staff costs'!S:S,'1. Staff costs'!C:C,B52,'1. Staff costs'!B:B,$B$8)+SUMIFS('2-3. Travel Costs&amp;Costs of Stay'!N:N,'2-3. Travel Costs&amp;Costs of Stay'!C:C,B52,'2-3. Travel Costs&amp;Costs of Stay'!B:B,$B$8)+SUMIFS('4. Equipment Costs'!H:H,'4. Equipment Costs'!C:C,B52,'4. Equipment Costs'!B:B,$B$8)+SUMIFS('5. Subcontracting Costs'!H:H,'5. Subcontracting Costs'!C:C,B52,'5. Subcontracting Costs'!B:B,$B$8)</f>
        <v>0</v>
      </c>
      <c r="G52" s="54">
        <f>SUMIFS('1. Staff costs'!S:S,'1. Staff costs'!C:C,B52,'1. Staff costs'!B:B,$G$25)+SUMIFS('2-3. Travel Costs&amp;Costs of Stay'!N:N,'2-3. Travel Costs&amp;Costs of Stay'!C:C,B52,'2-3. Travel Costs&amp;Costs of Stay'!B:B,$G$25)+SUMIFS('4. Equipment Costs'!H:H,'4. Equipment Costs'!C:C,B52,'4. Equipment Costs'!B:B,$G$25)+SUMIFS('5. Subcontracting Costs'!H:H,'5. Subcontracting Costs'!C:C,B52,'5. Subcontracting Costs'!B:B,$G$25)</f>
        <v>0</v>
      </c>
      <c r="H52" s="61">
        <f>SUMIF('B. Special Mob Strand - Student'!B:B,B52,'B. Special Mob Strand - Student'!N:N)+SUMIF('B. Special Mob Strand - Staff'!B:B,B52,'B. Special Mob Strand - Staff'!N:N)</f>
        <v>0</v>
      </c>
      <c r="I52" s="64">
        <f t="shared" si="4"/>
        <v>0</v>
      </c>
    </row>
    <row r="53" spans="2:9" x14ac:dyDescent="0.25">
      <c r="B53" s="15" t="s">
        <v>119</v>
      </c>
      <c r="C53" s="54">
        <f>SUMIFS('1. Staff costs'!S:S,'1. Staff costs'!C:C,B53,'1. Staff costs'!B:B,$C$25)+SUMIFS('2-3. Travel Costs&amp;Costs of Stay'!N:N,'2-3. Travel Costs&amp;Costs of Stay'!C:C,B53,'2-3. Travel Costs&amp;Costs of Stay'!B:B,$C$25)+SUMIFS('4. Equipment Costs'!H:H,'4. Equipment Costs'!C:C,B53,'4. Equipment Costs'!B:B,$C$25)+SUMIFS('5. Subcontracting Costs'!H:H,'5. Subcontracting Costs'!C:C,B53,'5. Subcontracting Costs'!B:B,$C$25)</f>
        <v>0</v>
      </c>
      <c r="D53" s="54">
        <f>SUMIFS('1. Staff costs'!S:S,'1. Staff costs'!C:C,B53,'1. Staff costs'!B:B,$D$25)+SUMIFS('2-3. Travel Costs&amp;Costs of Stay'!N:N,'2-3. Travel Costs&amp;Costs of Stay'!C:C,B53,'2-3. Travel Costs&amp;Costs of Stay'!B:B,$D$25)+SUMIFS('4. Equipment Costs'!H:H,'4. Equipment Costs'!C:C,B53,'4. Equipment Costs'!B:B,$D$25)+SUMIFS('5. Subcontracting Costs'!H:H,'5. Subcontracting Costs'!C:C,B53,'5. Subcontracting Costs'!B:B,$D$25)</f>
        <v>0</v>
      </c>
      <c r="E53" s="54">
        <f>SUMIFS('1. Staff costs'!S:S,'1. Staff costs'!C:C,B53,'1. Staff costs'!B:B,$E$25)+SUMIFS('2-3. Travel Costs&amp;Costs of Stay'!N:N,'2-3. Travel Costs&amp;Costs of Stay'!C:C,B53,'2-3. Travel Costs&amp;Costs of Stay'!B:B,$E$25)+SUMIFS('4. Equipment Costs'!H:H,'4. Equipment Costs'!C:C,B53,'4. Equipment Costs'!B:B,$E$25)+SUMIFS('5. Subcontracting Costs'!H:H,'5. Subcontracting Costs'!C:C,B53,'5. Subcontracting Costs'!B:B,$E$25)</f>
        <v>0</v>
      </c>
      <c r="F53" s="54">
        <f>SUMIFS('1. Staff costs'!S:S,'1. Staff costs'!C:C,B53,'1. Staff costs'!B:B,$B$8)+SUMIFS('2-3. Travel Costs&amp;Costs of Stay'!N:N,'2-3. Travel Costs&amp;Costs of Stay'!C:C,B53,'2-3. Travel Costs&amp;Costs of Stay'!B:B,$B$8)+SUMIFS('4. Equipment Costs'!H:H,'4. Equipment Costs'!C:C,B53,'4. Equipment Costs'!B:B,$B$8)+SUMIFS('5. Subcontracting Costs'!H:H,'5. Subcontracting Costs'!C:C,B53,'5. Subcontracting Costs'!B:B,$B$8)</f>
        <v>0</v>
      </c>
      <c r="G53" s="54">
        <f>SUMIFS('1. Staff costs'!S:S,'1. Staff costs'!C:C,B53,'1. Staff costs'!B:B,$G$25)+SUMIFS('2-3. Travel Costs&amp;Costs of Stay'!N:N,'2-3. Travel Costs&amp;Costs of Stay'!C:C,B53,'2-3. Travel Costs&amp;Costs of Stay'!B:B,$G$25)+SUMIFS('4. Equipment Costs'!H:H,'4. Equipment Costs'!C:C,B53,'4. Equipment Costs'!B:B,$G$25)+SUMIFS('5. Subcontracting Costs'!H:H,'5. Subcontracting Costs'!C:C,B53,'5. Subcontracting Costs'!B:B,$G$25)</f>
        <v>0</v>
      </c>
      <c r="H53" s="61">
        <f>SUMIF('B. Special Mob Strand - Student'!B:B,B53,'B. Special Mob Strand - Student'!N:N)+SUMIF('B. Special Mob Strand - Staff'!B:B,B53,'B. Special Mob Strand - Staff'!N:N)</f>
        <v>0</v>
      </c>
      <c r="I53" s="64">
        <f t="shared" si="4"/>
        <v>0</v>
      </c>
    </row>
    <row r="54" spans="2:9" x14ac:dyDescent="0.25">
      <c r="B54" s="15" t="s">
        <v>120</v>
      </c>
      <c r="C54" s="54">
        <f>SUMIFS('1. Staff costs'!S:S,'1. Staff costs'!C:C,B54,'1. Staff costs'!B:B,$C$25)+SUMIFS('2-3. Travel Costs&amp;Costs of Stay'!N:N,'2-3. Travel Costs&amp;Costs of Stay'!C:C,B54,'2-3. Travel Costs&amp;Costs of Stay'!B:B,$C$25)+SUMIFS('4. Equipment Costs'!H:H,'4. Equipment Costs'!C:C,B54,'4. Equipment Costs'!B:B,$C$25)+SUMIFS('5. Subcontracting Costs'!H:H,'5. Subcontracting Costs'!C:C,B54,'5. Subcontracting Costs'!B:B,$C$25)</f>
        <v>0</v>
      </c>
      <c r="D54" s="54">
        <f>SUMIFS('1. Staff costs'!S:S,'1. Staff costs'!C:C,B54,'1. Staff costs'!B:B,$D$25)+SUMIFS('2-3. Travel Costs&amp;Costs of Stay'!N:N,'2-3. Travel Costs&amp;Costs of Stay'!C:C,B54,'2-3. Travel Costs&amp;Costs of Stay'!B:B,$D$25)+SUMIFS('4. Equipment Costs'!H:H,'4. Equipment Costs'!C:C,B54,'4. Equipment Costs'!B:B,$D$25)+SUMIFS('5. Subcontracting Costs'!H:H,'5. Subcontracting Costs'!C:C,B54,'5. Subcontracting Costs'!B:B,$D$25)</f>
        <v>0</v>
      </c>
      <c r="E54" s="54">
        <f>SUMIFS('1. Staff costs'!S:S,'1. Staff costs'!C:C,B54,'1. Staff costs'!B:B,$E$25)+SUMIFS('2-3. Travel Costs&amp;Costs of Stay'!N:N,'2-3. Travel Costs&amp;Costs of Stay'!C:C,B54,'2-3. Travel Costs&amp;Costs of Stay'!B:B,$E$25)+SUMIFS('4. Equipment Costs'!H:H,'4. Equipment Costs'!C:C,B54,'4. Equipment Costs'!B:B,$E$25)+SUMIFS('5. Subcontracting Costs'!H:H,'5. Subcontracting Costs'!C:C,B54,'5. Subcontracting Costs'!B:B,$E$25)</f>
        <v>0</v>
      </c>
      <c r="F54" s="54">
        <f>SUMIFS('1. Staff costs'!S:S,'1. Staff costs'!C:C,B54,'1. Staff costs'!B:B,$B$8)+SUMIFS('2-3. Travel Costs&amp;Costs of Stay'!N:N,'2-3. Travel Costs&amp;Costs of Stay'!C:C,B54,'2-3. Travel Costs&amp;Costs of Stay'!B:B,$B$8)+SUMIFS('4. Equipment Costs'!H:H,'4. Equipment Costs'!C:C,B54,'4. Equipment Costs'!B:B,$B$8)+SUMIFS('5. Subcontracting Costs'!H:H,'5. Subcontracting Costs'!C:C,B54,'5. Subcontracting Costs'!B:B,$B$8)</f>
        <v>0</v>
      </c>
      <c r="G54" s="54">
        <f>SUMIFS('1. Staff costs'!S:S,'1. Staff costs'!C:C,B54,'1. Staff costs'!B:B,$G$25)+SUMIFS('2-3. Travel Costs&amp;Costs of Stay'!N:N,'2-3. Travel Costs&amp;Costs of Stay'!C:C,B54,'2-3. Travel Costs&amp;Costs of Stay'!B:B,$G$25)+SUMIFS('4. Equipment Costs'!H:H,'4. Equipment Costs'!C:C,B54,'4. Equipment Costs'!B:B,$G$25)+SUMIFS('5. Subcontracting Costs'!H:H,'5. Subcontracting Costs'!C:C,B54,'5. Subcontracting Costs'!B:B,$G$25)</f>
        <v>0</v>
      </c>
      <c r="H54" s="61">
        <f>SUMIF('B. Special Mob Strand - Student'!B:B,B54,'B. Special Mob Strand - Student'!N:N)+SUMIF('B. Special Mob Strand - Staff'!B:B,B54,'B. Special Mob Strand - Staff'!N:N)</f>
        <v>0</v>
      </c>
      <c r="I54" s="64">
        <f t="shared" si="4"/>
        <v>0</v>
      </c>
    </row>
    <row r="55" spans="2:9" x14ac:dyDescent="0.25">
      <c r="B55" s="15" t="s">
        <v>121</v>
      </c>
      <c r="C55" s="54">
        <f>SUMIFS('1. Staff costs'!S:S,'1. Staff costs'!C:C,B55,'1. Staff costs'!B:B,$C$25)+SUMIFS('2-3. Travel Costs&amp;Costs of Stay'!N:N,'2-3. Travel Costs&amp;Costs of Stay'!C:C,B55,'2-3. Travel Costs&amp;Costs of Stay'!B:B,$C$25)+SUMIFS('4. Equipment Costs'!H:H,'4. Equipment Costs'!C:C,B55,'4. Equipment Costs'!B:B,$C$25)+SUMIFS('5. Subcontracting Costs'!H:H,'5. Subcontracting Costs'!C:C,B55,'5. Subcontracting Costs'!B:B,$C$25)</f>
        <v>0</v>
      </c>
      <c r="D55" s="54">
        <f>SUMIFS('1. Staff costs'!S:S,'1. Staff costs'!C:C,B55,'1. Staff costs'!B:B,$D$25)+SUMIFS('2-3. Travel Costs&amp;Costs of Stay'!N:N,'2-3. Travel Costs&amp;Costs of Stay'!C:C,B55,'2-3. Travel Costs&amp;Costs of Stay'!B:B,$D$25)+SUMIFS('4. Equipment Costs'!H:H,'4. Equipment Costs'!C:C,B55,'4. Equipment Costs'!B:B,$D$25)+SUMIFS('5. Subcontracting Costs'!H:H,'5. Subcontracting Costs'!C:C,B55,'5. Subcontracting Costs'!B:B,$D$25)</f>
        <v>0</v>
      </c>
      <c r="E55" s="54">
        <f>SUMIFS('1. Staff costs'!S:S,'1. Staff costs'!C:C,B55,'1. Staff costs'!B:B,$E$25)+SUMIFS('2-3. Travel Costs&amp;Costs of Stay'!N:N,'2-3. Travel Costs&amp;Costs of Stay'!C:C,B55,'2-3. Travel Costs&amp;Costs of Stay'!B:B,$E$25)+SUMIFS('4. Equipment Costs'!H:H,'4. Equipment Costs'!C:C,B55,'4. Equipment Costs'!B:B,$E$25)+SUMIFS('5. Subcontracting Costs'!H:H,'5. Subcontracting Costs'!C:C,B55,'5. Subcontracting Costs'!B:B,$E$25)</f>
        <v>0</v>
      </c>
      <c r="F55" s="54">
        <f>SUMIFS('1. Staff costs'!S:S,'1. Staff costs'!C:C,B55,'1. Staff costs'!B:B,$B$8)+SUMIFS('2-3. Travel Costs&amp;Costs of Stay'!N:N,'2-3. Travel Costs&amp;Costs of Stay'!C:C,B55,'2-3. Travel Costs&amp;Costs of Stay'!B:B,$B$8)+SUMIFS('4. Equipment Costs'!H:H,'4. Equipment Costs'!C:C,B55,'4. Equipment Costs'!B:B,$B$8)+SUMIFS('5. Subcontracting Costs'!H:H,'5. Subcontracting Costs'!C:C,B55,'5. Subcontracting Costs'!B:B,$B$8)</f>
        <v>0</v>
      </c>
      <c r="G55" s="54">
        <f>SUMIFS('1. Staff costs'!S:S,'1. Staff costs'!C:C,B55,'1. Staff costs'!B:B,$G$25)+SUMIFS('2-3. Travel Costs&amp;Costs of Stay'!N:N,'2-3. Travel Costs&amp;Costs of Stay'!C:C,B55,'2-3. Travel Costs&amp;Costs of Stay'!B:B,$G$25)+SUMIFS('4. Equipment Costs'!H:H,'4. Equipment Costs'!C:C,B55,'4. Equipment Costs'!B:B,$G$25)+SUMIFS('5. Subcontracting Costs'!H:H,'5. Subcontracting Costs'!C:C,B55,'5. Subcontracting Costs'!B:B,$G$25)</f>
        <v>0</v>
      </c>
      <c r="H55" s="61">
        <f>SUMIF('B. Special Mob Strand - Student'!B:B,B55,'B. Special Mob Strand - Student'!N:N)+SUMIF('B. Special Mob Strand - Staff'!B:B,B55,'B. Special Mob Strand - Staff'!N:N)</f>
        <v>0</v>
      </c>
      <c r="I55" s="64">
        <f t="shared" si="4"/>
        <v>0</v>
      </c>
    </row>
    <row r="56" spans="2:9" x14ac:dyDescent="0.25">
      <c r="B56" s="15" t="s">
        <v>122</v>
      </c>
      <c r="C56" s="54">
        <f>SUMIFS('1. Staff costs'!S:S,'1. Staff costs'!C:C,B56,'1. Staff costs'!B:B,$C$25)+SUMIFS('2-3. Travel Costs&amp;Costs of Stay'!N:N,'2-3. Travel Costs&amp;Costs of Stay'!C:C,B56,'2-3. Travel Costs&amp;Costs of Stay'!B:B,$C$25)+SUMIFS('4. Equipment Costs'!H:H,'4. Equipment Costs'!C:C,B56,'4. Equipment Costs'!B:B,$C$25)+SUMIFS('5. Subcontracting Costs'!H:H,'5. Subcontracting Costs'!C:C,B56,'5. Subcontracting Costs'!B:B,$C$25)</f>
        <v>0</v>
      </c>
      <c r="D56" s="54">
        <f>SUMIFS('1. Staff costs'!S:S,'1. Staff costs'!C:C,B56,'1. Staff costs'!B:B,$D$25)+SUMIFS('2-3. Travel Costs&amp;Costs of Stay'!N:N,'2-3. Travel Costs&amp;Costs of Stay'!C:C,B56,'2-3. Travel Costs&amp;Costs of Stay'!B:B,$D$25)+SUMIFS('4. Equipment Costs'!H:H,'4. Equipment Costs'!C:C,B56,'4. Equipment Costs'!B:B,$D$25)+SUMIFS('5. Subcontracting Costs'!H:H,'5. Subcontracting Costs'!C:C,B56,'5. Subcontracting Costs'!B:B,$D$25)</f>
        <v>0</v>
      </c>
      <c r="E56" s="54">
        <f>SUMIFS('1. Staff costs'!S:S,'1. Staff costs'!C:C,B56,'1. Staff costs'!B:B,$E$25)+SUMIFS('2-3. Travel Costs&amp;Costs of Stay'!N:N,'2-3. Travel Costs&amp;Costs of Stay'!C:C,B56,'2-3. Travel Costs&amp;Costs of Stay'!B:B,$E$25)+SUMIFS('4. Equipment Costs'!H:H,'4. Equipment Costs'!C:C,B56,'4. Equipment Costs'!B:B,$E$25)+SUMIFS('5. Subcontracting Costs'!H:H,'5. Subcontracting Costs'!C:C,B56,'5. Subcontracting Costs'!B:B,$E$25)</f>
        <v>0</v>
      </c>
      <c r="F56" s="54">
        <f>SUMIFS('1. Staff costs'!S:S,'1. Staff costs'!C:C,B56,'1. Staff costs'!B:B,$B$8)+SUMIFS('2-3. Travel Costs&amp;Costs of Stay'!N:N,'2-3. Travel Costs&amp;Costs of Stay'!C:C,B56,'2-3. Travel Costs&amp;Costs of Stay'!B:B,$B$8)+SUMIFS('4. Equipment Costs'!H:H,'4. Equipment Costs'!C:C,B56,'4. Equipment Costs'!B:B,$B$8)+SUMIFS('5. Subcontracting Costs'!H:H,'5. Subcontracting Costs'!C:C,B56,'5. Subcontracting Costs'!B:B,$B$8)</f>
        <v>0</v>
      </c>
      <c r="G56" s="54">
        <f>SUMIFS('1. Staff costs'!S:S,'1. Staff costs'!C:C,B56,'1. Staff costs'!B:B,$G$25)+SUMIFS('2-3. Travel Costs&amp;Costs of Stay'!N:N,'2-3. Travel Costs&amp;Costs of Stay'!C:C,B56,'2-3. Travel Costs&amp;Costs of Stay'!B:B,$G$25)+SUMIFS('4. Equipment Costs'!H:H,'4. Equipment Costs'!C:C,B56,'4. Equipment Costs'!B:B,$G$25)+SUMIFS('5. Subcontracting Costs'!H:H,'5. Subcontracting Costs'!C:C,B56,'5. Subcontracting Costs'!B:B,$G$25)</f>
        <v>0</v>
      </c>
      <c r="H56" s="61">
        <f>SUMIF('B. Special Mob Strand - Student'!B:B,B56,'B. Special Mob Strand - Student'!N:N)+SUMIF('B. Special Mob Strand - Staff'!B:B,B56,'B. Special Mob Strand - Staff'!N:N)</f>
        <v>0</v>
      </c>
      <c r="I56" s="64">
        <f t="shared" si="4"/>
        <v>0</v>
      </c>
    </row>
    <row r="57" spans="2:9" x14ac:dyDescent="0.25">
      <c r="B57" s="15" t="s">
        <v>123</v>
      </c>
      <c r="C57" s="54">
        <f>SUMIFS('1. Staff costs'!S:S,'1. Staff costs'!C:C,B57,'1. Staff costs'!B:B,$C$25)+SUMIFS('2-3. Travel Costs&amp;Costs of Stay'!N:N,'2-3. Travel Costs&amp;Costs of Stay'!C:C,B57,'2-3. Travel Costs&amp;Costs of Stay'!B:B,$C$25)+SUMIFS('4. Equipment Costs'!H:H,'4. Equipment Costs'!C:C,B57,'4. Equipment Costs'!B:B,$C$25)+SUMIFS('5. Subcontracting Costs'!H:H,'5. Subcontracting Costs'!C:C,B57,'5. Subcontracting Costs'!B:B,$C$25)</f>
        <v>0</v>
      </c>
      <c r="D57" s="54">
        <f>SUMIFS('1. Staff costs'!S:S,'1. Staff costs'!C:C,B57,'1. Staff costs'!B:B,$D$25)+SUMIFS('2-3. Travel Costs&amp;Costs of Stay'!N:N,'2-3. Travel Costs&amp;Costs of Stay'!C:C,B57,'2-3. Travel Costs&amp;Costs of Stay'!B:B,$D$25)+SUMIFS('4. Equipment Costs'!H:H,'4. Equipment Costs'!C:C,B57,'4. Equipment Costs'!B:B,$D$25)+SUMIFS('5. Subcontracting Costs'!H:H,'5. Subcontracting Costs'!C:C,B57,'5. Subcontracting Costs'!B:B,$D$25)</f>
        <v>0</v>
      </c>
      <c r="E57" s="54">
        <f>SUMIFS('1. Staff costs'!S:S,'1. Staff costs'!C:C,B57,'1. Staff costs'!B:B,$E$25)+SUMIFS('2-3. Travel Costs&amp;Costs of Stay'!N:N,'2-3. Travel Costs&amp;Costs of Stay'!C:C,B57,'2-3. Travel Costs&amp;Costs of Stay'!B:B,$E$25)+SUMIFS('4. Equipment Costs'!H:H,'4. Equipment Costs'!C:C,B57,'4. Equipment Costs'!B:B,$E$25)+SUMIFS('5. Subcontracting Costs'!H:H,'5. Subcontracting Costs'!C:C,B57,'5. Subcontracting Costs'!B:B,$E$25)</f>
        <v>0</v>
      </c>
      <c r="F57" s="54">
        <f>SUMIFS('1. Staff costs'!S:S,'1. Staff costs'!C:C,B57,'1. Staff costs'!B:B,$B$8)+SUMIFS('2-3. Travel Costs&amp;Costs of Stay'!N:N,'2-3. Travel Costs&amp;Costs of Stay'!C:C,B57,'2-3. Travel Costs&amp;Costs of Stay'!B:B,$B$8)+SUMIFS('4. Equipment Costs'!H:H,'4. Equipment Costs'!C:C,B57,'4. Equipment Costs'!B:B,$B$8)+SUMIFS('5. Subcontracting Costs'!H:H,'5. Subcontracting Costs'!C:C,B57,'5. Subcontracting Costs'!B:B,$B$8)</f>
        <v>0</v>
      </c>
      <c r="G57" s="54">
        <f>SUMIFS('1. Staff costs'!S:S,'1. Staff costs'!C:C,B57,'1. Staff costs'!B:B,$G$25)+SUMIFS('2-3. Travel Costs&amp;Costs of Stay'!N:N,'2-3. Travel Costs&amp;Costs of Stay'!C:C,B57,'2-3. Travel Costs&amp;Costs of Stay'!B:B,$G$25)+SUMIFS('4. Equipment Costs'!H:H,'4. Equipment Costs'!C:C,B57,'4. Equipment Costs'!B:B,$G$25)+SUMIFS('5. Subcontracting Costs'!H:H,'5. Subcontracting Costs'!C:C,B57,'5. Subcontracting Costs'!B:B,$G$25)</f>
        <v>0</v>
      </c>
      <c r="H57" s="61">
        <f>SUMIF('B. Special Mob Strand - Student'!B:B,B57,'B. Special Mob Strand - Student'!N:N)+SUMIF('B. Special Mob Strand - Staff'!B:B,B57,'B. Special Mob Strand - Staff'!N:N)</f>
        <v>0</v>
      </c>
      <c r="I57" s="64">
        <f t="shared" si="4"/>
        <v>0</v>
      </c>
    </row>
    <row r="58" spans="2:9" x14ac:dyDescent="0.25">
      <c r="B58" s="15" t="s">
        <v>124</v>
      </c>
      <c r="C58" s="54">
        <f>SUMIFS('1. Staff costs'!S:S,'1. Staff costs'!C:C,B58,'1. Staff costs'!B:B,$C$25)+SUMIFS('2-3. Travel Costs&amp;Costs of Stay'!N:N,'2-3. Travel Costs&amp;Costs of Stay'!C:C,B58,'2-3. Travel Costs&amp;Costs of Stay'!B:B,$C$25)+SUMIFS('4. Equipment Costs'!H:H,'4. Equipment Costs'!C:C,B58,'4. Equipment Costs'!B:B,$C$25)+SUMIFS('5. Subcontracting Costs'!H:H,'5. Subcontracting Costs'!C:C,B58,'5. Subcontracting Costs'!B:B,$C$25)</f>
        <v>0</v>
      </c>
      <c r="D58" s="54">
        <f>SUMIFS('1. Staff costs'!S:S,'1. Staff costs'!C:C,B58,'1. Staff costs'!B:B,$D$25)+SUMIFS('2-3. Travel Costs&amp;Costs of Stay'!N:N,'2-3. Travel Costs&amp;Costs of Stay'!C:C,B58,'2-3. Travel Costs&amp;Costs of Stay'!B:B,$D$25)+SUMIFS('4. Equipment Costs'!H:H,'4. Equipment Costs'!C:C,B58,'4. Equipment Costs'!B:B,$D$25)+SUMIFS('5. Subcontracting Costs'!H:H,'5. Subcontracting Costs'!C:C,B58,'5. Subcontracting Costs'!B:B,$D$25)</f>
        <v>0</v>
      </c>
      <c r="E58" s="54">
        <f>SUMIFS('1. Staff costs'!S:S,'1. Staff costs'!C:C,B58,'1. Staff costs'!B:B,$E$25)+SUMIFS('2-3. Travel Costs&amp;Costs of Stay'!N:N,'2-3. Travel Costs&amp;Costs of Stay'!C:C,B58,'2-3. Travel Costs&amp;Costs of Stay'!B:B,$E$25)+SUMIFS('4. Equipment Costs'!H:H,'4. Equipment Costs'!C:C,B58,'4. Equipment Costs'!B:B,$E$25)+SUMIFS('5. Subcontracting Costs'!H:H,'5. Subcontracting Costs'!C:C,B58,'5. Subcontracting Costs'!B:B,$E$25)</f>
        <v>0</v>
      </c>
      <c r="F58" s="54">
        <f>SUMIFS('1. Staff costs'!S:S,'1. Staff costs'!C:C,B58,'1. Staff costs'!B:B,$B$8)+SUMIFS('2-3. Travel Costs&amp;Costs of Stay'!N:N,'2-3. Travel Costs&amp;Costs of Stay'!C:C,B58,'2-3. Travel Costs&amp;Costs of Stay'!B:B,$B$8)+SUMIFS('4. Equipment Costs'!H:H,'4. Equipment Costs'!C:C,B58,'4. Equipment Costs'!B:B,$B$8)+SUMIFS('5. Subcontracting Costs'!H:H,'5. Subcontracting Costs'!C:C,B58,'5. Subcontracting Costs'!B:B,$B$8)</f>
        <v>0</v>
      </c>
      <c r="G58" s="54">
        <f>SUMIFS('1. Staff costs'!S:S,'1. Staff costs'!C:C,B58,'1. Staff costs'!B:B,$G$25)+SUMIFS('2-3. Travel Costs&amp;Costs of Stay'!N:N,'2-3. Travel Costs&amp;Costs of Stay'!C:C,B58,'2-3. Travel Costs&amp;Costs of Stay'!B:B,$G$25)+SUMIFS('4. Equipment Costs'!H:H,'4. Equipment Costs'!C:C,B58,'4. Equipment Costs'!B:B,$G$25)+SUMIFS('5. Subcontracting Costs'!H:H,'5. Subcontracting Costs'!C:C,B58,'5. Subcontracting Costs'!B:B,$G$25)</f>
        <v>0</v>
      </c>
      <c r="H58" s="61">
        <f>SUMIF('B. Special Mob Strand - Student'!B:B,B58,'B. Special Mob Strand - Student'!N:N)+SUMIF('B. Special Mob Strand - Staff'!B:B,B58,'B. Special Mob Strand - Staff'!N:N)</f>
        <v>0</v>
      </c>
      <c r="I58" s="64">
        <f t="shared" si="4"/>
        <v>0</v>
      </c>
    </row>
    <row r="59" spans="2:9" x14ac:dyDescent="0.25">
      <c r="B59" s="15" t="s">
        <v>125</v>
      </c>
      <c r="C59" s="54">
        <f>SUMIFS('1. Staff costs'!S:S,'1. Staff costs'!C:C,B59,'1. Staff costs'!B:B,$C$25)+SUMIFS('2-3. Travel Costs&amp;Costs of Stay'!N:N,'2-3. Travel Costs&amp;Costs of Stay'!C:C,B59,'2-3. Travel Costs&amp;Costs of Stay'!B:B,$C$25)+SUMIFS('4. Equipment Costs'!H:H,'4. Equipment Costs'!C:C,B59,'4. Equipment Costs'!B:B,$C$25)+SUMIFS('5. Subcontracting Costs'!H:H,'5. Subcontracting Costs'!C:C,B59,'5. Subcontracting Costs'!B:B,$C$25)</f>
        <v>0</v>
      </c>
      <c r="D59" s="54">
        <f>SUMIFS('1. Staff costs'!S:S,'1. Staff costs'!C:C,B59,'1. Staff costs'!B:B,$D$25)+SUMIFS('2-3. Travel Costs&amp;Costs of Stay'!N:N,'2-3. Travel Costs&amp;Costs of Stay'!C:C,B59,'2-3. Travel Costs&amp;Costs of Stay'!B:B,$D$25)+SUMIFS('4. Equipment Costs'!H:H,'4. Equipment Costs'!C:C,B59,'4. Equipment Costs'!B:B,$D$25)+SUMIFS('5. Subcontracting Costs'!H:H,'5. Subcontracting Costs'!C:C,B59,'5. Subcontracting Costs'!B:B,$D$25)</f>
        <v>0</v>
      </c>
      <c r="E59" s="54">
        <f>SUMIFS('1. Staff costs'!S:S,'1. Staff costs'!C:C,B59,'1. Staff costs'!B:B,$E$25)+SUMIFS('2-3. Travel Costs&amp;Costs of Stay'!N:N,'2-3. Travel Costs&amp;Costs of Stay'!C:C,B59,'2-3. Travel Costs&amp;Costs of Stay'!B:B,$E$25)+SUMIFS('4. Equipment Costs'!H:H,'4. Equipment Costs'!C:C,B59,'4. Equipment Costs'!B:B,$E$25)+SUMIFS('5. Subcontracting Costs'!H:H,'5. Subcontracting Costs'!C:C,B59,'5. Subcontracting Costs'!B:B,$E$25)</f>
        <v>0</v>
      </c>
      <c r="F59" s="54">
        <f>SUMIFS('1. Staff costs'!S:S,'1. Staff costs'!C:C,B59,'1. Staff costs'!B:B,$B$8)+SUMIFS('2-3. Travel Costs&amp;Costs of Stay'!N:N,'2-3. Travel Costs&amp;Costs of Stay'!C:C,B59,'2-3. Travel Costs&amp;Costs of Stay'!B:B,$B$8)+SUMIFS('4. Equipment Costs'!H:H,'4. Equipment Costs'!C:C,B59,'4. Equipment Costs'!B:B,$B$8)+SUMIFS('5. Subcontracting Costs'!H:H,'5. Subcontracting Costs'!C:C,B59,'5. Subcontracting Costs'!B:B,$B$8)</f>
        <v>0</v>
      </c>
      <c r="G59" s="54">
        <f>SUMIFS('1. Staff costs'!S:S,'1. Staff costs'!C:C,B59,'1. Staff costs'!B:B,$G$25)+SUMIFS('2-3. Travel Costs&amp;Costs of Stay'!N:N,'2-3. Travel Costs&amp;Costs of Stay'!C:C,B59,'2-3. Travel Costs&amp;Costs of Stay'!B:B,$G$25)+SUMIFS('4. Equipment Costs'!H:H,'4. Equipment Costs'!C:C,B59,'4. Equipment Costs'!B:B,$G$25)+SUMIFS('5. Subcontracting Costs'!H:H,'5. Subcontracting Costs'!C:C,B59,'5. Subcontracting Costs'!B:B,$G$25)</f>
        <v>0</v>
      </c>
      <c r="H59" s="61">
        <f>SUMIF('B. Special Mob Strand - Student'!B:B,B59,'B. Special Mob Strand - Student'!N:N)+SUMIF('B. Special Mob Strand - Staff'!B:B,B59,'B. Special Mob Strand - Staff'!N:N)</f>
        <v>0</v>
      </c>
      <c r="I59" s="64">
        <f t="shared" si="4"/>
        <v>0</v>
      </c>
    </row>
    <row r="60" spans="2:9" x14ac:dyDescent="0.25">
      <c r="B60" s="15" t="s">
        <v>126</v>
      </c>
      <c r="C60" s="54">
        <f>SUMIFS('1. Staff costs'!S:S,'1. Staff costs'!C:C,B60,'1. Staff costs'!B:B,$C$25)+SUMIFS('2-3. Travel Costs&amp;Costs of Stay'!N:N,'2-3. Travel Costs&amp;Costs of Stay'!C:C,B60,'2-3. Travel Costs&amp;Costs of Stay'!B:B,$C$25)+SUMIFS('4. Equipment Costs'!H:H,'4. Equipment Costs'!C:C,B60,'4. Equipment Costs'!B:B,$C$25)+SUMIFS('5. Subcontracting Costs'!H:H,'5. Subcontracting Costs'!C:C,B60,'5. Subcontracting Costs'!B:B,$C$25)</f>
        <v>0</v>
      </c>
      <c r="D60" s="54">
        <f>SUMIFS('1. Staff costs'!S:S,'1. Staff costs'!C:C,B60,'1. Staff costs'!B:B,$D$25)+SUMIFS('2-3. Travel Costs&amp;Costs of Stay'!N:N,'2-3. Travel Costs&amp;Costs of Stay'!C:C,B60,'2-3. Travel Costs&amp;Costs of Stay'!B:B,$D$25)+SUMIFS('4. Equipment Costs'!H:H,'4. Equipment Costs'!C:C,B60,'4. Equipment Costs'!B:B,$D$25)+SUMIFS('5. Subcontracting Costs'!H:H,'5. Subcontracting Costs'!C:C,B60,'5. Subcontracting Costs'!B:B,$D$25)</f>
        <v>0</v>
      </c>
      <c r="E60" s="54">
        <f>SUMIFS('1. Staff costs'!S:S,'1. Staff costs'!C:C,B60,'1. Staff costs'!B:B,$E$25)+SUMIFS('2-3. Travel Costs&amp;Costs of Stay'!N:N,'2-3. Travel Costs&amp;Costs of Stay'!C:C,B60,'2-3. Travel Costs&amp;Costs of Stay'!B:B,$E$25)+SUMIFS('4. Equipment Costs'!H:H,'4. Equipment Costs'!C:C,B60,'4. Equipment Costs'!B:B,$E$25)+SUMIFS('5. Subcontracting Costs'!H:H,'5. Subcontracting Costs'!C:C,B60,'5. Subcontracting Costs'!B:B,$E$25)</f>
        <v>0</v>
      </c>
      <c r="F60" s="54">
        <f>SUMIFS('1. Staff costs'!S:S,'1. Staff costs'!C:C,B60,'1. Staff costs'!B:B,$B$8)+SUMIFS('2-3. Travel Costs&amp;Costs of Stay'!N:N,'2-3. Travel Costs&amp;Costs of Stay'!C:C,B60,'2-3. Travel Costs&amp;Costs of Stay'!B:B,$B$8)+SUMIFS('4. Equipment Costs'!H:H,'4. Equipment Costs'!C:C,B60,'4. Equipment Costs'!B:B,$B$8)+SUMIFS('5. Subcontracting Costs'!H:H,'5. Subcontracting Costs'!C:C,B60,'5. Subcontracting Costs'!B:B,$B$8)</f>
        <v>0</v>
      </c>
      <c r="G60" s="54">
        <f>SUMIFS('1. Staff costs'!S:S,'1. Staff costs'!C:C,B60,'1. Staff costs'!B:B,$G$25)+SUMIFS('2-3. Travel Costs&amp;Costs of Stay'!N:N,'2-3. Travel Costs&amp;Costs of Stay'!C:C,B60,'2-3. Travel Costs&amp;Costs of Stay'!B:B,$G$25)+SUMIFS('4. Equipment Costs'!H:H,'4. Equipment Costs'!C:C,B60,'4. Equipment Costs'!B:B,$G$25)+SUMIFS('5. Subcontracting Costs'!H:H,'5. Subcontracting Costs'!C:C,B60,'5. Subcontracting Costs'!B:B,$G$25)</f>
        <v>0</v>
      </c>
      <c r="H60" s="61">
        <f>SUMIF('B. Special Mob Strand - Student'!B:B,B60,'B. Special Mob Strand - Student'!N:N)+SUMIF('B. Special Mob Strand - Staff'!B:B,B60,'B. Special Mob Strand - Staff'!N:N)</f>
        <v>0</v>
      </c>
      <c r="I60" s="64">
        <f t="shared" si="4"/>
        <v>0</v>
      </c>
    </row>
    <row r="61" spans="2:9" x14ac:dyDescent="0.25">
      <c r="B61" s="15" t="s">
        <v>127</v>
      </c>
      <c r="C61" s="54">
        <f>SUMIFS('1. Staff costs'!S:S,'1. Staff costs'!C:C,B61,'1. Staff costs'!B:B,$C$25)+SUMIFS('2-3. Travel Costs&amp;Costs of Stay'!N:N,'2-3. Travel Costs&amp;Costs of Stay'!C:C,B61,'2-3. Travel Costs&amp;Costs of Stay'!B:B,$C$25)+SUMIFS('4. Equipment Costs'!H:H,'4. Equipment Costs'!C:C,B61,'4. Equipment Costs'!B:B,$C$25)+SUMIFS('5. Subcontracting Costs'!H:H,'5. Subcontracting Costs'!C:C,B61,'5. Subcontracting Costs'!B:B,$C$25)</f>
        <v>0</v>
      </c>
      <c r="D61" s="54">
        <f>SUMIFS('1. Staff costs'!S:S,'1. Staff costs'!C:C,B61,'1. Staff costs'!B:B,$D$25)+SUMIFS('2-3. Travel Costs&amp;Costs of Stay'!N:N,'2-3. Travel Costs&amp;Costs of Stay'!C:C,B61,'2-3. Travel Costs&amp;Costs of Stay'!B:B,$D$25)+SUMIFS('4. Equipment Costs'!H:H,'4. Equipment Costs'!C:C,B61,'4. Equipment Costs'!B:B,$D$25)+SUMIFS('5. Subcontracting Costs'!H:H,'5. Subcontracting Costs'!C:C,B61,'5. Subcontracting Costs'!B:B,$D$25)</f>
        <v>0</v>
      </c>
      <c r="E61" s="54">
        <f>SUMIFS('1. Staff costs'!S:S,'1. Staff costs'!C:C,B61,'1. Staff costs'!B:B,$E$25)+SUMIFS('2-3. Travel Costs&amp;Costs of Stay'!N:N,'2-3. Travel Costs&amp;Costs of Stay'!C:C,B61,'2-3. Travel Costs&amp;Costs of Stay'!B:B,$E$25)+SUMIFS('4. Equipment Costs'!H:H,'4. Equipment Costs'!C:C,B61,'4. Equipment Costs'!B:B,$E$25)+SUMIFS('5. Subcontracting Costs'!H:H,'5. Subcontracting Costs'!C:C,B61,'5. Subcontracting Costs'!B:B,$E$25)</f>
        <v>0</v>
      </c>
      <c r="F61" s="54">
        <f>SUMIFS('1. Staff costs'!S:S,'1. Staff costs'!C:C,B61,'1. Staff costs'!B:B,$B$8)+SUMIFS('2-3. Travel Costs&amp;Costs of Stay'!N:N,'2-3. Travel Costs&amp;Costs of Stay'!C:C,B61,'2-3. Travel Costs&amp;Costs of Stay'!B:B,$B$8)+SUMIFS('4. Equipment Costs'!H:H,'4. Equipment Costs'!C:C,B61,'4. Equipment Costs'!B:B,$B$8)+SUMIFS('5. Subcontracting Costs'!H:H,'5. Subcontracting Costs'!C:C,B61,'5. Subcontracting Costs'!B:B,$B$8)</f>
        <v>0</v>
      </c>
      <c r="G61" s="54">
        <f>SUMIFS('1. Staff costs'!S:S,'1. Staff costs'!C:C,B61,'1. Staff costs'!B:B,$G$25)+SUMIFS('2-3. Travel Costs&amp;Costs of Stay'!N:N,'2-3. Travel Costs&amp;Costs of Stay'!C:C,B61,'2-3. Travel Costs&amp;Costs of Stay'!B:B,$G$25)+SUMIFS('4. Equipment Costs'!H:H,'4. Equipment Costs'!C:C,B61,'4. Equipment Costs'!B:B,$G$25)+SUMIFS('5. Subcontracting Costs'!H:H,'5. Subcontracting Costs'!C:C,B61,'5. Subcontracting Costs'!B:B,$G$25)</f>
        <v>0</v>
      </c>
      <c r="H61" s="61">
        <f>SUMIF('B. Special Mob Strand - Student'!B:B,B61,'B. Special Mob Strand - Student'!N:N)+SUMIF('B. Special Mob Strand - Staff'!B:B,B61,'B. Special Mob Strand - Staff'!N:N)</f>
        <v>0</v>
      </c>
      <c r="I61" s="64">
        <f t="shared" si="4"/>
        <v>0</v>
      </c>
    </row>
    <row r="62" spans="2:9" x14ac:dyDescent="0.25">
      <c r="B62" s="15" t="s">
        <v>128</v>
      </c>
      <c r="C62" s="54">
        <f>SUMIFS('1. Staff costs'!S:S,'1. Staff costs'!C:C,B62,'1. Staff costs'!B:B,$C$25)+SUMIFS('2-3. Travel Costs&amp;Costs of Stay'!N:N,'2-3. Travel Costs&amp;Costs of Stay'!C:C,B62,'2-3. Travel Costs&amp;Costs of Stay'!B:B,$C$25)+SUMIFS('4. Equipment Costs'!H:H,'4. Equipment Costs'!C:C,B62,'4. Equipment Costs'!B:B,$C$25)+SUMIFS('5. Subcontracting Costs'!H:H,'5. Subcontracting Costs'!C:C,B62,'5. Subcontracting Costs'!B:B,$C$25)</f>
        <v>0</v>
      </c>
      <c r="D62" s="54">
        <f>SUMIFS('1. Staff costs'!S:S,'1. Staff costs'!C:C,B62,'1. Staff costs'!B:B,$D$25)+SUMIFS('2-3. Travel Costs&amp;Costs of Stay'!N:N,'2-3. Travel Costs&amp;Costs of Stay'!C:C,B62,'2-3. Travel Costs&amp;Costs of Stay'!B:B,$D$25)+SUMIFS('4. Equipment Costs'!H:H,'4. Equipment Costs'!C:C,B62,'4. Equipment Costs'!B:B,$D$25)+SUMIFS('5. Subcontracting Costs'!H:H,'5. Subcontracting Costs'!C:C,B62,'5. Subcontracting Costs'!B:B,$D$25)</f>
        <v>0</v>
      </c>
      <c r="E62" s="54">
        <f>SUMIFS('1. Staff costs'!S:S,'1. Staff costs'!C:C,B62,'1. Staff costs'!B:B,$E$25)+SUMIFS('2-3. Travel Costs&amp;Costs of Stay'!N:N,'2-3. Travel Costs&amp;Costs of Stay'!C:C,B62,'2-3. Travel Costs&amp;Costs of Stay'!B:B,$E$25)+SUMIFS('4. Equipment Costs'!H:H,'4. Equipment Costs'!C:C,B62,'4. Equipment Costs'!B:B,$E$25)+SUMIFS('5. Subcontracting Costs'!H:H,'5. Subcontracting Costs'!C:C,B62,'5. Subcontracting Costs'!B:B,$E$25)</f>
        <v>0</v>
      </c>
      <c r="F62" s="54">
        <f>SUMIFS('1. Staff costs'!S:S,'1. Staff costs'!C:C,B62,'1. Staff costs'!B:B,$B$8)+SUMIFS('2-3. Travel Costs&amp;Costs of Stay'!N:N,'2-3. Travel Costs&amp;Costs of Stay'!C:C,B62,'2-3. Travel Costs&amp;Costs of Stay'!B:B,$B$8)+SUMIFS('4. Equipment Costs'!H:H,'4. Equipment Costs'!C:C,B62,'4. Equipment Costs'!B:B,$B$8)+SUMIFS('5. Subcontracting Costs'!H:H,'5. Subcontracting Costs'!C:C,B62,'5. Subcontracting Costs'!B:B,$B$8)</f>
        <v>0</v>
      </c>
      <c r="G62" s="54">
        <f>SUMIFS('1. Staff costs'!S:S,'1. Staff costs'!C:C,B62,'1. Staff costs'!B:B,$G$25)+SUMIFS('2-3. Travel Costs&amp;Costs of Stay'!N:N,'2-3. Travel Costs&amp;Costs of Stay'!C:C,B62,'2-3. Travel Costs&amp;Costs of Stay'!B:B,$G$25)+SUMIFS('4. Equipment Costs'!H:H,'4. Equipment Costs'!C:C,B62,'4. Equipment Costs'!B:B,$G$25)+SUMIFS('5. Subcontracting Costs'!H:H,'5. Subcontracting Costs'!C:C,B62,'5. Subcontracting Costs'!B:B,$G$25)</f>
        <v>0</v>
      </c>
      <c r="H62" s="61">
        <f>SUMIF('B. Special Mob Strand - Student'!B:B,B62,'B. Special Mob Strand - Student'!N:N)+SUMIF('B. Special Mob Strand - Staff'!B:B,B62,'B. Special Mob Strand - Staff'!N:N)</f>
        <v>0</v>
      </c>
      <c r="I62" s="64">
        <f t="shared" si="4"/>
        <v>0</v>
      </c>
    </row>
    <row r="63" spans="2:9" x14ac:dyDescent="0.25">
      <c r="B63" s="15" t="s">
        <v>129</v>
      </c>
      <c r="C63" s="54">
        <f>SUMIFS('1. Staff costs'!S:S,'1. Staff costs'!C:C,B63,'1. Staff costs'!B:B,$C$25)+SUMIFS('2-3. Travel Costs&amp;Costs of Stay'!N:N,'2-3. Travel Costs&amp;Costs of Stay'!C:C,B63,'2-3. Travel Costs&amp;Costs of Stay'!B:B,$C$25)+SUMIFS('4. Equipment Costs'!H:H,'4. Equipment Costs'!C:C,B63,'4. Equipment Costs'!B:B,$C$25)+SUMIFS('5. Subcontracting Costs'!H:H,'5. Subcontracting Costs'!C:C,B63,'5. Subcontracting Costs'!B:B,$C$25)</f>
        <v>0</v>
      </c>
      <c r="D63" s="54">
        <f>SUMIFS('1. Staff costs'!S:S,'1. Staff costs'!C:C,B63,'1. Staff costs'!B:B,$D$25)+SUMIFS('2-3. Travel Costs&amp;Costs of Stay'!N:N,'2-3. Travel Costs&amp;Costs of Stay'!C:C,B63,'2-3. Travel Costs&amp;Costs of Stay'!B:B,$D$25)+SUMIFS('4. Equipment Costs'!H:H,'4. Equipment Costs'!C:C,B63,'4. Equipment Costs'!B:B,$D$25)+SUMIFS('5. Subcontracting Costs'!H:H,'5. Subcontracting Costs'!C:C,B63,'5. Subcontracting Costs'!B:B,$D$25)</f>
        <v>0</v>
      </c>
      <c r="E63" s="54">
        <f>SUMIFS('1. Staff costs'!S:S,'1. Staff costs'!C:C,B63,'1. Staff costs'!B:B,$E$25)+SUMIFS('2-3. Travel Costs&amp;Costs of Stay'!N:N,'2-3. Travel Costs&amp;Costs of Stay'!C:C,B63,'2-3. Travel Costs&amp;Costs of Stay'!B:B,$E$25)+SUMIFS('4. Equipment Costs'!H:H,'4. Equipment Costs'!C:C,B63,'4. Equipment Costs'!B:B,$E$25)+SUMIFS('5. Subcontracting Costs'!H:H,'5. Subcontracting Costs'!C:C,B63,'5. Subcontracting Costs'!B:B,$E$25)</f>
        <v>0</v>
      </c>
      <c r="F63" s="54">
        <f>SUMIFS('1. Staff costs'!S:S,'1. Staff costs'!C:C,B63,'1. Staff costs'!B:B,$B$8)+SUMIFS('2-3. Travel Costs&amp;Costs of Stay'!N:N,'2-3. Travel Costs&amp;Costs of Stay'!C:C,B63,'2-3. Travel Costs&amp;Costs of Stay'!B:B,$B$8)+SUMIFS('4. Equipment Costs'!H:H,'4. Equipment Costs'!C:C,B63,'4. Equipment Costs'!B:B,$B$8)+SUMIFS('5. Subcontracting Costs'!H:H,'5. Subcontracting Costs'!C:C,B63,'5. Subcontracting Costs'!B:B,$B$8)</f>
        <v>0</v>
      </c>
      <c r="G63" s="54">
        <f>SUMIFS('1. Staff costs'!S:S,'1. Staff costs'!C:C,B63,'1. Staff costs'!B:B,$G$25)+SUMIFS('2-3. Travel Costs&amp;Costs of Stay'!N:N,'2-3. Travel Costs&amp;Costs of Stay'!C:C,B63,'2-3. Travel Costs&amp;Costs of Stay'!B:B,$G$25)+SUMIFS('4. Equipment Costs'!H:H,'4. Equipment Costs'!C:C,B63,'4. Equipment Costs'!B:B,$G$25)+SUMIFS('5. Subcontracting Costs'!H:H,'5. Subcontracting Costs'!C:C,B63,'5. Subcontracting Costs'!B:B,$G$25)</f>
        <v>0</v>
      </c>
      <c r="H63" s="61">
        <f>SUMIF('B. Special Mob Strand - Student'!B:B,B63,'B. Special Mob Strand - Student'!N:N)+SUMIF('B. Special Mob Strand - Staff'!B:B,B63,'B. Special Mob Strand - Staff'!N:N)</f>
        <v>0</v>
      </c>
      <c r="I63" s="64">
        <f t="shared" si="4"/>
        <v>0</v>
      </c>
    </row>
    <row r="64" spans="2:9" x14ac:dyDescent="0.25">
      <c r="B64" s="15" t="s">
        <v>130</v>
      </c>
      <c r="C64" s="54">
        <f>SUMIFS('1. Staff costs'!S:S,'1. Staff costs'!C:C,B64,'1. Staff costs'!B:B,$C$25)+SUMIFS('2-3. Travel Costs&amp;Costs of Stay'!N:N,'2-3. Travel Costs&amp;Costs of Stay'!C:C,B64,'2-3. Travel Costs&amp;Costs of Stay'!B:B,$C$25)+SUMIFS('4. Equipment Costs'!H:H,'4. Equipment Costs'!C:C,B64,'4. Equipment Costs'!B:B,$C$25)+SUMIFS('5. Subcontracting Costs'!H:H,'5. Subcontracting Costs'!C:C,B64,'5. Subcontracting Costs'!B:B,$C$25)</f>
        <v>0</v>
      </c>
      <c r="D64" s="54">
        <f>SUMIFS('1. Staff costs'!S:S,'1. Staff costs'!C:C,B64,'1. Staff costs'!B:B,$D$25)+SUMIFS('2-3. Travel Costs&amp;Costs of Stay'!N:N,'2-3. Travel Costs&amp;Costs of Stay'!C:C,B64,'2-3. Travel Costs&amp;Costs of Stay'!B:B,$D$25)+SUMIFS('4. Equipment Costs'!H:H,'4. Equipment Costs'!C:C,B64,'4. Equipment Costs'!B:B,$D$25)+SUMIFS('5. Subcontracting Costs'!H:H,'5. Subcontracting Costs'!C:C,B64,'5. Subcontracting Costs'!B:B,$D$25)</f>
        <v>0</v>
      </c>
      <c r="E64" s="54">
        <f>SUMIFS('1. Staff costs'!S:S,'1. Staff costs'!C:C,B64,'1. Staff costs'!B:B,$E$25)+SUMIFS('2-3. Travel Costs&amp;Costs of Stay'!N:N,'2-3. Travel Costs&amp;Costs of Stay'!C:C,B64,'2-3. Travel Costs&amp;Costs of Stay'!B:B,$E$25)+SUMIFS('4. Equipment Costs'!H:H,'4. Equipment Costs'!C:C,B64,'4. Equipment Costs'!B:B,$E$25)+SUMIFS('5. Subcontracting Costs'!H:H,'5. Subcontracting Costs'!C:C,B64,'5. Subcontracting Costs'!B:B,$E$25)</f>
        <v>0</v>
      </c>
      <c r="F64" s="54">
        <f>SUMIFS('1. Staff costs'!S:S,'1. Staff costs'!C:C,B64,'1. Staff costs'!B:B,$B$8)+SUMIFS('2-3. Travel Costs&amp;Costs of Stay'!N:N,'2-3. Travel Costs&amp;Costs of Stay'!C:C,B64,'2-3. Travel Costs&amp;Costs of Stay'!B:B,$B$8)+SUMIFS('4. Equipment Costs'!H:H,'4. Equipment Costs'!C:C,B64,'4. Equipment Costs'!B:B,$B$8)+SUMIFS('5. Subcontracting Costs'!H:H,'5. Subcontracting Costs'!C:C,B64,'5. Subcontracting Costs'!B:B,$B$8)</f>
        <v>0</v>
      </c>
      <c r="G64" s="54">
        <f>SUMIFS('1. Staff costs'!S:S,'1. Staff costs'!C:C,B64,'1. Staff costs'!B:B,$G$25)+SUMIFS('2-3. Travel Costs&amp;Costs of Stay'!N:N,'2-3. Travel Costs&amp;Costs of Stay'!C:C,B64,'2-3. Travel Costs&amp;Costs of Stay'!B:B,$G$25)+SUMIFS('4. Equipment Costs'!H:H,'4. Equipment Costs'!C:C,B64,'4. Equipment Costs'!B:B,$G$25)+SUMIFS('5. Subcontracting Costs'!H:H,'5. Subcontracting Costs'!C:C,B64,'5. Subcontracting Costs'!B:B,$G$25)</f>
        <v>0</v>
      </c>
      <c r="H64" s="61">
        <f>SUMIF('B. Special Mob Strand - Student'!B:B,B64,'B. Special Mob Strand - Student'!N:N)+SUMIF('B. Special Mob Strand - Staff'!B:B,B64,'B. Special Mob Strand - Staff'!N:N)</f>
        <v>0</v>
      </c>
      <c r="I64" s="64">
        <f t="shared" si="4"/>
        <v>0</v>
      </c>
    </row>
    <row r="65" spans="2:9" x14ac:dyDescent="0.25">
      <c r="B65" s="15" t="s">
        <v>131</v>
      </c>
      <c r="C65" s="54">
        <f>SUMIFS('1. Staff costs'!S:S,'1. Staff costs'!C:C,B65,'1. Staff costs'!B:B,$C$25)+SUMIFS('2-3. Travel Costs&amp;Costs of Stay'!N:N,'2-3. Travel Costs&amp;Costs of Stay'!C:C,B65,'2-3. Travel Costs&amp;Costs of Stay'!B:B,$C$25)+SUMIFS('4. Equipment Costs'!H:H,'4. Equipment Costs'!C:C,B65,'4. Equipment Costs'!B:B,$C$25)+SUMIFS('5. Subcontracting Costs'!H:H,'5. Subcontracting Costs'!C:C,B65,'5. Subcontracting Costs'!B:B,$C$25)</f>
        <v>0</v>
      </c>
      <c r="D65" s="54">
        <f>SUMIFS('1. Staff costs'!S:S,'1. Staff costs'!C:C,B65,'1. Staff costs'!B:B,$D$25)+SUMIFS('2-3. Travel Costs&amp;Costs of Stay'!N:N,'2-3. Travel Costs&amp;Costs of Stay'!C:C,B65,'2-3. Travel Costs&amp;Costs of Stay'!B:B,$D$25)+SUMIFS('4. Equipment Costs'!H:H,'4. Equipment Costs'!C:C,B65,'4. Equipment Costs'!B:B,$D$25)+SUMIFS('5. Subcontracting Costs'!H:H,'5. Subcontracting Costs'!C:C,B65,'5. Subcontracting Costs'!B:B,$D$25)</f>
        <v>0</v>
      </c>
      <c r="E65" s="54">
        <f>SUMIFS('1. Staff costs'!S:S,'1. Staff costs'!C:C,B65,'1. Staff costs'!B:B,$E$25)+SUMIFS('2-3. Travel Costs&amp;Costs of Stay'!N:N,'2-3. Travel Costs&amp;Costs of Stay'!C:C,B65,'2-3. Travel Costs&amp;Costs of Stay'!B:B,$E$25)+SUMIFS('4. Equipment Costs'!H:H,'4. Equipment Costs'!C:C,B65,'4. Equipment Costs'!B:B,$E$25)+SUMIFS('5. Subcontracting Costs'!H:H,'5. Subcontracting Costs'!C:C,B65,'5. Subcontracting Costs'!B:B,$E$25)</f>
        <v>0</v>
      </c>
      <c r="F65" s="54">
        <f>SUMIFS('1. Staff costs'!S:S,'1. Staff costs'!C:C,B65,'1. Staff costs'!B:B,$B$8)+SUMIFS('2-3. Travel Costs&amp;Costs of Stay'!N:N,'2-3. Travel Costs&amp;Costs of Stay'!C:C,B65,'2-3. Travel Costs&amp;Costs of Stay'!B:B,$B$8)+SUMIFS('4. Equipment Costs'!H:H,'4. Equipment Costs'!C:C,B65,'4. Equipment Costs'!B:B,$B$8)+SUMIFS('5. Subcontracting Costs'!H:H,'5. Subcontracting Costs'!C:C,B65,'5. Subcontracting Costs'!B:B,$B$8)</f>
        <v>0</v>
      </c>
      <c r="G65" s="54">
        <f>SUMIFS('1. Staff costs'!S:S,'1. Staff costs'!C:C,B65,'1. Staff costs'!B:B,$G$25)+SUMIFS('2-3. Travel Costs&amp;Costs of Stay'!N:N,'2-3. Travel Costs&amp;Costs of Stay'!C:C,B65,'2-3. Travel Costs&amp;Costs of Stay'!B:B,$G$25)+SUMIFS('4. Equipment Costs'!H:H,'4. Equipment Costs'!C:C,B65,'4. Equipment Costs'!B:B,$G$25)+SUMIFS('5. Subcontracting Costs'!H:H,'5. Subcontracting Costs'!C:C,B65,'5. Subcontracting Costs'!B:B,$G$25)</f>
        <v>0</v>
      </c>
      <c r="H65" s="61">
        <f>SUMIF('B. Special Mob Strand - Student'!B:B,B65,'B. Special Mob Strand - Student'!N:N)+SUMIF('B. Special Mob Strand - Staff'!B:B,B65,'B. Special Mob Strand - Staff'!N:N)</f>
        <v>0</v>
      </c>
      <c r="I65" s="64">
        <f t="shared" si="4"/>
        <v>0</v>
      </c>
    </row>
    <row r="66" spans="2:9" x14ac:dyDescent="0.25">
      <c r="B66" s="15" t="s">
        <v>141</v>
      </c>
      <c r="C66" s="54">
        <f>SUMIFS('1. Staff costs'!S:S,'1. Staff costs'!C:C,B66,'1. Staff costs'!B:B,$C$25)+SUMIFS('2-3. Travel Costs&amp;Costs of Stay'!N:N,'2-3. Travel Costs&amp;Costs of Stay'!C:C,B66,'2-3. Travel Costs&amp;Costs of Stay'!B:B,$C$25)+SUMIFS('4. Equipment Costs'!H:H,'4. Equipment Costs'!C:C,B66,'4. Equipment Costs'!B:B,$C$25)+SUMIFS('5. Subcontracting Costs'!H:H,'5. Subcontracting Costs'!C:C,B66,'5. Subcontracting Costs'!B:B,$C$25)</f>
        <v>0</v>
      </c>
      <c r="D66" s="54">
        <f>SUMIFS('1. Staff costs'!S:S,'1. Staff costs'!C:C,B66,'1. Staff costs'!B:B,$D$25)+SUMIFS('2-3. Travel Costs&amp;Costs of Stay'!N:N,'2-3. Travel Costs&amp;Costs of Stay'!C:C,B66,'2-3. Travel Costs&amp;Costs of Stay'!B:B,$D$25)+SUMIFS('4. Equipment Costs'!H:H,'4. Equipment Costs'!C:C,B66,'4. Equipment Costs'!B:B,$D$25)+SUMIFS('5. Subcontracting Costs'!H:H,'5. Subcontracting Costs'!C:C,B66,'5. Subcontracting Costs'!B:B,$D$25)</f>
        <v>0</v>
      </c>
      <c r="E66" s="54">
        <f>SUMIFS('1. Staff costs'!S:S,'1. Staff costs'!C:C,B66,'1. Staff costs'!B:B,$E$25)+SUMIFS('2-3. Travel Costs&amp;Costs of Stay'!N:N,'2-3. Travel Costs&amp;Costs of Stay'!C:C,B66,'2-3. Travel Costs&amp;Costs of Stay'!B:B,$E$25)+SUMIFS('4. Equipment Costs'!H:H,'4. Equipment Costs'!C:C,B66,'4. Equipment Costs'!B:B,$E$25)+SUMIFS('5. Subcontracting Costs'!H:H,'5. Subcontracting Costs'!C:C,B66,'5. Subcontracting Costs'!B:B,$E$25)</f>
        <v>0</v>
      </c>
      <c r="F66" s="54">
        <f>SUMIFS('1. Staff costs'!S:S,'1. Staff costs'!C:C,B66,'1. Staff costs'!B:B,$B$8)+SUMIFS('2-3. Travel Costs&amp;Costs of Stay'!N:N,'2-3. Travel Costs&amp;Costs of Stay'!C:C,B66,'2-3. Travel Costs&amp;Costs of Stay'!B:B,$B$8)+SUMIFS('4. Equipment Costs'!H:H,'4. Equipment Costs'!C:C,B66,'4. Equipment Costs'!B:B,$B$8)+SUMIFS('5. Subcontracting Costs'!H:H,'5. Subcontracting Costs'!C:C,B66,'5. Subcontracting Costs'!B:B,$B$8)</f>
        <v>0</v>
      </c>
      <c r="G66" s="54">
        <f>SUMIFS('1. Staff costs'!S:S,'1. Staff costs'!C:C,B66,'1. Staff costs'!B:B,$G$25)+SUMIFS('2-3. Travel Costs&amp;Costs of Stay'!N:N,'2-3. Travel Costs&amp;Costs of Stay'!C:C,B66,'2-3. Travel Costs&amp;Costs of Stay'!B:B,$G$25)+SUMIFS('4. Equipment Costs'!H:H,'4. Equipment Costs'!C:C,B66,'4. Equipment Costs'!B:B,$G$25)+SUMIFS('5. Subcontracting Costs'!H:H,'5. Subcontracting Costs'!C:C,B66,'5. Subcontracting Costs'!B:B,$G$25)</f>
        <v>0</v>
      </c>
      <c r="H66" s="61">
        <f>SUMIF('B. Special Mob Strand - Student'!B:B,B66,'B. Special Mob Strand - Student'!N:N)+SUMIF('B. Special Mob Strand - Staff'!B:B,B66,'B. Special Mob Strand - Staff'!N:N)</f>
        <v>0</v>
      </c>
      <c r="I66" s="64">
        <f t="shared" si="4"/>
        <v>0</v>
      </c>
    </row>
    <row r="67" spans="2:9" x14ac:dyDescent="0.25">
      <c r="B67" s="15" t="s">
        <v>142</v>
      </c>
      <c r="C67" s="54">
        <f>SUMIFS('1. Staff costs'!S:S,'1. Staff costs'!C:C,B67,'1. Staff costs'!B:B,$C$25)+SUMIFS('2-3. Travel Costs&amp;Costs of Stay'!N:N,'2-3. Travel Costs&amp;Costs of Stay'!C:C,B67,'2-3. Travel Costs&amp;Costs of Stay'!B:B,$C$25)+SUMIFS('4. Equipment Costs'!H:H,'4. Equipment Costs'!C:C,B67,'4. Equipment Costs'!B:B,$C$25)+SUMIFS('5. Subcontracting Costs'!H:H,'5. Subcontracting Costs'!C:C,B67,'5. Subcontracting Costs'!B:B,$C$25)</f>
        <v>0</v>
      </c>
      <c r="D67" s="54">
        <f>SUMIFS('1. Staff costs'!S:S,'1. Staff costs'!C:C,B67,'1. Staff costs'!B:B,$D$25)+SUMIFS('2-3. Travel Costs&amp;Costs of Stay'!N:N,'2-3. Travel Costs&amp;Costs of Stay'!C:C,B67,'2-3. Travel Costs&amp;Costs of Stay'!B:B,$D$25)+SUMIFS('4. Equipment Costs'!H:H,'4. Equipment Costs'!C:C,B67,'4. Equipment Costs'!B:B,$D$25)+SUMIFS('5. Subcontracting Costs'!H:H,'5. Subcontracting Costs'!C:C,B67,'5. Subcontracting Costs'!B:B,$D$25)</f>
        <v>0</v>
      </c>
      <c r="E67" s="54">
        <f>SUMIFS('1. Staff costs'!S:S,'1. Staff costs'!C:C,B67,'1. Staff costs'!B:B,$E$25)+SUMIFS('2-3. Travel Costs&amp;Costs of Stay'!N:N,'2-3. Travel Costs&amp;Costs of Stay'!C:C,B67,'2-3. Travel Costs&amp;Costs of Stay'!B:B,$E$25)+SUMIFS('4. Equipment Costs'!H:H,'4. Equipment Costs'!C:C,B67,'4. Equipment Costs'!B:B,$E$25)+SUMIFS('5. Subcontracting Costs'!H:H,'5. Subcontracting Costs'!C:C,B67,'5. Subcontracting Costs'!B:B,$E$25)</f>
        <v>0</v>
      </c>
      <c r="F67" s="54">
        <f>SUMIFS('1. Staff costs'!S:S,'1. Staff costs'!C:C,B67,'1. Staff costs'!B:B,$B$8)+SUMIFS('2-3. Travel Costs&amp;Costs of Stay'!N:N,'2-3. Travel Costs&amp;Costs of Stay'!C:C,B67,'2-3. Travel Costs&amp;Costs of Stay'!B:B,$B$8)+SUMIFS('4. Equipment Costs'!H:H,'4. Equipment Costs'!C:C,B67,'4. Equipment Costs'!B:B,$B$8)+SUMIFS('5. Subcontracting Costs'!H:H,'5. Subcontracting Costs'!C:C,B67,'5. Subcontracting Costs'!B:B,$B$8)</f>
        <v>0</v>
      </c>
      <c r="G67" s="54">
        <f>SUMIFS('1. Staff costs'!S:S,'1. Staff costs'!C:C,B67,'1. Staff costs'!B:B,$G$25)+SUMIFS('2-3. Travel Costs&amp;Costs of Stay'!N:N,'2-3. Travel Costs&amp;Costs of Stay'!C:C,B67,'2-3. Travel Costs&amp;Costs of Stay'!B:B,$G$25)+SUMIFS('4. Equipment Costs'!H:H,'4. Equipment Costs'!C:C,B67,'4. Equipment Costs'!B:B,$G$25)+SUMIFS('5. Subcontracting Costs'!H:H,'5. Subcontracting Costs'!C:C,B67,'5. Subcontracting Costs'!B:B,$G$25)</f>
        <v>0</v>
      </c>
      <c r="H67" s="61">
        <f>SUMIF('B. Special Mob Strand - Student'!B:B,B67,'B. Special Mob Strand - Student'!N:N)+SUMIF('B. Special Mob Strand - Staff'!B:B,B67,'B. Special Mob Strand - Staff'!N:N)</f>
        <v>0</v>
      </c>
      <c r="I67" s="64">
        <f t="shared" si="4"/>
        <v>0</v>
      </c>
    </row>
    <row r="68" spans="2:9" x14ac:dyDescent="0.25">
      <c r="B68" s="15" t="s">
        <v>143</v>
      </c>
      <c r="C68" s="54">
        <f>SUMIFS('1. Staff costs'!S:S,'1. Staff costs'!C:C,B68,'1. Staff costs'!B:B,$C$25)+SUMIFS('2-3. Travel Costs&amp;Costs of Stay'!N:N,'2-3. Travel Costs&amp;Costs of Stay'!C:C,B68,'2-3. Travel Costs&amp;Costs of Stay'!B:B,$C$25)+SUMIFS('4. Equipment Costs'!H:H,'4. Equipment Costs'!C:C,B68,'4. Equipment Costs'!B:B,$C$25)+SUMIFS('5. Subcontracting Costs'!H:H,'5. Subcontracting Costs'!C:C,B68,'5. Subcontracting Costs'!B:B,$C$25)</f>
        <v>0</v>
      </c>
      <c r="D68" s="54">
        <f>SUMIFS('1. Staff costs'!S:S,'1. Staff costs'!C:C,B68,'1. Staff costs'!B:B,$D$25)+SUMIFS('2-3. Travel Costs&amp;Costs of Stay'!N:N,'2-3. Travel Costs&amp;Costs of Stay'!C:C,B68,'2-3. Travel Costs&amp;Costs of Stay'!B:B,$D$25)+SUMIFS('4. Equipment Costs'!H:H,'4. Equipment Costs'!C:C,B68,'4. Equipment Costs'!B:B,$D$25)+SUMIFS('5. Subcontracting Costs'!H:H,'5. Subcontracting Costs'!C:C,B68,'5. Subcontracting Costs'!B:B,$D$25)</f>
        <v>0</v>
      </c>
      <c r="E68" s="54">
        <f>SUMIFS('1. Staff costs'!S:S,'1. Staff costs'!C:C,B68,'1. Staff costs'!B:B,$E$25)+SUMIFS('2-3. Travel Costs&amp;Costs of Stay'!N:N,'2-3. Travel Costs&amp;Costs of Stay'!C:C,B68,'2-3. Travel Costs&amp;Costs of Stay'!B:B,$E$25)+SUMIFS('4. Equipment Costs'!H:H,'4. Equipment Costs'!C:C,B68,'4. Equipment Costs'!B:B,$E$25)+SUMIFS('5. Subcontracting Costs'!H:H,'5. Subcontracting Costs'!C:C,B68,'5. Subcontracting Costs'!B:B,$E$25)</f>
        <v>0</v>
      </c>
      <c r="F68" s="54">
        <f>SUMIFS('1. Staff costs'!S:S,'1. Staff costs'!C:C,B68,'1. Staff costs'!B:B,$B$8)+SUMIFS('2-3. Travel Costs&amp;Costs of Stay'!N:N,'2-3. Travel Costs&amp;Costs of Stay'!C:C,B68,'2-3. Travel Costs&amp;Costs of Stay'!B:B,$B$8)+SUMIFS('4. Equipment Costs'!H:H,'4. Equipment Costs'!C:C,B68,'4. Equipment Costs'!B:B,$B$8)+SUMIFS('5. Subcontracting Costs'!H:H,'5. Subcontracting Costs'!C:C,B68,'5. Subcontracting Costs'!B:B,$B$8)</f>
        <v>0</v>
      </c>
      <c r="G68" s="54">
        <f>SUMIFS('1. Staff costs'!S:S,'1. Staff costs'!C:C,B68,'1. Staff costs'!B:B,$G$25)+SUMIFS('2-3. Travel Costs&amp;Costs of Stay'!N:N,'2-3. Travel Costs&amp;Costs of Stay'!C:C,B68,'2-3. Travel Costs&amp;Costs of Stay'!B:B,$G$25)+SUMIFS('4. Equipment Costs'!H:H,'4. Equipment Costs'!C:C,B68,'4. Equipment Costs'!B:B,$G$25)+SUMIFS('5. Subcontracting Costs'!H:H,'5. Subcontracting Costs'!C:C,B68,'5. Subcontracting Costs'!B:B,$G$25)</f>
        <v>0</v>
      </c>
      <c r="H68" s="61">
        <f>SUMIF('B. Special Mob Strand - Student'!B:B,B68,'B. Special Mob Strand - Student'!N:N)+SUMIF('B. Special Mob Strand - Staff'!B:B,B68,'B. Special Mob Strand - Staff'!N:N)</f>
        <v>0</v>
      </c>
      <c r="I68" s="64">
        <f t="shared" si="4"/>
        <v>0</v>
      </c>
    </row>
    <row r="69" spans="2:9" x14ac:dyDescent="0.25">
      <c r="B69" s="15" t="s">
        <v>144</v>
      </c>
      <c r="C69" s="54">
        <f>SUMIFS('1. Staff costs'!S:S,'1. Staff costs'!C:C,B69,'1. Staff costs'!B:B,$C$25)+SUMIFS('2-3. Travel Costs&amp;Costs of Stay'!N:N,'2-3. Travel Costs&amp;Costs of Stay'!C:C,B69,'2-3. Travel Costs&amp;Costs of Stay'!B:B,$C$25)+SUMIFS('4. Equipment Costs'!H:H,'4. Equipment Costs'!C:C,B69,'4. Equipment Costs'!B:B,$C$25)+SUMIFS('5. Subcontracting Costs'!H:H,'5. Subcontracting Costs'!C:C,B69,'5. Subcontracting Costs'!B:B,$C$25)</f>
        <v>0</v>
      </c>
      <c r="D69" s="54">
        <f>SUMIFS('1. Staff costs'!S:S,'1. Staff costs'!C:C,B69,'1. Staff costs'!B:B,$D$25)+SUMIFS('2-3. Travel Costs&amp;Costs of Stay'!N:N,'2-3. Travel Costs&amp;Costs of Stay'!C:C,B69,'2-3. Travel Costs&amp;Costs of Stay'!B:B,$D$25)+SUMIFS('4. Equipment Costs'!H:H,'4. Equipment Costs'!C:C,B69,'4. Equipment Costs'!B:B,$D$25)+SUMIFS('5. Subcontracting Costs'!H:H,'5. Subcontracting Costs'!C:C,B69,'5. Subcontracting Costs'!B:B,$D$25)</f>
        <v>0</v>
      </c>
      <c r="E69" s="54">
        <f>SUMIFS('1. Staff costs'!S:S,'1. Staff costs'!C:C,B69,'1. Staff costs'!B:B,$E$25)+SUMIFS('2-3. Travel Costs&amp;Costs of Stay'!N:N,'2-3. Travel Costs&amp;Costs of Stay'!C:C,B69,'2-3. Travel Costs&amp;Costs of Stay'!B:B,$E$25)+SUMIFS('4. Equipment Costs'!H:H,'4. Equipment Costs'!C:C,B69,'4. Equipment Costs'!B:B,$E$25)+SUMIFS('5. Subcontracting Costs'!H:H,'5. Subcontracting Costs'!C:C,B69,'5. Subcontracting Costs'!B:B,$E$25)</f>
        <v>0</v>
      </c>
      <c r="F69" s="54">
        <f>SUMIFS('1. Staff costs'!S:S,'1. Staff costs'!C:C,B69,'1. Staff costs'!B:B,$B$8)+SUMIFS('2-3. Travel Costs&amp;Costs of Stay'!N:N,'2-3. Travel Costs&amp;Costs of Stay'!C:C,B69,'2-3. Travel Costs&amp;Costs of Stay'!B:B,$B$8)+SUMIFS('4. Equipment Costs'!H:H,'4. Equipment Costs'!C:C,B69,'4. Equipment Costs'!B:B,$B$8)+SUMIFS('5. Subcontracting Costs'!H:H,'5. Subcontracting Costs'!C:C,B69,'5. Subcontracting Costs'!B:B,$B$8)</f>
        <v>0</v>
      </c>
      <c r="G69" s="54">
        <f>SUMIFS('1. Staff costs'!S:S,'1. Staff costs'!C:C,B69,'1. Staff costs'!B:B,$G$25)+SUMIFS('2-3. Travel Costs&amp;Costs of Stay'!N:N,'2-3. Travel Costs&amp;Costs of Stay'!C:C,B69,'2-3. Travel Costs&amp;Costs of Stay'!B:B,$G$25)+SUMIFS('4. Equipment Costs'!H:H,'4. Equipment Costs'!C:C,B69,'4. Equipment Costs'!B:B,$G$25)+SUMIFS('5. Subcontracting Costs'!H:H,'5. Subcontracting Costs'!C:C,B69,'5. Subcontracting Costs'!B:B,$G$25)</f>
        <v>0</v>
      </c>
      <c r="H69" s="61">
        <f>SUMIF('B. Special Mob Strand - Student'!B:B,B69,'B. Special Mob Strand - Student'!N:N)+SUMIF('B. Special Mob Strand - Staff'!B:B,B69,'B. Special Mob Strand - Staff'!N:N)</f>
        <v>0</v>
      </c>
      <c r="I69" s="64">
        <f t="shared" si="4"/>
        <v>0</v>
      </c>
    </row>
    <row r="70" spans="2:9" x14ac:dyDescent="0.25">
      <c r="B70" s="15" t="s">
        <v>145</v>
      </c>
      <c r="C70" s="54">
        <f>SUMIFS('1. Staff costs'!S:S,'1. Staff costs'!C:C,B70,'1. Staff costs'!B:B,$C$25)+SUMIFS('2-3. Travel Costs&amp;Costs of Stay'!N:N,'2-3. Travel Costs&amp;Costs of Stay'!C:C,B70,'2-3. Travel Costs&amp;Costs of Stay'!B:B,$C$25)+SUMIFS('4. Equipment Costs'!H:H,'4. Equipment Costs'!C:C,B70,'4. Equipment Costs'!B:B,$C$25)+SUMIFS('5. Subcontracting Costs'!H:H,'5. Subcontracting Costs'!C:C,B70,'5. Subcontracting Costs'!B:B,$C$25)</f>
        <v>0</v>
      </c>
      <c r="D70" s="54">
        <f>SUMIFS('1. Staff costs'!S:S,'1. Staff costs'!C:C,B70,'1. Staff costs'!B:B,$D$25)+SUMIFS('2-3. Travel Costs&amp;Costs of Stay'!N:N,'2-3. Travel Costs&amp;Costs of Stay'!C:C,B70,'2-3. Travel Costs&amp;Costs of Stay'!B:B,$D$25)+SUMIFS('4. Equipment Costs'!H:H,'4. Equipment Costs'!C:C,B70,'4. Equipment Costs'!B:B,$D$25)+SUMIFS('5. Subcontracting Costs'!H:H,'5. Subcontracting Costs'!C:C,B70,'5. Subcontracting Costs'!B:B,$D$25)</f>
        <v>0</v>
      </c>
      <c r="E70" s="54">
        <f>SUMIFS('1. Staff costs'!S:S,'1. Staff costs'!C:C,B70,'1. Staff costs'!B:B,$E$25)+SUMIFS('2-3. Travel Costs&amp;Costs of Stay'!N:N,'2-3. Travel Costs&amp;Costs of Stay'!C:C,B70,'2-3. Travel Costs&amp;Costs of Stay'!B:B,$E$25)+SUMIFS('4. Equipment Costs'!H:H,'4. Equipment Costs'!C:C,B70,'4. Equipment Costs'!B:B,$E$25)+SUMIFS('5. Subcontracting Costs'!H:H,'5. Subcontracting Costs'!C:C,B70,'5. Subcontracting Costs'!B:B,$E$25)</f>
        <v>0</v>
      </c>
      <c r="F70" s="54">
        <f>SUMIFS('1. Staff costs'!S:S,'1. Staff costs'!C:C,B70,'1. Staff costs'!B:B,$B$8)+SUMIFS('2-3. Travel Costs&amp;Costs of Stay'!N:N,'2-3. Travel Costs&amp;Costs of Stay'!C:C,B70,'2-3. Travel Costs&amp;Costs of Stay'!B:B,$B$8)+SUMIFS('4. Equipment Costs'!H:H,'4. Equipment Costs'!C:C,B70,'4. Equipment Costs'!B:B,$B$8)+SUMIFS('5. Subcontracting Costs'!H:H,'5. Subcontracting Costs'!C:C,B70,'5. Subcontracting Costs'!B:B,$B$8)</f>
        <v>0</v>
      </c>
      <c r="G70" s="54">
        <f>SUMIFS('1. Staff costs'!S:S,'1. Staff costs'!C:C,B70,'1. Staff costs'!B:B,$G$25)+SUMIFS('2-3. Travel Costs&amp;Costs of Stay'!N:N,'2-3. Travel Costs&amp;Costs of Stay'!C:C,B70,'2-3. Travel Costs&amp;Costs of Stay'!B:B,$G$25)+SUMIFS('4. Equipment Costs'!H:H,'4. Equipment Costs'!C:C,B70,'4. Equipment Costs'!B:B,$G$25)+SUMIFS('5. Subcontracting Costs'!H:H,'5. Subcontracting Costs'!C:C,B70,'5. Subcontracting Costs'!B:B,$G$25)</f>
        <v>0</v>
      </c>
      <c r="H70" s="61">
        <f>SUMIF('B. Special Mob Strand - Student'!B:B,B70,'B. Special Mob Strand - Student'!N:N)+SUMIF('B. Special Mob Strand - Staff'!B:B,B70,'B. Special Mob Strand - Staff'!N:N)</f>
        <v>0</v>
      </c>
      <c r="I70" s="64">
        <f t="shared" si="4"/>
        <v>0</v>
      </c>
    </row>
    <row r="71" spans="2:9" x14ac:dyDescent="0.25">
      <c r="B71" s="15" t="s">
        <v>146</v>
      </c>
      <c r="C71" s="54">
        <f>SUMIFS('1. Staff costs'!S:S,'1. Staff costs'!C:C,B71,'1. Staff costs'!B:B,$C$25)+SUMIFS('2-3. Travel Costs&amp;Costs of Stay'!N:N,'2-3. Travel Costs&amp;Costs of Stay'!C:C,B71,'2-3. Travel Costs&amp;Costs of Stay'!B:B,$C$25)+SUMIFS('4. Equipment Costs'!H:H,'4. Equipment Costs'!C:C,B71,'4. Equipment Costs'!B:B,$C$25)+SUMIFS('5. Subcontracting Costs'!H:H,'5. Subcontracting Costs'!C:C,B71,'5. Subcontracting Costs'!B:B,$C$25)</f>
        <v>0</v>
      </c>
      <c r="D71" s="54">
        <f>SUMIFS('1. Staff costs'!S:S,'1. Staff costs'!C:C,B71,'1. Staff costs'!B:B,$D$25)+SUMIFS('2-3. Travel Costs&amp;Costs of Stay'!N:N,'2-3. Travel Costs&amp;Costs of Stay'!C:C,B71,'2-3. Travel Costs&amp;Costs of Stay'!B:B,$D$25)+SUMIFS('4. Equipment Costs'!H:H,'4. Equipment Costs'!C:C,B71,'4. Equipment Costs'!B:B,$D$25)+SUMIFS('5. Subcontracting Costs'!H:H,'5. Subcontracting Costs'!C:C,B71,'5. Subcontracting Costs'!B:B,$D$25)</f>
        <v>0</v>
      </c>
      <c r="E71" s="54">
        <f>SUMIFS('1. Staff costs'!S:S,'1. Staff costs'!C:C,B71,'1. Staff costs'!B:B,$E$25)+SUMIFS('2-3. Travel Costs&amp;Costs of Stay'!N:N,'2-3. Travel Costs&amp;Costs of Stay'!C:C,B71,'2-3. Travel Costs&amp;Costs of Stay'!B:B,$E$25)+SUMIFS('4. Equipment Costs'!H:H,'4. Equipment Costs'!C:C,B71,'4. Equipment Costs'!B:B,$E$25)+SUMIFS('5. Subcontracting Costs'!H:H,'5. Subcontracting Costs'!C:C,B71,'5. Subcontracting Costs'!B:B,$E$25)</f>
        <v>0</v>
      </c>
      <c r="F71" s="54">
        <f>SUMIFS('1. Staff costs'!S:S,'1. Staff costs'!C:C,B71,'1. Staff costs'!B:B,$B$8)+SUMIFS('2-3. Travel Costs&amp;Costs of Stay'!N:N,'2-3. Travel Costs&amp;Costs of Stay'!C:C,B71,'2-3. Travel Costs&amp;Costs of Stay'!B:B,$B$8)+SUMIFS('4. Equipment Costs'!H:H,'4. Equipment Costs'!C:C,B71,'4. Equipment Costs'!B:B,$B$8)+SUMIFS('5. Subcontracting Costs'!H:H,'5. Subcontracting Costs'!C:C,B71,'5. Subcontracting Costs'!B:B,$B$8)</f>
        <v>0</v>
      </c>
      <c r="G71" s="54">
        <f>SUMIFS('1. Staff costs'!S:S,'1. Staff costs'!C:C,B71,'1. Staff costs'!B:B,$G$25)+SUMIFS('2-3. Travel Costs&amp;Costs of Stay'!N:N,'2-3. Travel Costs&amp;Costs of Stay'!C:C,B71,'2-3. Travel Costs&amp;Costs of Stay'!B:B,$G$25)+SUMIFS('4. Equipment Costs'!H:H,'4. Equipment Costs'!C:C,B71,'4. Equipment Costs'!B:B,$G$25)+SUMIFS('5. Subcontracting Costs'!H:H,'5. Subcontracting Costs'!C:C,B71,'5. Subcontracting Costs'!B:B,$G$25)</f>
        <v>0</v>
      </c>
      <c r="H71" s="61">
        <f>SUMIF('B. Special Mob Strand - Student'!B:B,B71,'B. Special Mob Strand - Student'!N:N)+SUMIF('B. Special Mob Strand - Staff'!B:B,B71,'B. Special Mob Strand - Staff'!N:N)</f>
        <v>0</v>
      </c>
      <c r="I71" s="64">
        <f t="shared" si="4"/>
        <v>0</v>
      </c>
    </row>
    <row r="72" spans="2:9" x14ac:dyDescent="0.25">
      <c r="B72" s="15" t="s">
        <v>147</v>
      </c>
      <c r="C72" s="54">
        <f>SUMIFS('1. Staff costs'!S:S,'1. Staff costs'!C:C,B72,'1. Staff costs'!B:B,$C$25)+SUMIFS('2-3. Travel Costs&amp;Costs of Stay'!N:N,'2-3. Travel Costs&amp;Costs of Stay'!C:C,B72,'2-3. Travel Costs&amp;Costs of Stay'!B:B,$C$25)+SUMIFS('4. Equipment Costs'!H:H,'4. Equipment Costs'!C:C,B72,'4. Equipment Costs'!B:B,$C$25)+SUMIFS('5. Subcontracting Costs'!H:H,'5. Subcontracting Costs'!C:C,B72,'5. Subcontracting Costs'!B:B,$C$25)</f>
        <v>0</v>
      </c>
      <c r="D72" s="54">
        <f>SUMIFS('1. Staff costs'!S:S,'1. Staff costs'!C:C,B72,'1. Staff costs'!B:B,$D$25)+SUMIFS('2-3. Travel Costs&amp;Costs of Stay'!N:N,'2-3. Travel Costs&amp;Costs of Stay'!C:C,B72,'2-3. Travel Costs&amp;Costs of Stay'!B:B,$D$25)+SUMIFS('4. Equipment Costs'!H:H,'4. Equipment Costs'!C:C,B72,'4. Equipment Costs'!B:B,$D$25)+SUMIFS('5. Subcontracting Costs'!H:H,'5. Subcontracting Costs'!C:C,B72,'5. Subcontracting Costs'!B:B,$D$25)</f>
        <v>0</v>
      </c>
      <c r="E72" s="54">
        <f>SUMIFS('1. Staff costs'!S:S,'1. Staff costs'!C:C,B72,'1. Staff costs'!B:B,$E$25)+SUMIFS('2-3. Travel Costs&amp;Costs of Stay'!N:N,'2-3. Travel Costs&amp;Costs of Stay'!C:C,B72,'2-3. Travel Costs&amp;Costs of Stay'!B:B,$E$25)+SUMIFS('4. Equipment Costs'!H:H,'4. Equipment Costs'!C:C,B72,'4. Equipment Costs'!B:B,$E$25)+SUMIFS('5. Subcontracting Costs'!H:H,'5. Subcontracting Costs'!C:C,B72,'5. Subcontracting Costs'!B:B,$E$25)</f>
        <v>0</v>
      </c>
      <c r="F72" s="54">
        <f>SUMIFS('1. Staff costs'!S:S,'1. Staff costs'!C:C,B72,'1. Staff costs'!B:B,$B$8)+SUMIFS('2-3. Travel Costs&amp;Costs of Stay'!N:N,'2-3. Travel Costs&amp;Costs of Stay'!C:C,B72,'2-3. Travel Costs&amp;Costs of Stay'!B:B,$B$8)+SUMIFS('4. Equipment Costs'!H:H,'4. Equipment Costs'!C:C,B72,'4. Equipment Costs'!B:B,$B$8)+SUMIFS('5. Subcontracting Costs'!H:H,'5. Subcontracting Costs'!C:C,B72,'5. Subcontracting Costs'!B:B,$B$8)</f>
        <v>0</v>
      </c>
      <c r="G72" s="54">
        <f>SUMIFS('1. Staff costs'!S:S,'1. Staff costs'!C:C,B72,'1. Staff costs'!B:B,$G$25)+SUMIFS('2-3. Travel Costs&amp;Costs of Stay'!N:N,'2-3. Travel Costs&amp;Costs of Stay'!C:C,B72,'2-3. Travel Costs&amp;Costs of Stay'!B:B,$G$25)+SUMIFS('4. Equipment Costs'!H:H,'4. Equipment Costs'!C:C,B72,'4. Equipment Costs'!B:B,$G$25)+SUMIFS('5. Subcontracting Costs'!H:H,'5. Subcontracting Costs'!C:C,B72,'5. Subcontracting Costs'!B:B,$G$25)</f>
        <v>0</v>
      </c>
      <c r="H72" s="61">
        <f>SUMIF('B. Special Mob Strand - Student'!B:B,B72,'B. Special Mob Strand - Student'!N:N)+SUMIF('B. Special Mob Strand - Staff'!B:B,B72,'B. Special Mob Strand - Staff'!N:N)</f>
        <v>0</v>
      </c>
      <c r="I72" s="64">
        <f t="shared" si="4"/>
        <v>0</v>
      </c>
    </row>
    <row r="73" spans="2:9" x14ac:dyDescent="0.25">
      <c r="B73" s="15" t="s">
        <v>148</v>
      </c>
      <c r="C73" s="54">
        <f>SUMIFS('1. Staff costs'!S:S,'1. Staff costs'!C:C,B73,'1. Staff costs'!B:B,$C$25)+SUMIFS('2-3. Travel Costs&amp;Costs of Stay'!N:N,'2-3. Travel Costs&amp;Costs of Stay'!C:C,B73,'2-3. Travel Costs&amp;Costs of Stay'!B:B,$C$25)+SUMIFS('4. Equipment Costs'!H:H,'4. Equipment Costs'!C:C,B73,'4. Equipment Costs'!B:B,$C$25)+SUMIFS('5. Subcontracting Costs'!H:H,'5. Subcontracting Costs'!C:C,B73,'5. Subcontracting Costs'!B:B,$C$25)</f>
        <v>0</v>
      </c>
      <c r="D73" s="54">
        <f>SUMIFS('1. Staff costs'!S:S,'1. Staff costs'!C:C,B73,'1. Staff costs'!B:B,$D$25)+SUMIFS('2-3. Travel Costs&amp;Costs of Stay'!N:N,'2-3. Travel Costs&amp;Costs of Stay'!C:C,B73,'2-3. Travel Costs&amp;Costs of Stay'!B:B,$D$25)+SUMIFS('4. Equipment Costs'!H:H,'4. Equipment Costs'!C:C,B73,'4. Equipment Costs'!B:B,$D$25)+SUMIFS('5. Subcontracting Costs'!H:H,'5. Subcontracting Costs'!C:C,B73,'5. Subcontracting Costs'!B:B,$D$25)</f>
        <v>0</v>
      </c>
      <c r="E73" s="54">
        <f>SUMIFS('1. Staff costs'!S:S,'1. Staff costs'!C:C,B73,'1. Staff costs'!B:B,$E$25)+SUMIFS('2-3. Travel Costs&amp;Costs of Stay'!N:N,'2-3. Travel Costs&amp;Costs of Stay'!C:C,B73,'2-3. Travel Costs&amp;Costs of Stay'!B:B,$E$25)+SUMIFS('4. Equipment Costs'!H:H,'4. Equipment Costs'!C:C,B73,'4. Equipment Costs'!B:B,$E$25)+SUMIFS('5. Subcontracting Costs'!H:H,'5. Subcontracting Costs'!C:C,B73,'5. Subcontracting Costs'!B:B,$E$25)</f>
        <v>0</v>
      </c>
      <c r="F73" s="54">
        <f>SUMIFS('1. Staff costs'!S:S,'1. Staff costs'!C:C,B73,'1. Staff costs'!B:B,$B$8)+SUMIFS('2-3. Travel Costs&amp;Costs of Stay'!N:N,'2-3. Travel Costs&amp;Costs of Stay'!C:C,B73,'2-3. Travel Costs&amp;Costs of Stay'!B:B,$B$8)+SUMIFS('4. Equipment Costs'!H:H,'4. Equipment Costs'!C:C,B73,'4. Equipment Costs'!B:B,$B$8)+SUMIFS('5. Subcontracting Costs'!H:H,'5. Subcontracting Costs'!C:C,B73,'5. Subcontracting Costs'!B:B,$B$8)</f>
        <v>0</v>
      </c>
      <c r="G73" s="54">
        <f>SUMIFS('1. Staff costs'!S:S,'1. Staff costs'!C:C,B73,'1. Staff costs'!B:B,$G$25)+SUMIFS('2-3. Travel Costs&amp;Costs of Stay'!N:N,'2-3. Travel Costs&amp;Costs of Stay'!C:C,B73,'2-3. Travel Costs&amp;Costs of Stay'!B:B,$G$25)+SUMIFS('4. Equipment Costs'!H:H,'4. Equipment Costs'!C:C,B73,'4. Equipment Costs'!B:B,$G$25)+SUMIFS('5. Subcontracting Costs'!H:H,'5. Subcontracting Costs'!C:C,B73,'5. Subcontracting Costs'!B:B,$G$25)</f>
        <v>0</v>
      </c>
      <c r="H73" s="61">
        <f>SUMIF('B. Special Mob Strand - Student'!B:B,B73,'B. Special Mob Strand - Student'!N:N)+SUMIF('B. Special Mob Strand - Staff'!B:B,B73,'B. Special Mob Strand - Staff'!N:N)</f>
        <v>0</v>
      </c>
      <c r="I73" s="64">
        <f t="shared" si="4"/>
        <v>0</v>
      </c>
    </row>
    <row r="74" spans="2:9" x14ac:dyDescent="0.25">
      <c r="B74" s="15" t="s">
        <v>149</v>
      </c>
      <c r="C74" s="54">
        <f>SUMIFS('1. Staff costs'!S:S,'1. Staff costs'!C:C,B74,'1. Staff costs'!B:B,$C$25)+SUMIFS('2-3. Travel Costs&amp;Costs of Stay'!N:N,'2-3. Travel Costs&amp;Costs of Stay'!C:C,B74,'2-3. Travel Costs&amp;Costs of Stay'!B:B,$C$25)+SUMIFS('4. Equipment Costs'!H:H,'4. Equipment Costs'!C:C,B74,'4. Equipment Costs'!B:B,$C$25)+SUMIFS('5. Subcontracting Costs'!H:H,'5. Subcontracting Costs'!C:C,B74,'5. Subcontracting Costs'!B:B,$C$25)</f>
        <v>0</v>
      </c>
      <c r="D74" s="54">
        <f>SUMIFS('1. Staff costs'!S:S,'1. Staff costs'!C:C,B74,'1. Staff costs'!B:B,$D$25)+SUMIFS('2-3. Travel Costs&amp;Costs of Stay'!N:N,'2-3. Travel Costs&amp;Costs of Stay'!C:C,B74,'2-3. Travel Costs&amp;Costs of Stay'!B:B,$D$25)+SUMIFS('4. Equipment Costs'!H:H,'4. Equipment Costs'!C:C,B74,'4. Equipment Costs'!B:B,$D$25)+SUMIFS('5. Subcontracting Costs'!H:H,'5. Subcontracting Costs'!C:C,B74,'5. Subcontracting Costs'!B:B,$D$25)</f>
        <v>0</v>
      </c>
      <c r="E74" s="54">
        <f>SUMIFS('1. Staff costs'!S:S,'1. Staff costs'!C:C,B74,'1. Staff costs'!B:B,$E$25)+SUMIFS('2-3. Travel Costs&amp;Costs of Stay'!N:N,'2-3. Travel Costs&amp;Costs of Stay'!C:C,B74,'2-3. Travel Costs&amp;Costs of Stay'!B:B,$E$25)+SUMIFS('4. Equipment Costs'!H:H,'4. Equipment Costs'!C:C,B74,'4. Equipment Costs'!B:B,$E$25)+SUMIFS('5. Subcontracting Costs'!H:H,'5. Subcontracting Costs'!C:C,B74,'5. Subcontracting Costs'!B:B,$E$25)</f>
        <v>0</v>
      </c>
      <c r="F74" s="54">
        <f>SUMIFS('1. Staff costs'!S:S,'1. Staff costs'!C:C,B74,'1. Staff costs'!B:B,$B$8)+SUMIFS('2-3. Travel Costs&amp;Costs of Stay'!N:N,'2-3. Travel Costs&amp;Costs of Stay'!C:C,B74,'2-3. Travel Costs&amp;Costs of Stay'!B:B,$B$8)+SUMIFS('4. Equipment Costs'!H:H,'4. Equipment Costs'!C:C,B74,'4. Equipment Costs'!B:B,$B$8)+SUMIFS('5. Subcontracting Costs'!H:H,'5. Subcontracting Costs'!C:C,B74,'5. Subcontracting Costs'!B:B,$B$8)</f>
        <v>0</v>
      </c>
      <c r="G74" s="54">
        <f>SUMIFS('1. Staff costs'!S:S,'1. Staff costs'!C:C,B74,'1. Staff costs'!B:B,$G$25)+SUMIFS('2-3. Travel Costs&amp;Costs of Stay'!N:N,'2-3. Travel Costs&amp;Costs of Stay'!C:C,B74,'2-3. Travel Costs&amp;Costs of Stay'!B:B,$G$25)+SUMIFS('4. Equipment Costs'!H:H,'4. Equipment Costs'!C:C,B74,'4. Equipment Costs'!B:B,$G$25)+SUMIFS('5. Subcontracting Costs'!H:H,'5. Subcontracting Costs'!C:C,B74,'5. Subcontracting Costs'!B:B,$G$25)</f>
        <v>0</v>
      </c>
      <c r="H74" s="61">
        <f>SUMIF('B. Special Mob Strand - Student'!B:B,B74,'B. Special Mob Strand - Student'!N:N)+SUMIF('B. Special Mob Strand - Staff'!B:B,B74,'B. Special Mob Strand - Staff'!N:N)</f>
        <v>0</v>
      </c>
      <c r="I74" s="64">
        <f t="shared" si="4"/>
        <v>0</v>
      </c>
    </row>
    <row r="75" spans="2:9" x14ac:dyDescent="0.25">
      <c r="B75" s="15" t="s">
        <v>150</v>
      </c>
      <c r="C75" s="54">
        <f>SUMIFS('1. Staff costs'!S:S,'1. Staff costs'!C:C,B75,'1. Staff costs'!B:B,$C$25)+SUMIFS('2-3. Travel Costs&amp;Costs of Stay'!N:N,'2-3. Travel Costs&amp;Costs of Stay'!C:C,B75,'2-3. Travel Costs&amp;Costs of Stay'!B:B,$C$25)+SUMIFS('4. Equipment Costs'!H:H,'4. Equipment Costs'!C:C,B75,'4. Equipment Costs'!B:B,$C$25)+SUMIFS('5. Subcontracting Costs'!H:H,'5. Subcontracting Costs'!C:C,B75,'5. Subcontracting Costs'!B:B,$C$25)</f>
        <v>0</v>
      </c>
      <c r="D75" s="54">
        <f>SUMIFS('1. Staff costs'!S:S,'1. Staff costs'!C:C,B75,'1. Staff costs'!B:B,$D$25)+SUMIFS('2-3. Travel Costs&amp;Costs of Stay'!N:N,'2-3. Travel Costs&amp;Costs of Stay'!C:C,B75,'2-3. Travel Costs&amp;Costs of Stay'!B:B,$D$25)+SUMIFS('4. Equipment Costs'!H:H,'4. Equipment Costs'!C:C,B75,'4. Equipment Costs'!B:B,$D$25)+SUMIFS('5. Subcontracting Costs'!H:H,'5. Subcontracting Costs'!C:C,B75,'5. Subcontracting Costs'!B:B,$D$25)</f>
        <v>0</v>
      </c>
      <c r="E75" s="54">
        <f>SUMIFS('1. Staff costs'!S:S,'1. Staff costs'!C:C,B75,'1. Staff costs'!B:B,$E$25)+SUMIFS('2-3. Travel Costs&amp;Costs of Stay'!N:N,'2-3. Travel Costs&amp;Costs of Stay'!C:C,B75,'2-3. Travel Costs&amp;Costs of Stay'!B:B,$E$25)+SUMIFS('4. Equipment Costs'!H:H,'4. Equipment Costs'!C:C,B75,'4. Equipment Costs'!B:B,$E$25)+SUMIFS('5. Subcontracting Costs'!H:H,'5. Subcontracting Costs'!C:C,B75,'5. Subcontracting Costs'!B:B,$E$25)</f>
        <v>0</v>
      </c>
      <c r="F75" s="54">
        <f>SUMIFS('1. Staff costs'!S:S,'1. Staff costs'!C:C,B75,'1. Staff costs'!B:B,$B$8)+SUMIFS('2-3. Travel Costs&amp;Costs of Stay'!N:N,'2-3. Travel Costs&amp;Costs of Stay'!C:C,B75,'2-3. Travel Costs&amp;Costs of Stay'!B:B,$B$8)+SUMIFS('4. Equipment Costs'!H:H,'4. Equipment Costs'!C:C,B75,'4. Equipment Costs'!B:B,$B$8)+SUMIFS('5. Subcontracting Costs'!H:H,'5. Subcontracting Costs'!C:C,B75,'5. Subcontracting Costs'!B:B,$B$8)</f>
        <v>0</v>
      </c>
      <c r="G75" s="54">
        <f>SUMIFS('1. Staff costs'!S:S,'1. Staff costs'!C:C,B75,'1. Staff costs'!B:B,$G$25)+SUMIFS('2-3. Travel Costs&amp;Costs of Stay'!N:N,'2-3. Travel Costs&amp;Costs of Stay'!C:C,B75,'2-3. Travel Costs&amp;Costs of Stay'!B:B,$G$25)+SUMIFS('4. Equipment Costs'!H:H,'4. Equipment Costs'!C:C,B75,'4. Equipment Costs'!B:B,$G$25)+SUMIFS('5. Subcontracting Costs'!H:H,'5. Subcontracting Costs'!C:C,B75,'5. Subcontracting Costs'!B:B,$G$25)</f>
        <v>0</v>
      </c>
      <c r="H75" s="61">
        <f>SUMIF('B. Special Mob Strand - Student'!B:B,B75,'B. Special Mob Strand - Student'!N:N)+SUMIF('B. Special Mob Strand - Staff'!B:B,B75,'B. Special Mob Strand - Staff'!N:N)</f>
        <v>0</v>
      </c>
      <c r="I75" s="64">
        <f t="shared" si="4"/>
        <v>0</v>
      </c>
    </row>
    <row r="76" spans="2:9" x14ac:dyDescent="0.25">
      <c r="B76" s="15" t="s">
        <v>163</v>
      </c>
      <c r="C76" s="54">
        <f>SUMIFS('1. Staff costs'!S:S,'1. Staff costs'!C:C,B76,'1. Staff costs'!B:B,$C$25)+SUMIFS('2-3. Travel Costs&amp;Costs of Stay'!N:N,'2-3. Travel Costs&amp;Costs of Stay'!C:C,B76,'2-3. Travel Costs&amp;Costs of Stay'!B:B,$C$25)+SUMIFS('4. Equipment Costs'!H:H,'4. Equipment Costs'!C:C,B76,'4. Equipment Costs'!B:B,$C$25)+SUMIFS('5. Subcontracting Costs'!H:H,'5. Subcontracting Costs'!C:C,B76,'5. Subcontracting Costs'!B:B,$C$25)</f>
        <v>0</v>
      </c>
      <c r="D76" s="54">
        <f>SUMIFS('1. Staff costs'!S:S,'1. Staff costs'!C:C,B76,'1. Staff costs'!B:B,$D$25)+SUMIFS('2-3. Travel Costs&amp;Costs of Stay'!N:N,'2-3. Travel Costs&amp;Costs of Stay'!C:C,B76,'2-3. Travel Costs&amp;Costs of Stay'!B:B,$D$25)+SUMIFS('4. Equipment Costs'!H:H,'4. Equipment Costs'!C:C,B76,'4. Equipment Costs'!B:B,$D$25)+SUMIFS('5. Subcontracting Costs'!H:H,'5. Subcontracting Costs'!C:C,B76,'5. Subcontracting Costs'!B:B,$D$25)</f>
        <v>0</v>
      </c>
      <c r="E76" s="54">
        <f>SUMIFS('1. Staff costs'!S:S,'1. Staff costs'!C:C,B76,'1. Staff costs'!B:B,$E$25)+SUMIFS('2-3. Travel Costs&amp;Costs of Stay'!N:N,'2-3. Travel Costs&amp;Costs of Stay'!C:C,B76,'2-3. Travel Costs&amp;Costs of Stay'!B:B,$E$25)+SUMIFS('4. Equipment Costs'!H:H,'4. Equipment Costs'!C:C,B76,'4. Equipment Costs'!B:B,$E$25)+SUMIFS('5. Subcontracting Costs'!H:H,'5. Subcontracting Costs'!C:C,B76,'5. Subcontracting Costs'!B:B,$E$25)</f>
        <v>0</v>
      </c>
      <c r="F76" s="54">
        <f>SUMIFS('1. Staff costs'!S:S,'1. Staff costs'!C:C,B76,'1. Staff costs'!B:B,$B$8)+SUMIFS('2-3. Travel Costs&amp;Costs of Stay'!N:N,'2-3. Travel Costs&amp;Costs of Stay'!C:C,B76,'2-3. Travel Costs&amp;Costs of Stay'!B:B,$B$8)+SUMIFS('4. Equipment Costs'!H:H,'4. Equipment Costs'!C:C,B76,'4. Equipment Costs'!B:B,$B$8)+SUMIFS('5. Subcontracting Costs'!H:H,'5. Subcontracting Costs'!C:C,B76,'5. Subcontracting Costs'!B:B,$B$8)</f>
        <v>0</v>
      </c>
      <c r="G76" s="54">
        <f>SUMIFS('1. Staff costs'!S:S,'1. Staff costs'!C:C,B76,'1. Staff costs'!B:B,$G$25)+SUMIFS('2-3. Travel Costs&amp;Costs of Stay'!N:N,'2-3. Travel Costs&amp;Costs of Stay'!C:C,B76,'2-3. Travel Costs&amp;Costs of Stay'!B:B,$G$25)+SUMIFS('4. Equipment Costs'!H:H,'4. Equipment Costs'!C:C,B76,'4. Equipment Costs'!B:B,$G$25)+SUMIFS('5. Subcontracting Costs'!H:H,'5. Subcontracting Costs'!C:C,B76,'5. Subcontracting Costs'!B:B,$G$25)</f>
        <v>0</v>
      </c>
      <c r="H76" s="61">
        <f>SUMIF('B. Special Mob Strand - Student'!B:B,B76,'B. Special Mob Strand - Student'!N:N)+SUMIF('B. Special Mob Strand - Staff'!B:B,B76,'B. Special Mob Strand - Staff'!N:N)</f>
        <v>0</v>
      </c>
      <c r="I76" s="64">
        <f t="shared" si="4"/>
        <v>0</v>
      </c>
    </row>
    <row r="77" spans="2:9" x14ac:dyDescent="0.25">
      <c r="B77" s="15" t="s">
        <v>164</v>
      </c>
      <c r="C77" s="54">
        <f>SUMIFS('1. Staff costs'!S:S,'1. Staff costs'!C:C,B77,'1. Staff costs'!B:B,$C$25)+SUMIFS('2-3. Travel Costs&amp;Costs of Stay'!N:N,'2-3. Travel Costs&amp;Costs of Stay'!C:C,B77,'2-3. Travel Costs&amp;Costs of Stay'!B:B,$C$25)+SUMIFS('4. Equipment Costs'!H:H,'4. Equipment Costs'!C:C,B77,'4. Equipment Costs'!B:B,$C$25)+SUMIFS('5. Subcontracting Costs'!H:H,'5. Subcontracting Costs'!C:C,B77,'5. Subcontracting Costs'!B:B,$C$25)</f>
        <v>0</v>
      </c>
      <c r="D77" s="54">
        <f>SUMIFS('1. Staff costs'!S:S,'1. Staff costs'!C:C,B77,'1. Staff costs'!B:B,$D$25)+SUMIFS('2-3. Travel Costs&amp;Costs of Stay'!N:N,'2-3. Travel Costs&amp;Costs of Stay'!C:C,B77,'2-3. Travel Costs&amp;Costs of Stay'!B:B,$D$25)+SUMIFS('4. Equipment Costs'!H:H,'4. Equipment Costs'!C:C,B77,'4. Equipment Costs'!B:B,$D$25)+SUMIFS('5. Subcontracting Costs'!H:H,'5. Subcontracting Costs'!C:C,B77,'5. Subcontracting Costs'!B:B,$D$25)</f>
        <v>0</v>
      </c>
      <c r="E77" s="54">
        <f>SUMIFS('1. Staff costs'!S:S,'1. Staff costs'!C:C,B77,'1. Staff costs'!B:B,$E$25)+SUMIFS('2-3. Travel Costs&amp;Costs of Stay'!N:N,'2-3. Travel Costs&amp;Costs of Stay'!C:C,B77,'2-3. Travel Costs&amp;Costs of Stay'!B:B,$E$25)+SUMIFS('4. Equipment Costs'!H:H,'4. Equipment Costs'!C:C,B77,'4. Equipment Costs'!B:B,$E$25)+SUMIFS('5. Subcontracting Costs'!H:H,'5. Subcontracting Costs'!C:C,B77,'5. Subcontracting Costs'!B:B,$E$25)</f>
        <v>0</v>
      </c>
      <c r="F77" s="54">
        <f>SUMIFS('1. Staff costs'!S:S,'1. Staff costs'!C:C,B77,'1. Staff costs'!B:B,$B$8)+SUMIFS('2-3. Travel Costs&amp;Costs of Stay'!N:N,'2-3. Travel Costs&amp;Costs of Stay'!C:C,B77,'2-3. Travel Costs&amp;Costs of Stay'!B:B,$B$8)+SUMIFS('4. Equipment Costs'!H:H,'4. Equipment Costs'!C:C,B77,'4. Equipment Costs'!B:B,$B$8)+SUMIFS('5. Subcontracting Costs'!H:H,'5. Subcontracting Costs'!C:C,B77,'5. Subcontracting Costs'!B:B,$B$8)</f>
        <v>0</v>
      </c>
      <c r="G77" s="54">
        <f>SUMIFS('1. Staff costs'!S:S,'1. Staff costs'!C:C,B77,'1. Staff costs'!B:B,$G$25)+SUMIFS('2-3. Travel Costs&amp;Costs of Stay'!N:N,'2-3. Travel Costs&amp;Costs of Stay'!C:C,B77,'2-3. Travel Costs&amp;Costs of Stay'!B:B,$G$25)+SUMIFS('4. Equipment Costs'!H:H,'4. Equipment Costs'!C:C,B77,'4. Equipment Costs'!B:B,$G$25)+SUMIFS('5. Subcontracting Costs'!H:H,'5. Subcontracting Costs'!C:C,B77,'5. Subcontracting Costs'!B:B,$G$25)</f>
        <v>0</v>
      </c>
      <c r="H77" s="61">
        <f>SUMIF('B. Special Mob Strand - Student'!B:B,B77,'B. Special Mob Strand - Student'!N:N)+SUMIF('B. Special Mob Strand - Staff'!B:B,B77,'B. Special Mob Strand - Staff'!N:N)</f>
        <v>0</v>
      </c>
      <c r="I77" s="64">
        <f t="shared" si="4"/>
        <v>0</v>
      </c>
    </row>
    <row r="78" spans="2:9" x14ac:dyDescent="0.25">
      <c r="B78" s="15" t="s">
        <v>165</v>
      </c>
      <c r="C78" s="54">
        <f>SUMIFS('1. Staff costs'!S:S,'1. Staff costs'!C:C,B78,'1. Staff costs'!B:B,$C$25)+SUMIFS('2-3. Travel Costs&amp;Costs of Stay'!N:N,'2-3. Travel Costs&amp;Costs of Stay'!C:C,B78,'2-3. Travel Costs&amp;Costs of Stay'!B:B,$C$25)+SUMIFS('4. Equipment Costs'!H:H,'4. Equipment Costs'!C:C,B78,'4. Equipment Costs'!B:B,$C$25)+SUMIFS('5. Subcontracting Costs'!H:H,'5. Subcontracting Costs'!C:C,B78,'5. Subcontracting Costs'!B:B,$C$25)</f>
        <v>0</v>
      </c>
      <c r="D78" s="54">
        <f>SUMIFS('1. Staff costs'!S:S,'1. Staff costs'!C:C,B78,'1. Staff costs'!B:B,$D$25)+SUMIFS('2-3. Travel Costs&amp;Costs of Stay'!N:N,'2-3. Travel Costs&amp;Costs of Stay'!C:C,B78,'2-3. Travel Costs&amp;Costs of Stay'!B:B,$D$25)+SUMIFS('4. Equipment Costs'!H:H,'4. Equipment Costs'!C:C,B78,'4. Equipment Costs'!B:B,$D$25)+SUMIFS('5. Subcontracting Costs'!H:H,'5. Subcontracting Costs'!C:C,B78,'5. Subcontracting Costs'!B:B,$D$25)</f>
        <v>0</v>
      </c>
      <c r="E78" s="54">
        <f>SUMIFS('1. Staff costs'!S:S,'1. Staff costs'!C:C,B78,'1. Staff costs'!B:B,$E$25)+SUMIFS('2-3. Travel Costs&amp;Costs of Stay'!N:N,'2-3. Travel Costs&amp;Costs of Stay'!C:C,B78,'2-3. Travel Costs&amp;Costs of Stay'!B:B,$E$25)+SUMIFS('4. Equipment Costs'!H:H,'4. Equipment Costs'!C:C,B78,'4. Equipment Costs'!B:B,$E$25)+SUMIFS('5. Subcontracting Costs'!H:H,'5. Subcontracting Costs'!C:C,B78,'5. Subcontracting Costs'!B:B,$E$25)</f>
        <v>0</v>
      </c>
      <c r="F78" s="54">
        <f>SUMIFS('1. Staff costs'!S:S,'1. Staff costs'!C:C,B78,'1. Staff costs'!B:B,$B$8)+SUMIFS('2-3. Travel Costs&amp;Costs of Stay'!N:N,'2-3. Travel Costs&amp;Costs of Stay'!C:C,B78,'2-3. Travel Costs&amp;Costs of Stay'!B:B,$B$8)+SUMIFS('4. Equipment Costs'!H:H,'4. Equipment Costs'!C:C,B78,'4. Equipment Costs'!B:B,$B$8)+SUMIFS('5. Subcontracting Costs'!H:H,'5. Subcontracting Costs'!C:C,B78,'5. Subcontracting Costs'!B:B,$B$8)</f>
        <v>0</v>
      </c>
      <c r="G78" s="54">
        <f>SUMIFS('1. Staff costs'!S:S,'1. Staff costs'!C:C,B78,'1. Staff costs'!B:B,$G$25)+SUMIFS('2-3. Travel Costs&amp;Costs of Stay'!N:N,'2-3. Travel Costs&amp;Costs of Stay'!C:C,B78,'2-3. Travel Costs&amp;Costs of Stay'!B:B,$G$25)+SUMIFS('4. Equipment Costs'!H:H,'4. Equipment Costs'!C:C,B78,'4. Equipment Costs'!B:B,$G$25)+SUMIFS('5. Subcontracting Costs'!H:H,'5. Subcontracting Costs'!C:C,B78,'5. Subcontracting Costs'!B:B,$G$25)</f>
        <v>0</v>
      </c>
      <c r="H78" s="61">
        <f>SUMIF('B. Special Mob Strand - Student'!B:B,B78,'B. Special Mob Strand - Student'!N:N)+SUMIF('B. Special Mob Strand - Staff'!B:B,B78,'B. Special Mob Strand - Staff'!N:N)</f>
        <v>0</v>
      </c>
      <c r="I78" s="64">
        <f t="shared" si="4"/>
        <v>0</v>
      </c>
    </row>
    <row r="79" spans="2:9" x14ac:dyDescent="0.25">
      <c r="B79" s="15" t="s">
        <v>166</v>
      </c>
      <c r="C79" s="54">
        <f>SUMIFS('1. Staff costs'!S:S,'1. Staff costs'!C:C,B79,'1. Staff costs'!B:B,$C$25)+SUMIFS('2-3. Travel Costs&amp;Costs of Stay'!N:N,'2-3. Travel Costs&amp;Costs of Stay'!C:C,B79,'2-3. Travel Costs&amp;Costs of Stay'!B:B,$C$25)+SUMIFS('4. Equipment Costs'!H:H,'4. Equipment Costs'!C:C,B79,'4. Equipment Costs'!B:B,$C$25)+SUMIFS('5. Subcontracting Costs'!H:H,'5. Subcontracting Costs'!C:C,B79,'5. Subcontracting Costs'!B:B,$C$25)</f>
        <v>0</v>
      </c>
      <c r="D79" s="54">
        <f>SUMIFS('1. Staff costs'!S:S,'1. Staff costs'!C:C,B79,'1. Staff costs'!B:B,$D$25)+SUMIFS('2-3. Travel Costs&amp;Costs of Stay'!N:N,'2-3. Travel Costs&amp;Costs of Stay'!C:C,B79,'2-3. Travel Costs&amp;Costs of Stay'!B:B,$D$25)+SUMIFS('4. Equipment Costs'!H:H,'4. Equipment Costs'!C:C,B79,'4. Equipment Costs'!B:B,$D$25)+SUMIFS('5. Subcontracting Costs'!H:H,'5. Subcontracting Costs'!C:C,B79,'5. Subcontracting Costs'!B:B,$D$25)</f>
        <v>0</v>
      </c>
      <c r="E79" s="54">
        <f>SUMIFS('1. Staff costs'!S:S,'1. Staff costs'!C:C,B79,'1. Staff costs'!B:B,$E$25)+SUMIFS('2-3. Travel Costs&amp;Costs of Stay'!N:N,'2-3. Travel Costs&amp;Costs of Stay'!C:C,B79,'2-3. Travel Costs&amp;Costs of Stay'!B:B,$E$25)+SUMIFS('4. Equipment Costs'!H:H,'4. Equipment Costs'!C:C,B79,'4. Equipment Costs'!B:B,$E$25)+SUMIFS('5. Subcontracting Costs'!H:H,'5. Subcontracting Costs'!C:C,B79,'5. Subcontracting Costs'!B:B,$E$25)</f>
        <v>0</v>
      </c>
      <c r="F79" s="54">
        <f>SUMIFS('1. Staff costs'!S:S,'1. Staff costs'!C:C,B79,'1. Staff costs'!B:B,$B$8)+SUMIFS('2-3. Travel Costs&amp;Costs of Stay'!N:N,'2-3. Travel Costs&amp;Costs of Stay'!C:C,B79,'2-3. Travel Costs&amp;Costs of Stay'!B:B,$B$8)+SUMIFS('4. Equipment Costs'!H:H,'4. Equipment Costs'!C:C,B79,'4. Equipment Costs'!B:B,$B$8)+SUMIFS('5. Subcontracting Costs'!H:H,'5. Subcontracting Costs'!C:C,B79,'5. Subcontracting Costs'!B:B,$B$8)</f>
        <v>0</v>
      </c>
      <c r="G79" s="54">
        <f>SUMIFS('1. Staff costs'!S:S,'1. Staff costs'!C:C,B79,'1. Staff costs'!B:B,$G$25)+SUMIFS('2-3. Travel Costs&amp;Costs of Stay'!N:N,'2-3. Travel Costs&amp;Costs of Stay'!C:C,B79,'2-3. Travel Costs&amp;Costs of Stay'!B:B,$G$25)+SUMIFS('4. Equipment Costs'!H:H,'4. Equipment Costs'!C:C,B79,'4. Equipment Costs'!B:B,$G$25)+SUMIFS('5. Subcontracting Costs'!H:H,'5. Subcontracting Costs'!C:C,B79,'5. Subcontracting Costs'!B:B,$G$25)</f>
        <v>0</v>
      </c>
      <c r="H79" s="61">
        <f>SUMIF('B. Special Mob Strand - Student'!B:B,B79,'B. Special Mob Strand - Student'!N:N)+SUMIF('B. Special Mob Strand - Staff'!B:B,B79,'B. Special Mob Strand - Staff'!N:N)</f>
        <v>0</v>
      </c>
      <c r="I79" s="64">
        <f t="shared" si="4"/>
        <v>0</v>
      </c>
    </row>
    <row r="80" spans="2:9" x14ac:dyDescent="0.25">
      <c r="B80" s="15" t="s">
        <v>167</v>
      </c>
      <c r="C80" s="54">
        <f>SUMIFS('1. Staff costs'!S:S,'1. Staff costs'!C:C,B80,'1. Staff costs'!B:B,$C$25)+SUMIFS('2-3. Travel Costs&amp;Costs of Stay'!N:N,'2-3. Travel Costs&amp;Costs of Stay'!C:C,B80,'2-3. Travel Costs&amp;Costs of Stay'!B:B,$C$25)+SUMIFS('4. Equipment Costs'!H:H,'4. Equipment Costs'!C:C,B80,'4. Equipment Costs'!B:B,$C$25)+SUMIFS('5. Subcontracting Costs'!H:H,'5. Subcontracting Costs'!C:C,B80,'5. Subcontracting Costs'!B:B,$C$25)</f>
        <v>0</v>
      </c>
      <c r="D80" s="54">
        <f>SUMIFS('1. Staff costs'!S:S,'1. Staff costs'!C:C,B80,'1. Staff costs'!B:B,$D$25)+SUMIFS('2-3. Travel Costs&amp;Costs of Stay'!N:N,'2-3. Travel Costs&amp;Costs of Stay'!C:C,B80,'2-3. Travel Costs&amp;Costs of Stay'!B:B,$D$25)+SUMIFS('4. Equipment Costs'!H:H,'4. Equipment Costs'!C:C,B80,'4. Equipment Costs'!B:B,$D$25)+SUMIFS('5. Subcontracting Costs'!H:H,'5. Subcontracting Costs'!C:C,B80,'5. Subcontracting Costs'!B:B,$D$25)</f>
        <v>0</v>
      </c>
      <c r="E80" s="54">
        <f>SUMIFS('1. Staff costs'!S:S,'1. Staff costs'!C:C,B80,'1. Staff costs'!B:B,$E$25)+SUMIFS('2-3. Travel Costs&amp;Costs of Stay'!N:N,'2-3. Travel Costs&amp;Costs of Stay'!C:C,B80,'2-3. Travel Costs&amp;Costs of Stay'!B:B,$E$25)+SUMIFS('4. Equipment Costs'!H:H,'4. Equipment Costs'!C:C,B80,'4. Equipment Costs'!B:B,$E$25)+SUMIFS('5. Subcontracting Costs'!H:H,'5. Subcontracting Costs'!C:C,B80,'5. Subcontracting Costs'!B:B,$E$25)</f>
        <v>0</v>
      </c>
      <c r="F80" s="54">
        <f>SUMIFS('1. Staff costs'!S:S,'1. Staff costs'!C:C,B80,'1. Staff costs'!B:B,$B$8)+SUMIFS('2-3. Travel Costs&amp;Costs of Stay'!N:N,'2-3. Travel Costs&amp;Costs of Stay'!C:C,B80,'2-3. Travel Costs&amp;Costs of Stay'!B:B,$B$8)+SUMIFS('4. Equipment Costs'!H:H,'4. Equipment Costs'!C:C,B80,'4. Equipment Costs'!B:B,$B$8)+SUMIFS('5. Subcontracting Costs'!H:H,'5. Subcontracting Costs'!C:C,B80,'5. Subcontracting Costs'!B:B,$B$8)</f>
        <v>0</v>
      </c>
      <c r="G80" s="54">
        <f>SUMIFS('1. Staff costs'!S:S,'1. Staff costs'!C:C,B80,'1. Staff costs'!B:B,$G$25)+SUMIFS('2-3. Travel Costs&amp;Costs of Stay'!N:N,'2-3. Travel Costs&amp;Costs of Stay'!C:C,B80,'2-3. Travel Costs&amp;Costs of Stay'!B:B,$G$25)+SUMIFS('4. Equipment Costs'!H:H,'4. Equipment Costs'!C:C,B80,'4. Equipment Costs'!B:B,$G$25)+SUMIFS('5. Subcontracting Costs'!H:H,'5. Subcontracting Costs'!C:C,B80,'5. Subcontracting Costs'!B:B,$G$25)</f>
        <v>0</v>
      </c>
      <c r="H80" s="61">
        <f>SUMIF('B. Special Mob Strand - Student'!B:B,B80,'B. Special Mob Strand - Student'!N:N)+SUMIF('B. Special Mob Strand - Staff'!B:B,B80,'B. Special Mob Strand - Staff'!N:N)</f>
        <v>0</v>
      </c>
      <c r="I80" s="64">
        <f t="shared" si="4"/>
        <v>0</v>
      </c>
    </row>
    <row r="81" spans="2:9" x14ac:dyDescent="0.25">
      <c r="B81" s="65" t="s">
        <v>132</v>
      </c>
      <c r="C81" s="55">
        <f>SUM(C26:C80)</f>
        <v>0</v>
      </c>
      <c r="D81" s="55">
        <f t="shared" ref="D81:H81" si="5">SUM(D26:D80)</f>
        <v>0</v>
      </c>
      <c r="E81" s="55">
        <f t="shared" si="5"/>
        <v>0</v>
      </c>
      <c r="F81" s="55">
        <f t="shared" si="5"/>
        <v>0</v>
      </c>
      <c r="G81" s="55">
        <f t="shared" si="5"/>
        <v>0</v>
      </c>
      <c r="H81" s="57">
        <f t="shared" si="5"/>
        <v>0</v>
      </c>
      <c r="I81" s="66">
        <f>SUM(C81:H81)</f>
        <v>0</v>
      </c>
    </row>
  </sheetData>
  <sheetProtection password="E359" sheet="1" objects="1" scenarios="1" selectLockedCells="1" selectUnlockedCells="1"/>
  <dataConsolidate/>
  <mergeCells count="4">
    <mergeCell ref="B2:I2"/>
    <mergeCell ref="B14:I14"/>
    <mergeCell ref="H5:H9"/>
    <mergeCell ref="B23:I23"/>
  </mergeCells>
  <conditionalFormatting sqref="B2:E2">
    <cfRule type="cellIs" dxfId="17" priority="131" stopIfTrue="1" operator="equal">
      <formula>"&gt; 30 %"</formula>
    </cfRule>
  </conditionalFormatting>
  <conditionalFormatting sqref="C4">
    <cfRule type="cellIs" dxfId="16" priority="44" stopIfTrue="1" operator="equal">
      <formula>"ERROR"</formula>
    </cfRule>
  </conditionalFormatting>
  <conditionalFormatting sqref="F4">
    <cfRule type="cellIs" dxfId="15" priority="42" stopIfTrue="1" operator="equal">
      <formula>"ERROR"</formula>
    </cfRule>
  </conditionalFormatting>
  <conditionalFormatting sqref="D4:E4">
    <cfRule type="cellIs" dxfId="14" priority="43" stopIfTrue="1" operator="equal">
      <formula>"ERROR"</formula>
    </cfRule>
  </conditionalFormatting>
  <conditionalFormatting sqref="G4:H4">
    <cfRule type="cellIs" dxfId="13" priority="41" stopIfTrue="1" operator="equal">
      <formula>"ERROR"</formula>
    </cfRule>
  </conditionalFormatting>
  <conditionalFormatting sqref="I4">
    <cfRule type="cellIs" dxfId="12" priority="40" stopIfTrue="1" operator="equal">
      <formula>"ERROR"</formula>
    </cfRule>
  </conditionalFormatting>
  <conditionalFormatting sqref="B14:E14">
    <cfRule type="cellIs" dxfId="11" priority="25" stopIfTrue="1" operator="equal">
      <formula>"&gt; 30 %"</formula>
    </cfRule>
  </conditionalFormatting>
  <conditionalFormatting sqref="I16">
    <cfRule type="cellIs" dxfId="10" priority="26" stopIfTrue="1" operator="equal">
      <formula>"ERROR"</formula>
    </cfRule>
  </conditionalFormatting>
  <conditionalFormatting sqref="B10">
    <cfRule type="cellIs" dxfId="9" priority="21" stopIfTrue="1" operator="equal">
      <formula>"ERROR"</formula>
    </cfRule>
  </conditionalFormatting>
  <conditionalFormatting sqref="B19">
    <cfRule type="cellIs" dxfId="8" priority="20" stopIfTrue="1" operator="equal">
      <formula>"ERROR"</formula>
    </cfRule>
  </conditionalFormatting>
  <conditionalFormatting sqref="C16">
    <cfRule type="cellIs" dxfId="7" priority="11" stopIfTrue="1" operator="equal">
      <formula>"ERROR"</formula>
    </cfRule>
  </conditionalFormatting>
  <conditionalFormatting sqref="F16">
    <cfRule type="cellIs" dxfId="6" priority="9" stopIfTrue="1" operator="equal">
      <formula>"ERROR"</formula>
    </cfRule>
  </conditionalFormatting>
  <conditionalFormatting sqref="D16:E16">
    <cfRule type="cellIs" dxfId="5" priority="10" stopIfTrue="1" operator="equal">
      <formula>"ERROR"</formula>
    </cfRule>
  </conditionalFormatting>
  <conditionalFormatting sqref="G16:H16">
    <cfRule type="cellIs" dxfId="4" priority="8" stopIfTrue="1" operator="equal">
      <formula>"ERROR"</formula>
    </cfRule>
  </conditionalFormatting>
  <conditionalFormatting sqref="B23:E23">
    <cfRule type="cellIs" dxfId="3" priority="6" stopIfTrue="1" operator="equal">
      <formula>"&gt; 30 %"</formula>
    </cfRule>
  </conditionalFormatting>
  <conditionalFormatting sqref="H26:H80">
    <cfRule type="cellIs" dxfId="2" priority="4" stopIfTrue="1" operator="equal">
      <formula>"ERROR"</formula>
    </cfRule>
  </conditionalFormatting>
  <conditionalFormatting sqref="I25">
    <cfRule type="cellIs" dxfId="1" priority="3" stopIfTrue="1" operator="equal">
      <formula>"ERROR"</formula>
    </cfRule>
  </conditionalFormatting>
  <conditionalFormatting sqref="H25">
    <cfRule type="cellIs" dxfId="0" priority="2" stopIfTrue="1" operator="equal">
      <formula>"ERROR"</formula>
    </cfRule>
  </conditionalFormatting>
  <printOptions horizontalCentered="1"/>
  <pageMargins left="0.23622047244094491" right="0.23622047244094491" top="0.39370078740157483" bottom="0.94488188976377963" header="0.31496062992125984" footer="0.31496062992125984"/>
  <pageSetup paperSize="9" scale="50" orientation="portrait" r:id="rId1"/>
  <headerFooter>
    <oddFooter xml:space="preserve">&amp;CPage &amp;P of 3
</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82"/>
  <sheetViews>
    <sheetView zoomScale="70" zoomScaleNormal="70" workbookViewId="0">
      <selection activeCell="C3" sqref="C3"/>
    </sheetView>
  </sheetViews>
  <sheetFormatPr defaultRowHeight="15" x14ac:dyDescent="0.25"/>
  <cols>
    <col min="1" max="1" width="1.7109375" style="10" customWidth="1"/>
    <col min="2" max="2" width="18.7109375" style="10" customWidth="1"/>
    <col min="3" max="3" width="39.5703125" style="1" bestFit="1" customWidth="1"/>
    <col min="4" max="4" width="21.7109375" style="1" bestFit="1" customWidth="1"/>
    <col min="5" max="12" width="18.7109375" style="1" customWidth="1"/>
    <col min="13" max="13" width="1.7109375" style="1" customWidth="1"/>
    <col min="14" max="14" width="40.85546875" style="1" bestFit="1" customWidth="1"/>
    <col min="15" max="15" width="1.7109375" style="1" customWidth="1"/>
    <col min="16" max="16" width="42.7109375" style="1" customWidth="1"/>
    <col min="17" max="17" width="12.85546875" style="1" customWidth="1"/>
    <col min="18" max="16384" width="9.140625" style="1"/>
  </cols>
  <sheetData>
    <row r="1" spans="2:17" ht="9.9499999999999993" customHeight="1" x14ac:dyDescent="0.25"/>
    <row r="2" spans="2:17" ht="24.95" customHeight="1" x14ac:dyDescent="0.25">
      <c r="C2" s="10"/>
      <c r="D2" s="10"/>
      <c r="E2" s="212" t="s">
        <v>162</v>
      </c>
      <c r="F2" s="212"/>
      <c r="G2" s="212"/>
      <c r="H2" s="212"/>
      <c r="I2" s="212" t="s">
        <v>349</v>
      </c>
      <c r="J2" s="212"/>
      <c r="K2" s="212"/>
      <c r="L2" s="212"/>
    </row>
    <row r="3" spans="2:17" ht="82.5" customHeight="1" x14ac:dyDescent="0.25">
      <c r="C3" s="2" t="s">
        <v>0</v>
      </c>
      <c r="D3" s="2" t="s">
        <v>182</v>
      </c>
      <c r="E3" s="2" t="s">
        <v>135</v>
      </c>
      <c r="F3" s="3" t="s">
        <v>133</v>
      </c>
      <c r="G3" s="2" t="s">
        <v>361</v>
      </c>
      <c r="H3" s="3" t="s">
        <v>359</v>
      </c>
      <c r="I3" s="9" t="s">
        <v>220</v>
      </c>
      <c r="J3" s="9" t="s">
        <v>221</v>
      </c>
      <c r="K3" s="9" t="s">
        <v>224</v>
      </c>
      <c r="L3" s="9" t="s">
        <v>225</v>
      </c>
      <c r="N3" s="3" t="s">
        <v>348</v>
      </c>
      <c r="P3" s="3" t="s">
        <v>28</v>
      </c>
      <c r="Q3" s="3" t="s">
        <v>177</v>
      </c>
    </row>
    <row r="4" spans="2:17" x14ac:dyDescent="0.25">
      <c r="B4" s="116">
        <v>1</v>
      </c>
      <c r="C4" s="4" t="s">
        <v>4</v>
      </c>
      <c r="D4" s="4" t="s">
        <v>208</v>
      </c>
      <c r="E4" s="5">
        <v>294</v>
      </c>
      <c r="F4" s="5">
        <v>241</v>
      </c>
      <c r="G4" s="5">
        <v>190</v>
      </c>
      <c r="H4" s="5">
        <v>157</v>
      </c>
      <c r="I4" s="6">
        <v>850</v>
      </c>
      <c r="J4" s="6">
        <v>0</v>
      </c>
      <c r="K4" s="7">
        <v>140</v>
      </c>
      <c r="L4" s="8">
        <v>0</v>
      </c>
      <c r="N4" s="4" t="s">
        <v>4</v>
      </c>
      <c r="P4" s="4" t="s">
        <v>329</v>
      </c>
      <c r="Q4" s="4">
        <v>0</v>
      </c>
    </row>
    <row r="5" spans="2:17" x14ac:dyDescent="0.25">
      <c r="B5" s="116">
        <v>2</v>
      </c>
      <c r="C5" s="4" t="s">
        <v>5</v>
      </c>
      <c r="D5" s="4" t="s">
        <v>208</v>
      </c>
      <c r="E5" s="5">
        <v>280</v>
      </c>
      <c r="F5" s="5">
        <v>214</v>
      </c>
      <c r="G5" s="5">
        <v>162</v>
      </c>
      <c r="H5" s="5">
        <v>131</v>
      </c>
      <c r="I5" s="6">
        <v>800</v>
      </c>
      <c r="J5" s="6">
        <v>0</v>
      </c>
      <c r="K5" s="7">
        <v>140</v>
      </c>
      <c r="L5" s="8">
        <v>0</v>
      </c>
      <c r="N5" s="4" t="s">
        <v>5</v>
      </c>
      <c r="P5" s="4" t="s">
        <v>153</v>
      </c>
      <c r="Q5" s="4">
        <v>180</v>
      </c>
    </row>
    <row r="6" spans="2:17" x14ac:dyDescent="0.25">
      <c r="B6" s="116">
        <v>3</v>
      </c>
      <c r="C6" s="4" t="s">
        <v>7</v>
      </c>
      <c r="D6" s="4" t="s">
        <v>208</v>
      </c>
      <c r="E6" s="5">
        <v>88</v>
      </c>
      <c r="F6" s="5">
        <v>74</v>
      </c>
      <c r="G6" s="5">
        <v>55</v>
      </c>
      <c r="H6" s="5">
        <v>39</v>
      </c>
      <c r="I6" s="6">
        <v>750</v>
      </c>
      <c r="J6" s="6">
        <v>0</v>
      </c>
      <c r="K6" s="7">
        <v>140</v>
      </c>
      <c r="L6" s="8">
        <v>0</v>
      </c>
      <c r="N6" s="4" t="s">
        <v>7</v>
      </c>
      <c r="P6" s="4" t="s">
        <v>154</v>
      </c>
      <c r="Q6" s="4">
        <v>275</v>
      </c>
    </row>
    <row r="7" spans="2:17" x14ac:dyDescent="0.25">
      <c r="B7" s="116">
        <v>4</v>
      </c>
      <c r="C7" s="4" t="s">
        <v>47</v>
      </c>
      <c r="D7" s="4" t="s">
        <v>208</v>
      </c>
      <c r="E7" s="5">
        <v>88</v>
      </c>
      <c r="F7" s="5">
        <v>74</v>
      </c>
      <c r="G7" s="5">
        <v>55</v>
      </c>
      <c r="H7" s="5">
        <v>39</v>
      </c>
      <c r="I7" s="6">
        <v>800</v>
      </c>
      <c r="J7" s="6">
        <v>0</v>
      </c>
      <c r="K7" s="7">
        <v>100</v>
      </c>
      <c r="L7" s="8">
        <v>0</v>
      </c>
      <c r="N7" s="4" t="s">
        <v>47</v>
      </c>
      <c r="P7" s="4" t="s">
        <v>155</v>
      </c>
      <c r="Q7" s="4">
        <v>360</v>
      </c>
    </row>
    <row r="8" spans="2:17" x14ac:dyDescent="0.25">
      <c r="B8" s="116">
        <v>5</v>
      </c>
      <c r="C8" s="4" t="s">
        <v>6</v>
      </c>
      <c r="D8" s="4" t="s">
        <v>208</v>
      </c>
      <c r="E8" s="5">
        <v>164</v>
      </c>
      <c r="F8" s="5">
        <v>137</v>
      </c>
      <c r="G8" s="5">
        <v>102</v>
      </c>
      <c r="H8" s="5">
        <v>78</v>
      </c>
      <c r="I8" s="6">
        <v>800</v>
      </c>
      <c r="J8" s="6">
        <v>0</v>
      </c>
      <c r="K8" s="7">
        <v>140</v>
      </c>
      <c r="L8" s="8">
        <v>0</v>
      </c>
      <c r="N8" s="4" t="s">
        <v>6</v>
      </c>
      <c r="P8" s="4" t="s">
        <v>158</v>
      </c>
      <c r="Q8" s="4">
        <v>530</v>
      </c>
    </row>
    <row r="9" spans="2:17" x14ac:dyDescent="0.25">
      <c r="B9" s="116">
        <v>6</v>
      </c>
      <c r="C9" s="4" t="s">
        <v>41</v>
      </c>
      <c r="D9" s="4" t="s">
        <v>208</v>
      </c>
      <c r="E9" s="5">
        <v>164</v>
      </c>
      <c r="F9" s="5">
        <v>137</v>
      </c>
      <c r="G9" s="5">
        <v>102</v>
      </c>
      <c r="H9" s="5">
        <v>78</v>
      </c>
      <c r="I9" s="6">
        <v>800</v>
      </c>
      <c r="J9" s="6">
        <v>0</v>
      </c>
      <c r="K9" s="7">
        <v>140</v>
      </c>
      <c r="L9" s="8">
        <v>0</v>
      </c>
      <c r="N9" s="4" t="s">
        <v>41</v>
      </c>
      <c r="P9" s="4" t="s">
        <v>159</v>
      </c>
      <c r="Q9" s="4">
        <v>820</v>
      </c>
    </row>
    <row r="10" spans="2:17" x14ac:dyDescent="0.25">
      <c r="B10" s="116">
        <v>7</v>
      </c>
      <c r="C10" s="4" t="s">
        <v>29</v>
      </c>
      <c r="D10" s="4" t="s">
        <v>208</v>
      </c>
      <c r="E10" s="5">
        <v>294</v>
      </c>
      <c r="F10" s="5">
        <v>241</v>
      </c>
      <c r="G10" s="5">
        <v>190</v>
      </c>
      <c r="H10" s="5">
        <v>157</v>
      </c>
      <c r="I10" s="6">
        <v>850</v>
      </c>
      <c r="J10" s="6">
        <v>0</v>
      </c>
      <c r="K10" s="7">
        <v>160</v>
      </c>
      <c r="L10" s="8">
        <v>0</v>
      </c>
      <c r="N10" s="4" t="s">
        <v>29</v>
      </c>
      <c r="P10" s="4" t="s">
        <v>156</v>
      </c>
      <c r="Q10" s="4">
        <v>1100</v>
      </c>
    </row>
    <row r="11" spans="2:17" x14ac:dyDescent="0.25">
      <c r="B11" s="116">
        <v>8</v>
      </c>
      <c r="C11" s="4" t="s">
        <v>48</v>
      </c>
      <c r="D11" s="4" t="s">
        <v>208</v>
      </c>
      <c r="E11" s="5">
        <v>88</v>
      </c>
      <c r="F11" s="5">
        <v>74</v>
      </c>
      <c r="G11" s="5">
        <v>55</v>
      </c>
      <c r="H11" s="5">
        <v>39</v>
      </c>
      <c r="I11" s="6">
        <v>750</v>
      </c>
      <c r="J11" s="6">
        <v>0</v>
      </c>
      <c r="K11" s="7">
        <v>100</v>
      </c>
      <c r="L11" s="8">
        <v>0</v>
      </c>
      <c r="N11" s="4" t="s">
        <v>48</v>
      </c>
    </row>
    <row r="12" spans="2:17" x14ac:dyDescent="0.25">
      <c r="B12" s="116">
        <v>9</v>
      </c>
      <c r="C12" s="4" t="s">
        <v>35</v>
      </c>
      <c r="D12" s="4" t="s">
        <v>208</v>
      </c>
      <c r="E12" s="5">
        <v>280</v>
      </c>
      <c r="F12" s="5">
        <v>214</v>
      </c>
      <c r="G12" s="5">
        <v>162</v>
      </c>
      <c r="H12" s="5">
        <v>131</v>
      </c>
      <c r="I12" s="6">
        <v>850</v>
      </c>
      <c r="J12" s="6">
        <v>0</v>
      </c>
      <c r="K12" s="7">
        <v>140</v>
      </c>
      <c r="L12" s="8">
        <v>0</v>
      </c>
      <c r="N12" s="4" t="s">
        <v>35</v>
      </c>
      <c r="P12" s="2" t="s">
        <v>336</v>
      </c>
      <c r="Q12" s="108"/>
    </row>
    <row r="13" spans="2:17" x14ac:dyDescent="0.25">
      <c r="B13" s="116">
        <v>10</v>
      </c>
      <c r="C13" s="4" t="s">
        <v>256</v>
      </c>
      <c r="D13" s="4" t="s">
        <v>208</v>
      </c>
      <c r="E13" s="5">
        <v>88</v>
      </c>
      <c r="F13" s="5">
        <v>74</v>
      </c>
      <c r="G13" s="5">
        <v>55</v>
      </c>
      <c r="H13" s="5">
        <v>39</v>
      </c>
      <c r="I13" s="6">
        <v>750</v>
      </c>
      <c r="J13" s="6">
        <v>0</v>
      </c>
      <c r="K13" s="7">
        <v>120</v>
      </c>
      <c r="L13" s="8">
        <v>0</v>
      </c>
      <c r="N13" s="4" t="s">
        <v>256</v>
      </c>
      <c r="P13" s="103" t="s">
        <v>179</v>
      </c>
      <c r="Q13" s="109"/>
    </row>
    <row r="14" spans="2:17" x14ac:dyDescent="0.25">
      <c r="B14" s="116">
        <v>11</v>
      </c>
      <c r="C14" s="4" t="s">
        <v>36</v>
      </c>
      <c r="D14" s="4" t="s">
        <v>208</v>
      </c>
      <c r="E14" s="5">
        <v>280</v>
      </c>
      <c r="F14" s="5">
        <v>214</v>
      </c>
      <c r="G14" s="5">
        <v>162</v>
      </c>
      <c r="H14" s="5">
        <v>131</v>
      </c>
      <c r="I14" s="6">
        <v>850</v>
      </c>
      <c r="J14" s="6">
        <v>0</v>
      </c>
      <c r="K14" s="7">
        <v>140</v>
      </c>
      <c r="L14" s="8">
        <v>0</v>
      </c>
      <c r="N14" s="4" t="s">
        <v>36</v>
      </c>
      <c r="P14" s="103" t="s">
        <v>178</v>
      </c>
      <c r="Q14" s="109"/>
    </row>
    <row r="15" spans="2:17" x14ac:dyDescent="0.25">
      <c r="B15" s="116">
        <v>12</v>
      </c>
      <c r="C15" s="4" t="s">
        <v>37</v>
      </c>
      <c r="D15" s="4" t="s">
        <v>208</v>
      </c>
      <c r="E15" s="5">
        <v>280</v>
      </c>
      <c r="F15" s="5">
        <v>214</v>
      </c>
      <c r="G15" s="5">
        <v>162</v>
      </c>
      <c r="H15" s="5">
        <v>131</v>
      </c>
      <c r="I15" s="6">
        <v>800</v>
      </c>
      <c r="J15" s="6">
        <v>0</v>
      </c>
      <c r="K15" s="7">
        <v>120</v>
      </c>
      <c r="L15" s="8">
        <v>0</v>
      </c>
      <c r="N15" s="4" t="s">
        <v>37</v>
      </c>
      <c r="P15" s="103" t="s">
        <v>366</v>
      </c>
      <c r="Q15" s="109"/>
    </row>
    <row r="16" spans="2:17" x14ac:dyDescent="0.25">
      <c r="B16" s="116">
        <v>13</v>
      </c>
      <c r="C16" s="4" t="s">
        <v>42</v>
      </c>
      <c r="D16" s="4" t="s">
        <v>208</v>
      </c>
      <c r="E16" s="5">
        <v>164</v>
      </c>
      <c r="F16" s="5">
        <v>137</v>
      </c>
      <c r="G16" s="5">
        <v>102</v>
      </c>
      <c r="H16" s="5">
        <v>78</v>
      </c>
      <c r="I16" s="6">
        <v>800</v>
      </c>
      <c r="J16" s="6">
        <v>0</v>
      </c>
      <c r="K16" s="7">
        <v>140</v>
      </c>
      <c r="L16" s="8">
        <v>0</v>
      </c>
      <c r="N16" s="4" t="s">
        <v>42</v>
      </c>
      <c r="P16" s="103" t="s">
        <v>372</v>
      </c>
      <c r="Q16" s="109"/>
    </row>
    <row r="17" spans="2:17" x14ac:dyDescent="0.25">
      <c r="B17" s="116">
        <v>14</v>
      </c>
      <c r="C17" s="4" t="s">
        <v>49</v>
      </c>
      <c r="D17" s="4" t="s">
        <v>208</v>
      </c>
      <c r="E17" s="5">
        <v>88</v>
      </c>
      <c r="F17" s="5">
        <v>74</v>
      </c>
      <c r="G17" s="5">
        <v>55</v>
      </c>
      <c r="H17" s="5">
        <v>39</v>
      </c>
      <c r="I17" s="6">
        <v>750</v>
      </c>
      <c r="J17" s="6">
        <v>0</v>
      </c>
      <c r="K17" s="7">
        <v>140</v>
      </c>
      <c r="L17" s="8">
        <v>0</v>
      </c>
      <c r="N17" s="4" t="s">
        <v>49</v>
      </c>
      <c r="P17" s="103" t="s">
        <v>180</v>
      </c>
      <c r="Q17" s="109"/>
    </row>
    <row r="18" spans="2:17" x14ac:dyDescent="0.25">
      <c r="B18" s="116">
        <v>15</v>
      </c>
      <c r="C18" s="4" t="s">
        <v>38</v>
      </c>
      <c r="D18" s="4" t="s">
        <v>208</v>
      </c>
      <c r="E18" s="5">
        <v>280</v>
      </c>
      <c r="F18" s="5">
        <v>214</v>
      </c>
      <c r="G18" s="5">
        <v>162</v>
      </c>
      <c r="H18" s="5">
        <v>131</v>
      </c>
      <c r="I18" s="6">
        <v>800</v>
      </c>
      <c r="J18" s="6">
        <v>0</v>
      </c>
      <c r="K18" s="7">
        <v>140</v>
      </c>
      <c r="L18" s="8">
        <v>0</v>
      </c>
      <c r="N18" s="4" t="s">
        <v>38</v>
      </c>
      <c r="P18" s="11"/>
      <c r="Q18" s="14"/>
    </row>
    <row r="19" spans="2:17" x14ac:dyDescent="0.25">
      <c r="B19" s="116">
        <v>16</v>
      </c>
      <c r="C19" s="4" t="s">
        <v>30</v>
      </c>
      <c r="D19" s="4" t="s">
        <v>208</v>
      </c>
      <c r="E19" s="5">
        <v>294</v>
      </c>
      <c r="F19" s="5">
        <v>241</v>
      </c>
      <c r="G19" s="5">
        <v>190</v>
      </c>
      <c r="H19" s="5">
        <v>157</v>
      </c>
      <c r="I19" s="6">
        <v>850</v>
      </c>
      <c r="J19" s="6">
        <v>0</v>
      </c>
      <c r="K19" s="7">
        <v>160</v>
      </c>
      <c r="L19" s="8">
        <v>0</v>
      </c>
      <c r="N19" s="4" t="s">
        <v>30</v>
      </c>
      <c r="P19" s="3" t="s">
        <v>330</v>
      </c>
      <c r="Q19" s="11"/>
    </row>
    <row r="20" spans="2:17" x14ac:dyDescent="0.25">
      <c r="B20" s="116">
        <v>17</v>
      </c>
      <c r="C20" s="4" t="s">
        <v>39</v>
      </c>
      <c r="D20" s="4" t="s">
        <v>208</v>
      </c>
      <c r="E20" s="5">
        <v>280</v>
      </c>
      <c r="F20" s="5">
        <v>214</v>
      </c>
      <c r="G20" s="5">
        <v>162</v>
      </c>
      <c r="H20" s="5">
        <v>131</v>
      </c>
      <c r="I20" s="6">
        <v>850</v>
      </c>
      <c r="J20" s="6">
        <v>0</v>
      </c>
      <c r="K20" s="7">
        <v>140</v>
      </c>
      <c r="L20" s="8">
        <v>0</v>
      </c>
      <c r="N20" s="4" t="s">
        <v>39</v>
      </c>
      <c r="P20" s="104" t="s">
        <v>333</v>
      </c>
      <c r="Q20" s="14"/>
    </row>
    <row r="21" spans="2:17" x14ac:dyDescent="0.25">
      <c r="B21" s="116">
        <v>18</v>
      </c>
      <c r="C21" s="4" t="s">
        <v>50</v>
      </c>
      <c r="D21" s="4" t="s">
        <v>208</v>
      </c>
      <c r="E21" s="5">
        <v>88</v>
      </c>
      <c r="F21" s="5">
        <v>74</v>
      </c>
      <c r="G21" s="5">
        <v>55</v>
      </c>
      <c r="H21" s="5">
        <v>39</v>
      </c>
      <c r="I21" s="6">
        <v>750</v>
      </c>
      <c r="J21" s="6">
        <v>0</v>
      </c>
      <c r="K21" s="7">
        <v>120</v>
      </c>
      <c r="L21" s="8">
        <v>0</v>
      </c>
      <c r="N21" s="4" t="s">
        <v>50</v>
      </c>
      <c r="P21" s="104" t="s">
        <v>332</v>
      </c>
      <c r="Q21" s="14"/>
    </row>
    <row r="22" spans="2:17" x14ac:dyDescent="0.25">
      <c r="B22" s="116">
        <v>19</v>
      </c>
      <c r="C22" s="4" t="s">
        <v>31</v>
      </c>
      <c r="D22" s="4" t="s">
        <v>208</v>
      </c>
      <c r="E22" s="5">
        <v>294</v>
      </c>
      <c r="F22" s="5">
        <v>241</v>
      </c>
      <c r="G22" s="5">
        <v>190</v>
      </c>
      <c r="H22" s="5">
        <v>157</v>
      </c>
      <c r="I22" s="6">
        <v>850</v>
      </c>
      <c r="J22" s="6">
        <v>0</v>
      </c>
      <c r="K22" s="7">
        <v>140</v>
      </c>
      <c r="L22" s="8">
        <v>0</v>
      </c>
      <c r="N22" s="4" t="s">
        <v>31</v>
      </c>
    </row>
    <row r="23" spans="2:17" x14ac:dyDescent="0.25">
      <c r="B23" s="116">
        <v>20</v>
      </c>
      <c r="C23" s="4" t="s">
        <v>51</v>
      </c>
      <c r="D23" s="4" t="s">
        <v>208</v>
      </c>
      <c r="E23" s="5">
        <v>88</v>
      </c>
      <c r="F23" s="5">
        <v>74</v>
      </c>
      <c r="G23" s="5">
        <v>55</v>
      </c>
      <c r="H23" s="5">
        <v>39</v>
      </c>
      <c r="I23" s="6">
        <v>750</v>
      </c>
      <c r="J23" s="6">
        <v>0</v>
      </c>
      <c r="K23" s="7">
        <v>100</v>
      </c>
      <c r="L23" s="8">
        <v>0</v>
      </c>
      <c r="N23" s="4" t="s">
        <v>51</v>
      </c>
      <c r="P23" s="3" t="s">
        <v>331</v>
      </c>
    </row>
    <row r="24" spans="2:17" x14ac:dyDescent="0.25">
      <c r="B24" s="116">
        <v>21</v>
      </c>
      <c r="C24" s="4" t="s">
        <v>138</v>
      </c>
      <c r="D24" s="4" t="s">
        <v>208</v>
      </c>
      <c r="E24" s="5">
        <v>294</v>
      </c>
      <c r="F24" s="5">
        <v>241</v>
      </c>
      <c r="G24" s="5">
        <v>190</v>
      </c>
      <c r="H24" s="5">
        <v>157</v>
      </c>
      <c r="I24" s="6">
        <v>800</v>
      </c>
      <c r="J24" s="6">
        <v>0</v>
      </c>
      <c r="K24" s="7">
        <v>140</v>
      </c>
      <c r="L24" s="8">
        <v>0</v>
      </c>
      <c r="N24" s="4" t="s">
        <v>138</v>
      </c>
      <c r="P24" s="105">
        <v>24</v>
      </c>
    </row>
    <row r="25" spans="2:17" x14ac:dyDescent="0.25">
      <c r="B25" s="116">
        <v>22</v>
      </c>
      <c r="C25" s="4" t="s">
        <v>43</v>
      </c>
      <c r="D25" s="4" t="s">
        <v>208</v>
      </c>
      <c r="E25" s="5">
        <v>164</v>
      </c>
      <c r="F25" s="5">
        <v>137</v>
      </c>
      <c r="G25" s="5">
        <v>102</v>
      </c>
      <c r="H25" s="5">
        <v>78</v>
      </c>
      <c r="I25" s="6">
        <v>750</v>
      </c>
      <c r="J25" s="6">
        <v>0</v>
      </c>
      <c r="K25" s="7">
        <v>120</v>
      </c>
      <c r="L25" s="8">
        <v>0</v>
      </c>
      <c r="N25" s="4" t="s">
        <v>43</v>
      </c>
      <c r="P25" s="105">
        <v>36</v>
      </c>
    </row>
    <row r="26" spans="2:17" x14ac:dyDescent="0.25">
      <c r="B26" s="116">
        <v>23</v>
      </c>
      <c r="C26" s="4" t="s">
        <v>32</v>
      </c>
      <c r="D26" s="4" t="s">
        <v>208</v>
      </c>
      <c r="E26" s="5">
        <v>294</v>
      </c>
      <c r="F26" s="5">
        <v>241</v>
      </c>
      <c r="G26" s="5">
        <v>190</v>
      </c>
      <c r="H26" s="5">
        <v>157</v>
      </c>
      <c r="I26" s="6">
        <v>800</v>
      </c>
      <c r="J26" s="6">
        <v>0</v>
      </c>
      <c r="K26" s="7">
        <v>160</v>
      </c>
      <c r="L26" s="8">
        <v>0</v>
      </c>
      <c r="N26" s="4" t="s">
        <v>32</v>
      </c>
    </row>
    <row r="27" spans="2:17" x14ac:dyDescent="0.25">
      <c r="B27" s="116">
        <v>24</v>
      </c>
      <c r="C27" s="4" t="s">
        <v>33</v>
      </c>
      <c r="D27" s="4" t="s">
        <v>208</v>
      </c>
      <c r="E27" s="5">
        <v>294</v>
      </c>
      <c r="F27" s="5">
        <v>241</v>
      </c>
      <c r="G27" s="5">
        <v>190</v>
      </c>
      <c r="H27" s="5">
        <v>157</v>
      </c>
      <c r="I27" s="6">
        <v>850</v>
      </c>
      <c r="J27" s="6">
        <v>0</v>
      </c>
      <c r="K27" s="7">
        <v>140</v>
      </c>
      <c r="L27" s="8">
        <v>0</v>
      </c>
      <c r="N27" s="4" t="s">
        <v>33</v>
      </c>
      <c r="P27" s="3" t="s">
        <v>350</v>
      </c>
    </row>
    <row r="28" spans="2:17" x14ac:dyDescent="0.25">
      <c r="B28" s="116">
        <v>25</v>
      </c>
      <c r="C28" s="4" t="s">
        <v>52</v>
      </c>
      <c r="D28" s="4" t="s">
        <v>208</v>
      </c>
      <c r="E28" s="5">
        <v>88</v>
      </c>
      <c r="F28" s="5">
        <v>74</v>
      </c>
      <c r="G28" s="5">
        <v>55</v>
      </c>
      <c r="H28" s="5">
        <v>39</v>
      </c>
      <c r="I28" s="6">
        <v>750</v>
      </c>
      <c r="J28" s="6">
        <v>0</v>
      </c>
      <c r="K28" s="7">
        <v>140</v>
      </c>
      <c r="L28" s="8">
        <v>0</v>
      </c>
      <c r="N28" s="4" t="s">
        <v>52</v>
      </c>
      <c r="P28" s="4" t="s">
        <v>228</v>
      </c>
    </row>
    <row r="29" spans="2:17" x14ac:dyDescent="0.25">
      <c r="B29" s="116">
        <v>26</v>
      </c>
      <c r="C29" s="4" t="s">
        <v>44</v>
      </c>
      <c r="D29" s="4" t="s">
        <v>208</v>
      </c>
      <c r="E29" s="5">
        <v>164</v>
      </c>
      <c r="F29" s="5">
        <v>137</v>
      </c>
      <c r="G29" s="5">
        <v>102</v>
      </c>
      <c r="H29" s="5">
        <v>78</v>
      </c>
      <c r="I29" s="6">
        <v>800</v>
      </c>
      <c r="J29" s="6">
        <v>0</v>
      </c>
      <c r="K29" s="7">
        <v>120</v>
      </c>
      <c r="L29" s="8">
        <v>0</v>
      </c>
      <c r="N29" s="4" t="s">
        <v>44</v>
      </c>
      <c r="P29" s="4" t="s">
        <v>226</v>
      </c>
    </row>
    <row r="30" spans="2:17" x14ac:dyDescent="0.25">
      <c r="B30" s="116">
        <v>27</v>
      </c>
      <c r="C30" s="4" t="s">
        <v>53</v>
      </c>
      <c r="D30" s="4" t="s">
        <v>208</v>
      </c>
      <c r="E30" s="5">
        <v>88</v>
      </c>
      <c r="F30" s="5">
        <v>74</v>
      </c>
      <c r="G30" s="5">
        <v>55</v>
      </c>
      <c r="H30" s="5">
        <v>39</v>
      </c>
      <c r="I30" s="6">
        <v>750</v>
      </c>
      <c r="J30" s="6">
        <v>0</v>
      </c>
      <c r="K30" s="7">
        <v>140</v>
      </c>
      <c r="L30" s="8">
        <v>0</v>
      </c>
      <c r="N30" s="4" t="s">
        <v>53</v>
      </c>
    </row>
    <row r="31" spans="2:17" x14ac:dyDescent="0.25">
      <c r="B31" s="116">
        <v>28</v>
      </c>
      <c r="C31" s="4" t="s">
        <v>157</v>
      </c>
      <c r="D31" s="4" t="s">
        <v>208</v>
      </c>
      <c r="E31" s="5">
        <v>88</v>
      </c>
      <c r="F31" s="5">
        <v>74</v>
      </c>
      <c r="G31" s="5">
        <v>55</v>
      </c>
      <c r="H31" s="5">
        <v>39</v>
      </c>
      <c r="I31" s="6">
        <v>750</v>
      </c>
      <c r="J31" s="6">
        <v>0</v>
      </c>
      <c r="K31" s="7">
        <v>120</v>
      </c>
      <c r="L31" s="8">
        <v>0</v>
      </c>
      <c r="N31" s="4" t="s">
        <v>157</v>
      </c>
    </row>
    <row r="32" spans="2:17" x14ac:dyDescent="0.25">
      <c r="B32" s="116">
        <v>29</v>
      </c>
      <c r="C32" s="4" t="s">
        <v>45</v>
      </c>
      <c r="D32" s="4" t="s">
        <v>208</v>
      </c>
      <c r="E32" s="5">
        <v>164</v>
      </c>
      <c r="F32" s="5">
        <v>137</v>
      </c>
      <c r="G32" s="5">
        <v>102</v>
      </c>
      <c r="H32" s="5">
        <v>78</v>
      </c>
      <c r="I32" s="6">
        <v>800</v>
      </c>
      <c r="J32" s="6">
        <v>0</v>
      </c>
      <c r="K32" s="7">
        <v>100</v>
      </c>
      <c r="L32" s="8">
        <v>0</v>
      </c>
      <c r="N32" s="4" t="s">
        <v>45</v>
      </c>
    </row>
    <row r="33" spans="2:14" x14ac:dyDescent="0.25">
      <c r="B33" s="116">
        <v>30</v>
      </c>
      <c r="C33" s="4" t="s">
        <v>46</v>
      </c>
      <c r="D33" s="4" t="s">
        <v>208</v>
      </c>
      <c r="E33" s="5">
        <v>164</v>
      </c>
      <c r="F33" s="5">
        <v>137</v>
      </c>
      <c r="G33" s="5">
        <v>102</v>
      </c>
      <c r="H33" s="5">
        <v>78</v>
      </c>
      <c r="I33" s="6">
        <v>800</v>
      </c>
      <c r="J33" s="6">
        <v>0</v>
      </c>
      <c r="K33" s="7">
        <v>120</v>
      </c>
      <c r="L33" s="8">
        <v>0</v>
      </c>
      <c r="N33" s="4" t="s">
        <v>46</v>
      </c>
    </row>
    <row r="34" spans="2:14" x14ac:dyDescent="0.25">
      <c r="B34" s="116">
        <v>31</v>
      </c>
      <c r="C34" s="4" t="s">
        <v>34</v>
      </c>
      <c r="D34" s="4" t="s">
        <v>208</v>
      </c>
      <c r="E34" s="5">
        <v>294</v>
      </c>
      <c r="F34" s="5">
        <v>241</v>
      </c>
      <c r="G34" s="5">
        <v>190</v>
      </c>
      <c r="H34" s="5">
        <v>157</v>
      </c>
      <c r="I34" s="6">
        <v>850</v>
      </c>
      <c r="J34" s="6">
        <v>0</v>
      </c>
      <c r="K34" s="7">
        <v>160</v>
      </c>
      <c r="L34" s="8">
        <v>0</v>
      </c>
      <c r="N34" s="4" t="s">
        <v>34</v>
      </c>
    </row>
    <row r="35" spans="2:14" x14ac:dyDescent="0.25">
      <c r="B35" s="116">
        <v>32</v>
      </c>
      <c r="C35" s="4" t="s">
        <v>54</v>
      </c>
      <c r="D35" s="4" t="s">
        <v>208</v>
      </c>
      <c r="E35" s="5">
        <v>88</v>
      </c>
      <c r="F35" s="5">
        <v>74</v>
      </c>
      <c r="G35" s="5">
        <v>55</v>
      </c>
      <c r="H35" s="5">
        <v>39</v>
      </c>
      <c r="I35" s="6">
        <v>800</v>
      </c>
      <c r="J35" s="6">
        <v>0</v>
      </c>
      <c r="K35" s="7">
        <v>140</v>
      </c>
      <c r="L35" s="8">
        <v>0</v>
      </c>
      <c r="N35" s="4" t="s">
        <v>54</v>
      </c>
    </row>
    <row r="36" spans="2:14" x14ac:dyDescent="0.25">
      <c r="B36" s="116">
        <v>33</v>
      </c>
      <c r="C36" s="4" t="s">
        <v>40</v>
      </c>
      <c r="D36" s="4" t="s">
        <v>208</v>
      </c>
      <c r="E36" s="5">
        <v>280</v>
      </c>
      <c r="F36" s="5">
        <v>214</v>
      </c>
      <c r="G36" s="5">
        <v>162</v>
      </c>
      <c r="H36" s="5">
        <v>131</v>
      </c>
      <c r="I36" s="6">
        <v>850</v>
      </c>
      <c r="J36" s="6">
        <v>0</v>
      </c>
      <c r="K36" s="7">
        <v>160</v>
      </c>
      <c r="L36" s="8">
        <v>0</v>
      </c>
      <c r="N36" s="4" t="s">
        <v>40</v>
      </c>
    </row>
    <row r="37" spans="2:14" x14ac:dyDescent="0.25">
      <c r="B37" s="116">
        <v>34</v>
      </c>
      <c r="C37" s="4" t="s">
        <v>8</v>
      </c>
      <c r="D37" s="4" t="s">
        <v>209</v>
      </c>
      <c r="E37" s="5">
        <v>77</v>
      </c>
      <c r="F37" s="5">
        <v>57</v>
      </c>
      <c r="G37" s="5">
        <v>40</v>
      </c>
      <c r="H37" s="5">
        <v>32</v>
      </c>
      <c r="I37" s="6">
        <v>0</v>
      </c>
      <c r="J37" s="6">
        <v>0</v>
      </c>
      <c r="K37" s="7">
        <v>0</v>
      </c>
      <c r="L37" s="8">
        <v>0</v>
      </c>
      <c r="N37" s="4" t="s">
        <v>56</v>
      </c>
    </row>
    <row r="38" spans="2:14" x14ac:dyDescent="0.25">
      <c r="B38" s="116">
        <v>35</v>
      </c>
      <c r="C38" s="4" t="s">
        <v>56</v>
      </c>
      <c r="D38" s="4" t="s">
        <v>209</v>
      </c>
      <c r="E38" s="5">
        <v>108</v>
      </c>
      <c r="F38" s="5">
        <v>80</v>
      </c>
      <c r="G38" s="5">
        <v>57</v>
      </c>
      <c r="H38" s="5">
        <v>45</v>
      </c>
      <c r="I38" s="6">
        <v>750</v>
      </c>
      <c r="J38" s="6">
        <v>650</v>
      </c>
      <c r="K38" s="7">
        <v>100</v>
      </c>
      <c r="L38" s="8">
        <v>160</v>
      </c>
      <c r="N38" s="4" t="s">
        <v>57</v>
      </c>
    </row>
    <row r="39" spans="2:14" x14ac:dyDescent="0.25">
      <c r="B39" s="116">
        <v>36</v>
      </c>
      <c r="C39" s="4" t="s">
        <v>57</v>
      </c>
      <c r="D39" s="4" t="s">
        <v>209</v>
      </c>
      <c r="E39" s="5">
        <v>47</v>
      </c>
      <c r="F39" s="5">
        <v>33</v>
      </c>
      <c r="G39" s="5">
        <v>22</v>
      </c>
      <c r="H39" s="5">
        <v>17</v>
      </c>
      <c r="I39" s="6">
        <v>750</v>
      </c>
      <c r="J39" s="6">
        <v>650</v>
      </c>
      <c r="K39" s="7">
        <v>100</v>
      </c>
      <c r="L39" s="8">
        <v>160</v>
      </c>
      <c r="N39" s="4" t="s">
        <v>59</v>
      </c>
    </row>
    <row r="40" spans="2:14" x14ac:dyDescent="0.25">
      <c r="B40" s="116">
        <v>37</v>
      </c>
      <c r="C40" s="4" t="s">
        <v>257</v>
      </c>
      <c r="D40" s="4" t="s">
        <v>209</v>
      </c>
      <c r="E40" s="5">
        <v>108</v>
      </c>
      <c r="F40" s="5">
        <v>80</v>
      </c>
      <c r="G40" s="5">
        <v>57</v>
      </c>
      <c r="H40" s="5">
        <v>45</v>
      </c>
      <c r="I40" s="6">
        <v>0</v>
      </c>
      <c r="J40" s="6">
        <v>0</v>
      </c>
      <c r="K40" s="7">
        <v>0</v>
      </c>
      <c r="L40" s="8">
        <v>0</v>
      </c>
      <c r="N40" s="4" t="s">
        <v>60</v>
      </c>
    </row>
    <row r="41" spans="2:14" x14ac:dyDescent="0.25">
      <c r="B41" s="116">
        <v>38</v>
      </c>
      <c r="C41" s="4" t="s">
        <v>258</v>
      </c>
      <c r="D41" s="4" t="s">
        <v>209</v>
      </c>
      <c r="E41" s="5">
        <v>108</v>
      </c>
      <c r="F41" s="5">
        <v>80</v>
      </c>
      <c r="G41" s="5">
        <v>57</v>
      </c>
      <c r="H41" s="5">
        <v>45</v>
      </c>
      <c r="I41" s="6">
        <v>0</v>
      </c>
      <c r="J41" s="6">
        <v>0</v>
      </c>
      <c r="K41" s="7">
        <v>0</v>
      </c>
      <c r="L41" s="8">
        <v>0</v>
      </c>
      <c r="N41" s="4" t="s">
        <v>63</v>
      </c>
    </row>
    <row r="42" spans="2:14" x14ac:dyDescent="0.25">
      <c r="B42" s="116">
        <v>39</v>
      </c>
      <c r="C42" s="4" t="s">
        <v>58</v>
      </c>
      <c r="D42" s="4" t="s">
        <v>209</v>
      </c>
      <c r="E42" s="5">
        <v>108</v>
      </c>
      <c r="F42" s="5">
        <v>80</v>
      </c>
      <c r="G42" s="5">
        <v>57</v>
      </c>
      <c r="H42" s="5">
        <v>45</v>
      </c>
      <c r="I42" s="6">
        <v>0</v>
      </c>
      <c r="J42" s="6">
        <v>0</v>
      </c>
      <c r="K42" s="7">
        <v>0</v>
      </c>
      <c r="L42" s="8">
        <v>0</v>
      </c>
      <c r="N42" s="4" t="s">
        <v>66</v>
      </c>
    </row>
    <row r="43" spans="2:14" x14ac:dyDescent="0.25">
      <c r="B43" s="116">
        <v>40</v>
      </c>
      <c r="C43" s="4" t="s">
        <v>59</v>
      </c>
      <c r="D43" s="4" t="s">
        <v>209</v>
      </c>
      <c r="E43" s="5">
        <v>47</v>
      </c>
      <c r="F43" s="5">
        <v>33</v>
      </c>
      <c r="G43" s="5">
        <v>22</v>
      </c>
      <c r="H43" s="5">
        <v>17</v>
      </c>
      <c r="I43" s="6">
        <v>750</v>
      </c>
      <c r="J43" s="6">
        <v>650</v>
      </c>
      <c r="K43" s="7">
        <v>100</v>
      </c>
      <c r="L43" s="8">
        <v>160</v>
      </c>
      <c r="N43" s="4" t="s">
        <v>74</v>
      </c>
    </row>
    <row r="44" spans="2:14" x14ac:dyDescent="0.25">
      <c r="B44" s="116">
        <v>41</v>
      </c>
      <c r="C44" s="4" t="s">
        <v>60</v>
      </c>
      <c r="D44" s="4" t="s">
        <v>209</v>
      </c>
      <c r="E44" s="5">
        <v>77</v>
      </c>
      <c r="F44" s="5">
        <v>57</v>
      </c>
      <c r="G44" s="5">
        <v>40</v>
      </c>
      <c r="H44" s="5">
        <v>32</v>
      </c>
      <c r="I44" s="6">
        <v>750</v>
      </c>
      <c r="J44" s="6">
        <v>650</v>
      </c>
      <c r="K44" s="7">
        <v>100</v>
      </c>
      <c r="L44" s="8">
        <v>160</v>
      </c>
      <c r="N44" s="4" t="s">
        <v>75</v>
      </c>
    </row>
    <row r="45" spans="2:14" x14ac:dyDescent="0.25">
      <c r="B45" s="116">
        <v>42</v>
      </c>
      <c r="C45" s="4" t="s">
        <v>259</v>
      </c>
      <c r="D45" s="4" t="s">
        <v>209</v>
      </c>
      <c r="E45" s="5">
        <v>77</v>
      </c>
      <c r="F45" s="5">
        <v>57</v>
      </c>
      <c r="G45" s="5">
        <v>40</v>
      </c>
      <c r="H45" s="5">
        <v>32</v>
      </c>
      <c r="I45" s="6">
        <v>0</v>
      </c>
      <c r="J45" s="6">
        <v>0</v>
      </c>
      <c r="K45" s="7">
        <v>0</v>
      </c>
      <c r="L45" s="8">
        <v>0</v>
      </c>
      <c r="N45" s="4" t="s">
        <v>55</v>
      </c>
    </row>
    <row r="46" spans="2:14" x14ac:dyDescent="0.25">
      <c r="B46" s="116">
        <v>43</v>
      </c>
      <c r="C46" s="4" t="s">
        <v>61</v>
      </c>
      <c r="D46" s="4" t="s">
        <v>209</v>
      </c>
      <c r="E46" s="5">
        <v>47</v>
      </c>
      <c r="F46" s="5">
        <v>33</v>
      </c>
      <c r="G46" s="5">
        <v>22</v>
      </c>
      <c r="H46" s="5">
        <v>17</v>
      </c>
      <c r="I46" s="6">
        <v>0</v>
      </c>
      <c r="J46" s="6">
        <v>0</v>
      </c>
      <c r="K46" s="7">
        <v>0</v>
      </c>
      <c r="L46" s="8">
        <v>0</v>
      </c>
      <c r="N46" s="4" t="s">
        <v>82</v>
      </c>
    </row>
    <row r="47" spans="2:14" x14ac:dyDescent="0.25">
      <c r="B47" s="116">
        <v>44</v>
      </c>
      <c r="C47" s="4" t="s">
        <v>260</v>
      </c>
      <c r="D47" s="4" t="s">
        <v>209</v>
      </c>
      <c r="E47" s="5">
        <v>108</v>
      </c>
      <c r="F47" s="5">
        <v>80</v>
      </c>
      <c r="G47" s="5">
        <v>57</v>
      </c>
      <c r="H47" s="5">
        <v>45</v>
      </c>
      <c r="I47" s="6">
        <v>0</v>
      </c>
      <c r="J47" s="6">
        <v>0</v>
      </c>
      <c r="K47" s="7">
        <v>0</v>
      </c>
      <c r="L47" s="8">
        <v>0</v>
      </c>
      <c r="N47" s="4" t="s">
        <v>174</v>
      </c>
    </row>
    <row r="48" spans="2:14" x14ac:dyDescent="0.25">
      <c r="B48" s="116">
        <v>45</v>
      </c>
      <c r="C48" s="4" t="s">
        <v>63</v>
      </c>
      <c r="D48" s="4" t="s">
        <v>209</v>
      </c>
      <c r="E48" s="5">
        <v>47</v>
      </c>
      <c r="F48" s="5">
        <v>33</v>
      </c>
      <c r="G48" s="5">
        <v>22</v>
      </c>
      <c r="H48" s="5">
        <v>17</v>
      </c>
      <c r="I48" s="6">
        <v>750</v>
      </c>
      <c r="J48" s="6">
        <v>650</v>
      </c>
      <c r="K48" s="7">
        <v>100</v>
      </c>
      <c r="L48" s="8">
        <v>160</v>
      </c>
      <c r="N48" s="4" t="s">
        <v>85</v>
      </c>
    </row>
    <row r="49" spans="2:14" x14ac:dyDescent="0.25">
      <c r="B49" s="116">
        <v>46</v>
      </c>
      <c r="C49" s="4" t="s">
        <v>261</v>
      </c>
      <c r="D49" s="4" t="s">
        <v>209</v>
      </c>
      <c r="E49" s="5">
        <v>47</v>
      </c>
      <c r="F49" s="5">
        <v>33</v>
      </c>
      <c r="G49" s="5">
        <v>22</v>
      </c>
      <c r="H49" s="5">
        <v>17</v>
      </c>
      <c r="I49" s="6">
        <v>0</v>
      </c>
      <c r="J49" s="6">
        <v>0</v>
      </c>
      <c r="K49" s="7">
        <v>0</v>
      </c>
      <c r="L49" s="8">
        <v>0</v>
      </c>
      <c r="N49" s="4" t="s">
        <v>86</v>
      </c>
    </row>
    <row r="50" spans="2:14" x14ac:dyDescent="0.25">
      <c r="B50" s="116">
        <v>47</v>
      </c>
      <c r="C50" s="4" t="s">
        <v>262</v>
      </c>
      <c r="D50" s="4" t="s">
        <v>209</v>
      </c>
      <c r="E50" s="5">
        <v>47</v>
      </c>
      <c r="F50" s="5">
        <v>33</v>
      </c>
      <c r="G50" s="5">
        <v>22</v>
      </c>
      <c r="H50" s="5">
        <v>17</v>
      </c>
      <c r="I50" s="6">
        <v>0</v>
      </c>
      <c r="J50" s="6">
        <v>0</v>
      </c>
      <c r="K50" s="7">
        <v>0</v>
      </c>
      <c r="L50" s="8">
        <v>0</v>
      </c>
      <c r="N50" s="4" t="s">
        <v>90</v>
      </c>
    </row>
    <row r="51" spans="2:14" x14ac:dyDescent="0.25">
      <c r="B51" s="116">
        <v>48</v>
      </c>
      <c r="C51" s="4" t="s">
        <v>64</v>
      </c>
      <c r="D51" s="4" t="s">
        <v>209</v>
      </c>
      <c r="E51" s="5">
        <v>47</v>
      </c>
      <c r="F51" s="5">
        <v>33</v>
      </c>
      <c r="G51" s="5">
        <v>22</v>
      </c>
      <c r="H51" s="5">
        <v>17</v>
      </c>
      <c r="I51" s="6">
        <v>0</v>
      </c>
      <c r="J51" s="6">
        <v>0</v>
      </c>
      <c r="K51" s="7">
        <v>0</v>
      </c>
      <c r="L51" s="8">
        <v>0</v>
      </c>
      <c r="N51" s="4" t="s">
        <v>92</v>
      </c>
    </row>
    <row r="52" spans="2:14" x14ac:dyDescent="0.25">
      <c r="B52" s="116">
        <v>49</v>
      </c>
      <c r="C52" s="4" t="s">
        <v>65</v>
      </c>
      <c r="D52" s="4" t="s">
        <v>209</v>
      </c>
      <c r="E52" s="5">
        <v>77</v>
      </c>
      <c r="F52" s="5">
        <v>57</v>
      </c>
      <c r="G52" s="5">
        <v>40</v>
      </c>
      <c r="H52" s="5">
        <v>32</v>
      </c>
      <c r="I52" s="6">
        <v>0</v>
      </c>
      <c r="J52" s="6">
        <v>0</v>
      </c>
      <c r="K52" s="7">
        <v>0</v>
      </c>
      <c r="L52" s="8">
        <v>0</v>
      </c>
      <c r="N52" s="4" t="s">
        <v>93</v>
      </c>
    </row>
    <row r="53" spans="2:14" x14ac:dyDescent="0.25">
      <c r="B53" s="116">
        <v>50</v>
      </c>
      <c r="C53" s="4" t="s">
        <v>66</v>
      </c>
      <c r="D53" s="4" t="s">
        <v>209</v>
      </c>
      <c r="E53" s="5">
        <v>108</v>
      </c>
      <c r="F53" s="5">
        <v>80</v>
      </c>
      <c r="G53" s="5">
        <v>57</v>
      </c>
      <c r="H53" s="5">
        <v>45</v>
      </c>
      <c r="I53" s="6">
        <v>750</v>
      </c>
      <c r="J53" s="6">
        <v>650</v>
      </c>
      <c r="K53" s="7">
        <v>100</v>
      </c>
      <c r="L53" s="8">
        <v>160</v>
      </c>
      <c r="N53" s="4" t="s">
        <v>173</v>
      </c>
    </row>
    <row r="54" spans="2:14" x14ac:dyDescent="0.25">
      <c r="B54" s="116">
        <v>51</v>
      </c>
      <c r="C54" s="4" t="s">
        <v>263</v>
      </c>
      <c r="D54" s="4" t="s">
        <v>209</v>
      </c>
      <c r="E54" s="5">
        <v>47</v>
      </c>
      <c r="F54" s="5">
        <v>33</v>
      </c>
      <c r="G54" s="5">
        <v>22</v>
      </c>
      <c r="H54" s="5">
        <v>17</v>
      </c>
      <c r="I54" s="6">
        <v>0</v>
      </c>
      <c r="J54" s="6">
        <v>0</v>
      </c>
      <c r="K54" s="7">
        <v>0</v>
      </c>
      <c r="L54" s="8">
        <v>0</v>
      </c>
      <c r="N54" s="4" t="s">
        <v>100</v>
      </c>
    </row>
    <row r="55" spans="2:14" x14ac:dyDescent="0.25">
      <c r="B55" s="116">
        <v>52</v>
      </c>
      <c r="C55" s="4" t="s">
        <v>67</v>
      </c>
      <c r="D55" s="4" t="s">
        <v>209</v>
      </c>
      <c r="E55" s="5">
        <v>108</v>
      </c>
      <c r="F55" s="5">
        <v>80</v>
      </c>
      <c r="G55" s="5">
        <v>57</v>
      </c>
      <c r="H55" s="5">
        <v>45</v>
      </c>
      <c r="I55" s="6">
        <v>0</v>
      </c>
      <c r="J55" s="6">
        <v>0</v>
      </c>
      <c r="K55" s="7">
        <v>0</v>
      </c>
      <c r="L55" s="8">
        <v>0</v>
      </c>
      <c r="N55" s="4" t="s">
        <v>102</v>
      </c>
    </row>
    <row r="56" spans="2:14" x14ac:dyDescent="0.25">
      <c r="B56" s="116">
        <v>53</v>
      </c>
      <c r="C56" s="4" t="s">
        <v>264</v>
      </c>
      <c r="D56" s="4" t="s">
        <v>209</v>
      </c>
      <c r="E56" s="5">
        <v>77</v>
      </c>
      <c r="F56" s="5">
        <v>57</v>
      </c>
      <c r="G56" s="5">
        <v>40</v>
      </c>
      <c r="H56" s="5">
        <v>32</v>
      </c>
      <c r="I56" s="6">
        <v>0</v>
      </c>
      <c r="J56" s="6">
        <v>0</v>
      </c>
      <c r="K56" s="7">
        <v>0</v>
      </c>
      <c r="L56" s="8">
        <v>0</v>
      </c>
      <c r="N56" s="4" t="s">
        <v>105</v>
      </c>
    </row>
    <row r="57" spans="2:14" x14ac:dyDescent="0.25">
      <c r="B57" s="116">
        <v>54</v>
      </c>
      <c r="C57" s="4" t="s">
        <v>265</v>
      </c>
      <c r="D57" s="4" t="s">
        <v>209</v>
      </c>
      <c r="E57" s="5">
        <v>47</v>
      </c>
      <c r="F57" s="5">
        <v>33</v>
      </c>
      <c r="G57" s="5">
        <v>22</v>
      </c>
      <c r="H57" s="5">
        <v>17</v>
      </c>
      <c r="I57" s="6">
        <v>0</v>
      </c>
      <c r="J57" s="6">
        <v>0</v>
      </c>
      <c r="K57" s="7">
        <v>0</v>
      </c>
      <c r="L57" s="8">
        <v>0</v>
      </c>
      <c r="N57" s="4" t="s">
        <v>186</v>
      </c>
    </row>
    <row r="58" spans="2:14" x14ac:dyDescent="0.25">
      <c r="B58" s="116">
        <v>55</v>
      </c>
      <c r="C58" s="4" t="s">
        <v>68</v>
      </c>
      <c r="D58" s="4" t="s">
        <v>209</v>
      </c>
      <c r="E58" s="5">
        <v>47</v>
      </c>
      <c r="F58" s="5">
        <v>33</v>
      </c>
      <c r="G58" s="5">
        <v>22</v>
      </c>
      <c r="H58" s="5">
        <v>17</v>
      </c>
      <c r="I58" s="6">
        <v>0</v>
      </c>
      <c r="J58" s="6">
        <v>0</v>
      </c>
      <c r="K58" s="7">
        <v>0</v>
      </c>
      <c r="L58" s="8">
        <v>0</v>
      </c>
    </row>
    <row r="59" spans="2:14" x14ac:dyDescent="0.25">
      <c r="B59" s="116">
        <v>56</v>
      </c>
      <c r="C59" s="4" t="s">
        <v>266</v>
      </c>
      <c r="D59" s="4" t="s">
        <v>209</v>
      </c>
      <c r="E59" s="5">
        <v>77</v>
      </c>
      <c r="F59" s="5">
        <v>57</v>
      </c>
      <c r="G59" s="5">
        <v>40</v>
      </c>
      <c r="H59" s="5">
        <v>32</v>
      </c>
      <c r="I59" s="6">
        <v>0</v>
      </c>
      <c r="J59" s="6">
        <v>0</v>
      </c>
      <c r="K59" s="7">
        <v>0</v>
      </c>
      <c r="L59" s="8">
        <v>0</v>
      </c>
    </row>
    <row r="60" spans="2:14" x14ac:dyDescent="0.25">
      <c r="B60" s="116">
        <v>57</v>
      </c>
      <c r="C60" s="4" t="s">
        <v>267</v>
      </c>
      <c r="D60" s="4" t="s">
        <v>209</v>
      </c>
      <c r="E60" s="5">
        <v>47</v>
      </c>
      <c r="F60" s="5">
        <v>33</v>
      </c>
      <c r="G60" s="5">
        <v>22</v>
      </c>
      <c r="H60" s="5">
        <v>17</v>
      </c>
      <c r="I60" s="6">
        <v>0</v>
      </c>
      <c r="J60" s="6">
        <v>0</v>
      </c>
      <c r="K60" s="7">
        <v>0</v>
      </c>
      <c r="L60" s="8">
        <v>0</v>
      </c>
    </row>
    <row r="61" spans="2:14" x14ac:dyDescent="0.25">
      <c r="B61" s="116">
        <v>58</v>
      </c>
      <c r="C61" s="4" t="s">
        <v>268</v>
      </c>
      <c r="D61" s="4" t="s">
        <v>209</v>
      </c>
      <c r="E61" s="5">
        <v>47</v>
      </c>
      <c r="F61" s="5">
        <v>33</v>
      </c>
      <c r="G61" s="5">
        <v>22</v>
      </c>
      <c r="H61" s="5">
        <v>17</v>
      </c>
      <c r="I61" s="6">
        <v>0</v>
      </c>
      <c r="J61" s="6">
        <v>0</v>
      </c>
      <c r="K61" s="7">
        <v>0</v>
      </c>
      <c r="L61" s="8">
        <v>0</v>
      </c>
    </row>
    <row r="62" spans="2:14" x14ac:dyDescent="0.25">
      <c r="B62" s="116">
        <v>59</v>
      </c>
      <c r="C62" s="4" t="s">
        <v>269</v>
      </c>
      <c r="D62" s="4" t="s">
        <v>209</v>
      </c>
      <c r="E62" s="5">
        <v>47</v>
      </c>
      <c r="F62" s="5">
        <v>33</v>
      </c>
      <c r="G62" s="5">
        <v>22</v>
      </c>
      <c r="H62" s="5">
        <v>17</v>
      </c>
      <c r="I62" s="6">
        <v>0</v>
      </c>
      <c r="J62" s="6">
        <v>0</v>
      </c>
      <c r="K62" s="7">
        <v>0</v>
      </c>
      <c r="L62" s="8">
        <v>0</v>
      </c>
    </row>
    <row r="63" spans="2:14" x14ac:dyDescent="0.25">
      <c r="B63" s="116">
        <v>60</v>
      </c>
      <c r="C63" s="4" t="s">
        <v>62</v>
      </c>
      <c r="D63" s="4" t="s">
        <v>209</v>
      </c>
      <c r="E63" s="5">
        <v>108</v>
      </c>
      <c r="F63" s="5">
        <v>80</v>
      </c>
      <c r="G63" s="5">
        <v>57</v>
      </c>
      <c r="H63" s="5">
        <v>45</v>
      </c>
      <c r="I63" s="6">
        <v>0</v>
      </c>
      <c r="J63" s="6">
        <v>0</v>
      </c>
      <c r="K63" s="7">
        <v>0</v>
      </c>
      <c r="L63" s="8">
        <v>0</v>
      </c>
    </row>
    <row r="64" spans="2:14" x14ac:dyDescent="0.25">
      <c r="B64" s="116">
        <v>61</v>
      </c>
      <c r="C64" s="4" t="s">
        <v>69</v>
      </c>
      <c r="D64" s="4" t="s">
        <v>209</v>
      </c>
      <c r="E64" s="5">
        <v>77</v>
      </c>
      <c r="F64" s="5">
        <v>57</v>
      </c>
      <c r="G64" s="5">
        <v>40</v>
      </c>
      <c r="H64" s="5">
        <v>32</v>
      </c>
      <c r="I64" s="6">
        <v>0</v>
      </c>
      <c r="J64" s="6">
        <v>0</v>
      </c>
      <c r="K64" s="7">
        <v>0</v>
      </c>
      <c r="L64" s="8">
        <v>0</v>
      </c>
    </row>
    <row r="65" spans="2:12" x14ac:dyDescent="0.25">
      <c r="B65" s="116">
        <v>62</v>
      </c>
      <c r="C65" s="4" t="s">
        <v>70</v>
      </c>
      <c r="D65" s="4" t="s">
        <v>209</v>
      </c>
      <c r="E65" s="5">
        <v>108</v>
      </c>
      <c r="F65" s="5">
        <v>80</v>
      </c>
      <c r="G65" s="5">
        <v>57</v>
      </c>
      <c r="H65" s="5">
        <v>45</v>
      </c>
      <c r="I65" s="6">
        <v>0</v>
      </c>
      <c r="J65" s="6">
        <v>0</v>
      </c>
      <c r="K65" s="7">
        <v>0</v>
      </c>
      <c r="L65" s="8">
        <v>0</v>
      </c>
    </row>
    <row r="66" spans="2:12" x14ac:dyDescent="0.25">
      <c r="B66" s="116">
        <v>63</v>
      </c>
      <c r="C66" s="4" t="s">
        <v>270</v>
      </c>
      <c r="D66" s="4" t="s">
        <v>209</v>
      </c>
      <c r="E66" s="5">
        <v>108</v>
      </c>
      <c r="F66" s="5">
        <v>80</v>
      </c>
      <c r="G66" s="5">
        <v>57</v>
      </c>
      <c r="H66" s="5">
        <v>45</v>
      </c>
      <c r="I66" s="6">
        <v>0</v>
      </c>
      <c r="J66" s="6">
        <v>0</v>
      </c>
      <c r="K66" s="7">
        <v>0</v>
      </c>
      <c r="L66" s="8">
        <v>0</v>
      </c>
    </row>
    <row r="67" spans="2:12" x14ac:dyDescent="0.25">
      <c r="B67" s="116">
        <v>64</v>
      </c>
      <c r="C67" s="4" t="s">
        <v>271</v>
      </c>
      <c r="D67" s="4" t="s">
        <v>209</v>
      </c>
      <c r="E67" s="5">
        <v>77</v>
      </c>
      <c r="F67" s="5">
        <v>57</v>
      </c>
      <c r="G67" s="5">
        <v>40</v>
      </c>
      <c r="H67" s="5">
        <v>32</v>
      </c>
      <c r="I67" s="6">
        <v>0</v>
      </c>
      <c r="J67" s="6">
        <v>0</v>
      </c>
      <c r="K67" s="7">
        <v>0</v>
      </c>
      <c r="L67" s="8">
        <v>0</v>
      </c>
    </row>
    <row r="68" spans="2:12" x14ac:dyDescent="0.25">
      <c r="B68" s="116">
        <v>65</v>
      </c>
      <c r="C68" s="4" t="s">
        <v>378</v>
      </c>
      <c r="D68" s="4" t="s">
        <v>209</v>
      </c>
      <c r="E68" s="5">
        <v>47</v>
      </c>
      <c r="F68" s="5">
        <v>33</v>
      </c>
      <c r="G68" s="5">
        <v>22</v>
      </c>
      <c r="H68" s="5">
        <v>17</v>
      </c>
      <c r="I68" s="6">
        <v>0</v>
      </c>
      <c r="J68" s="6">
        <v>0</v>
      </c>
      <c r="K68" s="7">
        <v>0</v>
      </c>
      <c r="L68" s="8">
        <v>0</v>
      </c>
    </row>
    <row r="69" spans="2:12" x14ac:dyDescent="0.25">
      <c r="B69" s="116">
        <v>66</v>
      </c>
      <c r="C69" s="4" t="s">
        <v>272</v>
      </c>
      <c r="D69" s="4" t="s">
        <v>209</v>
      </c>
      <c r="E69" s="5">
        <v>108</v>
      </c>
      <c r="F69" s="5">
        <v>80</v>
      </c>
      <c r="G69" s="5">
        <v>57</v>
      </c>
      <c r="H69" s="5">
        <v>45</v>
      </c>
      <c r="I69" s="6">
        <v>0</v>
      </c>
      <c r="J69" s="6">
        <v>0</v>
      </c>
      <c r="K69" s="7">
        <v>0</v>
      </c>
      <c r="L69" s="8">
        <v>0</v>
      </c>
    </row>
    <row r="70" spans="2:12" x14ac:dyDescent="0.25">
      <c r="B70" s="116">
        <v>67</v>
      </c>
      <c r="C70" s="4" t="s">
        <v>71</v>
      </c>
      <c r="D70" s="4" t="s">
        <v>209</v>
      </c>
      <c r="E70" s="5">
        <v>77</v>
      </c>
      <c r="F70" s="5">
        <v>57</v>
      </c>
      <c r="G70" s="5">
        <v>40</v>
      </c>
      <c r="H70" s="5">
        <v>32</v>
      </c>
      <c r="I70" s="6">
        <v>0</v>
      </c>
      <c r="J70" s="6">
        <v>0</v>
      </c>
      <c r="K70" s="7">
        <v>0</v>
      </c>
      <c r="L70" s="8">
        <v>0</v>
      </c>
    </row>
    <row r="71" spans="2:12" x14ac:dyDescent="0.25">
      <c r="B71" s="116">
        <v>68</v>
      </c>
      <c r="C71" s="4" t="s">
        <v>72</v>
      </c>
      <c r="D71" s="4" t="s">
        <v>209</v>
      </c>
      <c r="E71" s="5">
        <v>47</v>
      </c>
      <c r="F71" s="5">
        <v>33</v>
      </c>
      <c r="G71" s="5">
        <v>22</v>
      </c>
      <c r="H71" s="5">
        <v>17</v>
      </c>
      <c r="I71" s="6">
        <v>0</v>
      </c>
      <c r="J71" s="6">
        <v>0</v>
      </c>
      <c r="K71" s="7">
        <v>0</v>
      </c>
      <c r="L71" s="8">
        <v>0</v>
      </c>
    </row>
    <row r="72" spans="2:12" x14ac:dyDescent="0.25">
      <c r="B72" s="116">
        <v>69</v>
      </c>
      <c r="C72" s="4" t="s">
        <v>273</v>
      </c>
      <c r="D72" s="4" t="s">
        <v>209</v>
      </c>
      <c r="E72" s="5">
        <v>77</v>
      </c>
      <c r="F72" s="5">
        <v>57</v>
      </c>
      <c r="G72" s="5">
        <v>40</v>
      </c>
      <c r="H72" s="5">
        <v>32</v>
      </c>
      <c r="I72" s="6">
        <v>0</v>
      </c>
      <c r="J72" s="6">
        <v>0</v>
      </c>
      <c r="K72" s="7">
        <v>0</v>
      </c>
      <c r="L72" s="8">
        <v>0</v>
      </c>
    </row>
    <row r="73" spans="2:12" x14ac:dyDescent="0.25">
      <c r="B73" s="116">
        <v>70</v>
      </c>
      <c r="C73" s="4" t="s">
        <v>274</v>
      </c>
      <c r="D73" s="4" t="s">
        <v>209</v>
      </c>
      <c r="E73" s="5">
        <v>108</v>
      </c>
      <c r="F73" s="5">
        <v>80</v>
      </c>
      <c r="G73" s="5">
        <v>57</v>
      </c>
      <c r="H73" s="5">
        <v>45</v>
      </c>
      <c r="I73" s="6">
        <v>0</v>
      </c>
      <c r="J73" s="6">
        <v>0</v>
      </c>
      <c r="K73" s="7">
        <v>0</v>
      </c>
      <c r="L73" s="8">
        <v>0</v>
      </c>
    </row>
    <row r="74" spans="2:12" x14ac:dyDescent="0.25">
      <c r="B74" s="116">
        <v>71</v>
      </c>
      <c r="C74" s="4" t="s">
        <v>275</v>
      </c>
      <c r="D74" s="4" t="s">
        <v>209</v>
      </c>
      <c r="E74" s="5">
        <v>77</v>
      </c>
      <c r="F74" s="5">
        <v>57</v>
      </c>
      <c r="G74" s="5">
        <v>40</v>
      </c>
      <c r="H74" s="5">
        <v>32</v>
      </c>
      <c r="I74" s="6">
        <v>0</v>
      </c>
      <c r="J74" s="6">
        <v>0</v>
      </c>
      <c r="K74" s="7">
        <v>0</v>
      </c>
      <c r="L74" s="8">
        <v>0</v>
      </c>
    </row>
    <row r="75" spans="2:12" x14ac:dyDescent="0.25">
      <c r="B75" s="116">
        <v>72</v>
      </c>
      <c r="C75" s="4" t="s">
        <v>374</v>
      </c>
      <c r="D75" s="4" t="s">
        <v>209</v>
      </c>
      <c r="E75" s="5">
        <v>47</v>
      </c>
      <c r="F75" s="5">
        <v>33</v>
      </c>
      <c r="G75" s="5">
        <v>22</v>
      </c>
      <c r="H75" s="5">
        <v>17</v>
      </c>
      <c r="I75" s="6">
        <v>0</v>
      </c>
      <c r="J75" s="6">
        <v>0</v>
      </c>
      <c r="K75" s="7">
        <v>0</v>
      </c>
      <c r="L75" s="8">
        <v>0</v>
      </c>
    </row>
    <row r="76" spans="2:12" x14ac:dyDescent="0.25">
      <c r="B76" s="116">
        <v>73</v>
      </c>
      <c r="C76" s="4" t="s">
        <v>73</v>
      </c>
      <c r="D76" s="4" t="s">
        <v>209</v>
      </c>
      <c r="E76" s="5">
        <v>77</v>
      </c>
      <c r="F76" s="5">
        <v>57</v>
      </c>
      <c r="G76" s="5">
        <v>40</v>
      </c>
      <c r="H76" s="5">
        <v>32</v>
      </c>
      <c r="I76" s="6">
        <v>0</v>
      </c>
      <c r="J76" s="6">
        <v>0</v>
      </c>
      <c r="K76" s="7">
        <v>0</v>
      </c>
      <c r="L76" s="8">
        <v>0</v>
      </c>
    </row>
    <row r="77" spans="2:12" x14ac:dyDescent="0.25">
      <c r="B77" s="116">
        <v>74</v>
      </c>
      <c r="C77" s="4" t="s">
        <v>74</v>
      </c>
      <c r="D77" s="4" t="s">
        <v>209</v>
      </c>
      <c r="E77" s="5">
        <v>47</v>
      </c>
      <c r="F77" s="5">
        <v>33</v>
      </c>
      <c r="G77" s="5">
        <v>22</v>
      </c>
      <c r="H77" s="5">
        <v>17</v>
      </c>
      <c r="I77" s="6">
        <v>750</v>
      </c>
      <c r="J77" s="6">
        <v>650</v>
      </c>
      <c r="K77" s="7">
        <v>100</v>
      </c>
      <c r="L77" s="8">
        <v>160</v>
      </c>
    </row>
    <row r="78" spans="2:12" x14ac:dyDescent="0.25">
      <c r="B78" s="116">
        <v>75</v>
      </c>
      <c r="C78" s="4" t="s">
        <v>352</v>
      </c>
      <c r="D78" s="4" t="s">
        <v>209</v>
      </c>
      <c r="E78" s="5">
        <v>77</v>
      </c>
      <c r="F78" s="5">
        <v>57</v>
      </c>
      <c r="G78" s="5">
        <v>40</v>
      </c>
      <c r="H78" s="5">
        <v>32</v>
      </c>
      <c r="I78" s="6">
        <v>0</v>
      </c>
      <c r="J78" s="6">
        <v>0</v>
      </c>
      <c r="K78" s="7">
        <v>0</v>
      </c>
      <c r="L78" s="8">
        <v>0</v>
      </c>
    </row>
    <row r="79" spans="2:12" x14ac:dyDescent="0.25">
      <c r="B79" s="116">
        <v>76</v>
      </c>
      <c r="C79" s="4" t="s">
        <v>276</v>
      </c>
      <c r="D79" s="4" t="s">
        <v>209</v>
      </c>
      <c r="E79" s="5">
        <v>47</v>
      </c>
      <c r="F79" s="5">
        <v>33</v>
      </c>
      <c r="G79" s="5">
        <v>22</v>
      </c>
      <c r="H79" s="5">
        <v>17</v>
      </c>
      <c r="I79" s="6">
        <v>0</v>
      </c>
      <c r="J79" s="6">
        <v>0</v>
      </c>
      <c r="K79" s="7">
        <v>0</v>
      </c>
      <c r="L79" s="8">
        <v>0</v>
      </c>
    </row>
    <row r="80" spans="2:12" x14ac:dyDescent="0.25">
      <c r="B80" s="116">
        <v>77</v>
      </c>
      <c r="C80" s="4" t="s">
        <v>277</v>
      </c>
      <c r="D80" s="4" t="s">
        <v>209</v>
      </c>
      <c r="E80" s="5">
        <v>47</v>
      </c>
      <c r="F80" s="5">
        <v>33</v>
      </c>
      <c r="G80" s="5">
        <v>22</v>
      </c>
      <c r="H80" s="5">
        <v>17</v>
      </c>
      <c r="I80" s="6">
        <v>0</v>
      </c>
      <c r="J80" s="6">
        <v>0</v>
      </c>
      <c r="K80" s="7">
        <v>0</v>
      </c>
      <c r="L80" s="8">
        <v>0</v>
      </c>
    </row>
    <row r="81" spans="2:12" x14ac:dyDescent="0.25">
      <c r="B81" s="116">
        <v>78</v>
      </c>
      <c r="C81" s="4" t="s">
        <v>278</v>
      </c>
      <c r="D81" s="4" t="s">
        <v>209</v>
      </c>
      <c r="E81" s="5">
        <v>47</v>
      </c>
      <c r="F81" s="5">
        <v>33</v>
      </c>
      <c r="G81" s="5">
        <v>22</v>
      </c>
      <c r="H81" s="5">
        <v>17</v>
      </c>
      <c r="I81" s="6">
        <v>0</v>
      </c>
      <c r="J81" s="6">
        <v>0</v>
      </c>
      <c r="K81" s="7">
        <v>0</v>
      </c>
      <c r="L81" s="8">
        <v>0</v>
      </c>
    </row>
    <row r="82" spans="2:12" x14ac:dyDescent="0.25">
      <c r="B82" s="116">
        <v>79</v>
      </c>
      <c r="C82" s="4" t="s">
        <v>373</v>
      </c>
      <c r="D82" s="4" t="s">
        <v>209</v>
      </c>
      <c r="E82" s="5">
        <v>47</v>
      </c>
      <c r="F82" s="5">
        <v>33</v>
      </c>
      <c r="G82" s="5">
        <v>22</v>
      </c>
      <c r="H82" s="5">
        <v>17</v>
      </c>
      <c r="I82" s="6">
        <v>0</v>
      </c>
      <c r="J82" s="6">
        <v>0</v>
      </c>
      <c r="K82" s="7">
        <v>0</v>
      </c>
      <c r="L82" s="8">
        <v>0</v>
      </c>
    </row>
    <row r="83" spans="2:12" x14ac:dyDescent="0.25">
      <c r="B83" s="116">
        <v>80</v>
      </c>
      <c r="C83" s="4" t="s">
        <v>279</v>
      </c>
      <c r="D83" s="4" t="s">
        <v>209</v>
      </c>
      <c r="E83" s="5">
        <v>108</v>
      </c>
      <c r="F83" s="5">
        <v>80</v>
      </c>
      <c r="G83" s="5">
        <v>57</v>
      </c>
      <c r="H83" s="5">
        <v>45</v>
      </c>
      <c r="I83" s="6">
        <v>0</v>
      </c>
      <c r="J83" s="6">
        <v>0</v>
      </c>
      <c r="K83" s="7">
        <v>0</v>
      </c>
      <c r="L83" s="8">
        <v>0</v>
      </c>
    </row>
    <row r="84" spans="2:12" x14ac:dyDescent="0.25">
      <c r="B84" s="116">
        <v>81</v>
      </c>
      <c r="C84" s="4" t="s">
        <v>280</v>
      </c>
      <c r="D84" s="4" t="s">
        <v>209</v>
      </c>
      <c r="E84" s="5">
        <v>47</v>
      </c>
      <c r="F84" s="5">
        <v>33</v>
      </c>
      <c r="G84" s="5">
        <v>22</v>
      </c>
      <c r="H84" s="5">
        <v>17</v>
      </c>
      <c r="I84" s="6">
        <v>0</v>
      </c>
      <c r="J84" s="6">
        <v>0</v>
      </c>
      <c r="K84" s="7">
        <v>0</v>
      </c>
      <c r="L84" s="8">
        <v>0</v>
      </c>
    </row>
    <row r="85" spans="2:12" x14ac:dyDescent="0.25">
      <c r="B85" s="116">
        <v>82</v>
      </c>
      <c r="C85" s="4" t="s">
        <v>75</v>
      </c>
      <c r="D85" s="4" t="s">
        <v>209</v>
      </c>
      <c r="E85" s="5">
        <v>77</v>
      </c>
      <c r="F85" s="5">
        <v>57</v>
      </c>
      <c r="G85" s="5">
        <v>40</v>
      </c>
      <c r="H85" s="5">
        <v>32</v>
      </c>
      <c r="I85" s="6">
        <v>750</v>
      </c>
      <c r="J85" s="6">
        <v>650</v>
      </c>
      <c r="K85" s="7">
        <v>100</v>
      </c>
      <c r="L85" s="8">
        <v>160</v>
      </c>
    </row>
    <row r="86" spans="2:12" x14ac:dyDescent="0.25">
      <c r="B86" s="116">
        <v>83</v>
      </c>
      <c r="C86" s="4" t="s">
        <v>281</v>
      </c>
      <c r="D86" s="4" t="s">
        <v>209</v>
      </c>
      <c r="E86" s="5">
        <v>47</v>
      </c>
      <c r="F86" s="5">
        <v>33</v>
      </c>
      <c r="G86" s="5">
        <v>22</v>
      </c>
      <c r="H86" s="5">
        <v>17</v>
      </c>
      <c r="I86" s="6">
        <v>0</v>
      </c>
      <c r="J86" s="6">
        <v>0</v>
      </c>
      <c r="K86" s="7">
        <v>0</v>
      </c>
      <c r="L86" s="8">
        <v>0</v>
      </c>
    </row>
    <row r="87" spans="2:12" x14ac:dyDescent="0.25">
      <c r="B87" s="116">
        <v>84</v>
      </c>
      <c r="C87" s="4" t="s">
        <v>282</v>
      </c>
      <c r="D87" s="4" t="s">
        <v>209</v>
      </c>
      <c r="E87" s="5">
        <v>108</v>
      </c>
      <c r="F87" s="5">
        <v>80</v>
      </c>
      <c r="G87" s="5">
        <v>57</v>
      </c>
      <c r="H87" s="5">
        <v>45</v>
      </c>
      <c r="I87" s="6">
        <v>0</v>
      </c>
      <c r="J87" s="6">
        <v>0</v>
      </c>
      <c r="K87" s="7">
        <v>0</v>
      </c>
      <c r="L87" s="8">
        <v>0</v>
      </c>
    </row>
    <row r="88" spans="2:12" x14ac:dyDescent="0.25">
      <c r="B88" s="116">
        <v>85</v>
      </c>
      <c r="C88" s="4" t="s">
        <v>76</v>
      </c>
      <c r="D88" s="4" t="s">
        <v>209</v>
      </c>
      <c r="E88" s="5">
        <v>77</v>
      </c>
      <c r="F88" s="5">
        <v>57</v>
      </c>
      <c r="G88" s="5">
        <v>40</v>
      </c>
      <c r="H88" s="5">
        <v>32</v>
      </c>
      <c r="I88" s="6">
        <v>0</v>
      </c>
      <c r="J88" s="6">
        <v>0</v>
      </c>
      <c r="K88" s="7">
        <v>0</v>
      </c>
      <c r="L88" s="8">
        <v>0</v>
      </c>
    </row>
    <row r="89" spans="2:12" x14ac:dyDescent="0.25">
      <c r="B89" s="116">
        <v>86</v>
      </c>
      <c r="C89" s="4" t="s">
        <v>283</v>
      </c>
      <c r="D89" s="4" t="s">
        <v>209</v>
      </c>
      <c r="E89" s="5">
        <v>47</v>
      </c>
      <c r="F89" s="5">
        <v>33</v>
      </c>
      <c r="G89" s="5">
        <v>22</v>
      </c>
      <c r="H89" s="5">
        <v>17</v>
      </c>
      <c r="I89" s="6">
        <v>0</v>
      </c>
      <c r="J89" s="6">
        <v>0</v>
      </c>
      <c r="K89" s="7">
        <v>0</v>
      </c>
      <c r="L89" s="8">
        <v>0</v>
      </c>
    </row>
    <row r="90" spans="2:12" x14ac:dyDescent="0.25">
      <c r="B90" s="116">
        <v>87</v>
      </c>
      <c r="C90" s="4" t="s">
        <v>284</v>
      </c>
      <c r="D90" s="4" t="s">
        <v>209</v>
      </c>
      <c r="E90" s="5">
        <v>77</v>
      </c>
      <c r="F90" s="5">
        <v>57</v>
      </c>
      <c r="G90" s="5">
        <v>40</v>
      </c>
      <c r="H90" s="5">
        <v>32</v>
      </c>
      <c r="I90" s="6">
        <v>0</v>
      </c>
      <c r="J90" s="6">
        <v>0</v>
      </c>
      <c r="K90" s="7">
        <v>0</v>
      </c>
      <c r="L90" s="8">
        <v>0</v>
      </c>
    </row>
    <row r="91" spans="2:12" x14ac:dyDescent="0.25">
      <c r="B91" s="116">
        <v>88</v>
      </c>
      <c r="C91" s="4" t="s">
        <v>285</v>
      </c>
      <c r="D91" s="4" t="s">
        <v>209</v>
      </c>
      <c r="E91" s="5">
        <v>47</v>
      </c>
      <c r="F91" s="5">
        <v>33</v>
      </c>
      <c r="G91" s="5">
        <v>22</v>
      </c>
      <c r="H91" s="5">
        <v>17</v>
      </c>
      <c r="I91" s="6">
        <v>0</v>
      </c>
      <c r="J91" s="6">
        <v>0</v>
      </c>
      <c r="K91" s="7">
        <v>0</v>
      </c>
      <c r="L91" s="8">
        <v>0</v>
      </c>
    </row>
    <row r="92" spans="2:12" x14ac:dyDescent="0.25">
      <c r="B92" s="116">
        <v>89</v>
      </c>
      <c r="C92" s="4" t="s">
        <v>286</v>
      </c>
      <c r="D92" s="4" t="s">
        <v>209</v>
      </c>
      <c r="E92" s="5">
        <v>77</v>
      </c>
      <c r="F92" s="5">
        <v>57</v>
      </c>
      <c r="G92" s="5">
        <v>40</v>
      </c>
      <c r="H92" s="5">
        <v>32</v>
      </c>
      <c r="I92" s="6">
        <v>0</v>
      </c>
      <c r="J92" s="6">
        <v>0</v>
      </c>
      <c r="K92" s="7">
        <v>0</v>
      </c>
      <c r="L92" s="8">
        <v>0</v>
      </c>
    </row>
    <row r="93" spans="2:12" x14ac:dyDescent="0.25">
      <c r="B93" s="116">
        <v>90</v>
      </c>
      <c r="C93" s="4" t="s">
        <v>77</v>
      </c>
      <c r="D93" s="4" t="s">
        <v>209</v>
      </c>
      <c r="E93" s="5">
        <v>47</v>
      </c>
      <c r="F93" s="5">
        <v>33</v>
      </c>
      <c r="G93" s="5">
        <v>22</v>
      </c>
      <c r="H93" s="5">
        <v>17</v>
      </c>
      <c r="I93" s="6">
        <v>0</v>
      </c>
      <c r="J93" s="6">
        <v>0</v>
      </c>
      <c r="K93" s="7">
        <v>0</v>
      </c>
      <c r="L93" s="8">
        <v>0</v>
      </c>
    </row>
    <row r="94" spans="2:12" x14ac:dyDescent="0.25">
      <c r="B94" s="116">
        <v>91</v>
      </c>
      <c r="C94" s="4" t="s">
        <v>78</v>
      </c>
      <c r="D94" s="4" t="s">
        <v>209</v>
      </c>
      <c r="E94" s="5">
        <v>47</v>
      </c>
      <c r="F94" s="5">
        <v>33</v>
      </c>
      <c r="G94" s="5">
        <v>22</v>
      </c>
      <c r="H94" s="5">
        <v>17</v>
      </c>
      <c r="I94" s="6">
        <v>0</v>
      </c>
      <c r="J94" s="6">
        <v>0</v>
      </c>
      <c r="K94" s="7">
        <v>0</v>
      </c>
      <c r="L94" s="8">
        <v>0</v>
      </c>
    </row>
    <row r="95" spans="2:12" x14ac:dyDescent="0.25">
      <c r="B95" s="116">
        <v>92</v>
      </c>
      <c r="C95" s="4" t="s">
        <v>79</v>
      </c>
      <c r="D95" s="4" t="s">
        <v>209</v>
      </c>
      <c r="E95" s="5">
        <v>47</v>
      </c>
      <c r="F95" s="5">
        <v>33</v>
      </c>
      <c r="G95" s="5">
        <v>22</v>
      </c>
      <c r="H95" s="5">
        <v>17</v>
      </c>
      <c r="I95" s="6">
        <v>0</v>
      </c>
      <c r="J95" s="6">
        <v>0</v>
      </c>
      <c r="K95" s="7">
        <v>0</v>
      </c>
      <c r="L95" s="8">
        <v>0</v>
      </c>
    </row>
    <row r="96" spans="2:12" x14ac:dyDescent="0.25">
      <c r="B96" s="116">
        <v>93</v>
      </c>
      <c r="C96" s="4" t="s">
        <v>80</v>
      </c>
      <c r="D96" s="4" t="s">
        <v>209</v>
      </c>
      <c r="E96" s="5">
        <v>77</v>
      </c>
      <c r="F96" s="5">
        <v>57</v>
      </c>
      <c r="G96" s="5">
        <v>40</v>
      </c>
      <c r="H96" s="5">
        <v>32</v>
      </c>
      <c r="I96" s="6">
        <v>0</v>
      </c>
      <c r="J96" s="6">
        <v>0</v>
      </c>
      <c r="K96" s="7">
        <v>0</v>
      </c>
      <c r="L96" s="8">
        <v>0</v>
      </c>
    </row>
    <row r="97" spans="2:12" x14ac:dyDescent="0.25">
      <c r="B97" s="116">
        <v>94</v>
      </c>
      <c r="C97" s="4" t="s">
        <v>81</v>
      </c>
      <c r="D97" s="4" t="s">
        <v>209</v>
      </c>
      <c r="E97" s="5">
        <v>77</v>
      </c>
      <c r="F97" s="5">
        <v>57</v>
      </c>
      <c r="G97" s="5">
        <v>40</v>
      </c>
      <c r="H97" s="5">
        <v>32</v>
      </c>
      <c r="I97" s="6">
        <v>0</v>
      </c>
      <c r="J97" s="6">
        <v>0</v>
      </c>
      <c r="K97" s="7">
        <v>0</v>
      </c>
      <c r="L97" s="8">
        <v>0</v>
      </c>
    </row>
    <row r="98" spans="2:12" x14ac:dyDescent="0.25">
      <c r="B98" s="116">
        <v>95</v>
      </c>
      <c r="C98" s="4" t="s">
        <v>55</v>
      </c>
      <c r="D98" s="4" t="s">
        <v>209</v>
      </c>
      <c r="E98" s="5">
        <v>166</v>
      </c>
      <c r="F98" s="5">
        <v>132</v>
      </c>
      <c r="G98" s="5">
        <v>102</v>
      </c>
      <c r="H98" s="5">
        <v>92</v>
      </c>
      <c r="I98" s="6">
        <v>750</v>
      </c>
      <c r="J98" s="6">
        <v>650</v>
      </c>
      <c r="K98" s="7">
        <v>100</v>
      </c>
      <c r="L98" s="8">
        <v>160</v>
      </c>
    </row>
    <row r="99" spans="2:12" x14ac:dyDescent="0.25">
      <c r="B99" s="116">
        <v>96</v>
      </c>
      <c r="C99" s="4" t="s">
        <v>287</v>
      </c>
      <c r="D99" s="4" t="s">
        <v>209</v>
      </c>
      <c r="E99" s="5">
        <v>108</v>
      </c>
      <c r="F99" s="5">
        <v>80</v>
      </c>
      <c r="G99" s="5">
        <v>57</v>
      </c>
      <c r="H99" s="5">
        <v>45</v>
      </c>
      <c r="I99" s="6">
        <v>0</v>
      </c>
      <c r="J99" s="6">
        <v>0</v>
      </c>
      <c r="K99" s="7">
        <v>0</v>
      </c>
      <c r="L99" s="8">
        <v>0</v>
      </c>
    </row>
    <row r="100" spans="2:12" x14ac:dyDescent="0.25">
      <c r="B100" s="116">
        <v>97</v>
      </c>
      <c r="C100" s="4" t="s">
        <v>288</v>
      </c>
      <c r="D100" s="4" t="s">
        <v>209</v>
      </c>
      <c r="E100" s="5">
        <v>77</v>
      </c>
      <c r="F100" s="5">
        <v>57</v>
      </c>
      <c r="G100" s="5">
        <v>40</v>
      </c>
      <c r="H100" s="5">
        <v>32</v>
      </c>
      <c r="I100" s="6">
        <v>0</v>
      </c>
      <c r="J100" s="6">
        <v>0</v>
      </c>
      <c r="K100" s="7">
        <v>0</v>
      </c>
      <c r="L100" s="8">
        <v>0</v>
      </c>
    </row>
    <row r="101" spans="2:12" x14ac:dyDescent="0.25">
      <c r="B101" s="116">
        <v>98</v>
      </c>
      <c r="C101" s="4" t="s">
        <v>82</v>
      </c>
      <c r="D101" s="4" t="s">
        <v>209</v>
      </c>
      <c r="E101" s="5">
        <v>77</v>
      </c>
      <c r="F101" s="5">
        <v>57</v>
      </c>
      <c r="G101" s="5">
        <v>40</v>
      </c>
      <c r="H101" s="5">
        <v>32</v>
      </c>
      <c r="I101" s="6">
        <v>750</v>
      </c>
      <c r="J101" s="6">
        <v>650</v>
      </c>
      <c r="K101" s="7">
        <v>100</v>
      </c>
      <c r="L101" s="8">
        <v>160</v>
      </c>
    </row>
    <row r="102" spans="2:12" x14ac:dyDescent="0.25">
      <c r="B102" s="116">
        <v>99</v>
      </c>
      <c r="C102" s="4" t="s">
        <v>377</v>
      </c>
      <c r="D102" s="4" t="s">
        <v>209</v>
      </c>
      <c r="E102" s="5">
        <v>77</v>
      </c>
      <c r="F102" s="5">
        <v>57</v>
      </c>
      <c r="G102" s="5">
        <v>40</v>
      </c>
      <c r="H102" s="5">
        <v>32</v>
      </c>
      <c r="I102" s="6">
        <v>0</v>
      </c>
      <c r="J102" s="6">
        <v>0</v>
      </c>
      <c r="K102" s="7">
        <v>0</v>
      </c>
      <c r="L102" s="8">
        <v>0</v>
      </c>
    </row>
    <row r="103" spans="2:12" x14ac:dyDescent="0.25">
      <c r="B103" s="116">
        <v>100</v>
      </c>
      <c r="C103" s="4" t="s">
        <v>289</v>
      </c>
      <c r="D103" s="4" t="s">
        <v>209</v>
      </c>
      <c r="E103" s="5">
        <v>77</v>
      </c>
      <c r="F103" s="5">
        <v>57</v>
      </c>
      <c r="G103" s="5">
        <v>40</v>
      </c>
      <c r="H103" s="5">
        <v>32</v>
      </c>
      <c r="I103" s="6">
        <v>0</v>
      </c>
      <c r="J103" s="6">
        <v>0</v>
      </c>
      <c r="K103" s="7">
        <v>0</v>
      </c>
      <c r="L103" s="8">
        <v>0</v>
      </c>
    </row>
    <row r="104" spans="2:12" x14ac:dyDescent="0.25">
      <c r="B104" s="116">
        <v>101</v>
      </c>
      <c r="C104" s="4" t="s">
        <v>290</v>
      </c>
      <c r="D104" s="4" t="s">
        <v>209</v>
      </c>
      <c r="E104" s="5">
        <v>47</v>
      </c>
      <c r="F104" s="5">
        <v>33</v>
      </c>
      <c r="G104" s="5">
        <v>22</v>
      </c>
      <c r="H104" s="5">
        <v>17</v>
      </c>
      <c r="I104" s="6">
        <v>0</v>
      </c>
      <c r="J104" s="6">
        <v>0</v>
      </c>
      <c r="K104" s="7">
        <v>0</v>
      </c>
      <c r="L104" s="8">
        <v>0</v>
      </c>
    </row>
    <row r="105" spans="2:12" x14ac:dyDescent="0.25">
      <c r="B105" s="116">
        <v>102</v>
      </c>
      <c r="C105" s="4" t="s">
        <v>174</v>
      </c>
      <c r="D105" s="4" t="s">
        <v>209</v>
      </c>
      <c r="E105" s="5">
        <v>108</v>
      </c>
      <c r="F105" s="5">
        <v>80</v>
      </c>
      <c r="G105" s="5">
        <v>57</v>
      </c>
      <c r="H105" s="5">
        <v>45</v>
      </c>
      <c r="I105" s="6">
        <v>750</v>
      </c>
      <c r="J105" s="6">
        <v>650</v>
      </c>
      <c r="K105" s="7">
        <v>100</v>
      </c>
      <c r="L105" s="8">
        <v>160</v>
      </c>
    </row>
    <row r="106" spans="2:12" x14ac:dyDescent="0.25">
      <c r="B106" s="116">
        <v>103</v>
      </c>
      <c r="C106" s="4" t="s">
        <v>83</v>
      </c>
      <c r="D106" s="4" t="s">
        <v>209</v>
      </c>
      <c r="E106" s="5">
        <v>47</v>
      </c>
      <c r="F106" s="5">
        <v>33</v>
      </c>
      <c r="G106" s="5">
        <v>22</v>
      </c>
      <c r="H106" s="5">
        <v>17</v>
      </c>
      <c r="I106" s="6">
        <v>0</v>
      </c>
      <c r="J106" s="6">
        <v>0</v>
      </c>
      <c r="K106" s="7">
        <v>0</v>
      </c>
      <c r="L106" s="8">
        <v>0</v>
      </c>
    </row>
    <row r="107" spans="2:12" x14ac:dyDescent="0.25">
      <c r="B107" s="116">
        <v>104</v>
      </c>
      <c r="C107" s="4" t="s">
        <v>84</v>
      </c>
      <c r="D107" s="4" t="s">
        <v>209</v>
      </c>
      <c r="E107" s="5">
        <v>47</v>
      </c>
      <c r="F107" s="5">
        <v>33</v>
      </c>
      <c r="G107" s="5">
        <v>22</v>
      </c>
      <c r="H107" s="5">
        <v>17</v>
      </c>
      <c r="I107" s="6">
        <v>0</v>
      </c>
      <c r="J107" s="6">
        <v>0</v>
      </c>
      <c r="K107" s="7">
        <v>0</v>
      </c>
      <c r="L107" s="8">
        <v>0</v>
      </c>
    </row>
    <row r="108" spans="2:12" x14ac:dyDescent="0.25">
      <c r="B108" s="116">
        <v>105</v>
      </c>
      <c r="C108" s="4" t="s">
        <v>85</v>
      </c>
      <c r="D108" s="4" t="s">
        <v>209</v>
      </c>
      <c r="E108" s="5">
        <v>108</v>
      </c>
      <c r="F108" s="5">
        <v>80</v>
      </c>
      <c r="G108" s="5">
        <v>57</v>
      </c>
      <c r="H108" s="5">
        <v>45</v>
      </c>
      <c r="I108" s="6">
        <v>750</v>
      </c>
      <c r="J108" s="6">
        <v>650</v>
      </c>
      <c r="K108" s="7">
        <v>100</v>
      </c>
      <c r="L108" s="8">
        <v>160</v>
      </c>
    </row>
    <row r="109" spans="2:12" x14ac:dyDescent="0.25">
      <c r="B109" s="116">
        <v>106</v>
      </c>
      <c r="C109" s="4" t="s">
        <v>291</v>
      </c>
      <c r="D109" s="4" t="s">
        <v>209</v>
      </c>
      <c r="E109" s="5">
        <v>47</v>
      </c>
      <c r="F109" s="5">
        <v>33</v>
      </c>
      <c r="G109" s="5">
        <v>22</v>
      </c>
      <c r="H109" s="5">
        <v>17</v>
      </c>
      <c r="I109" s="6">
        <v>0</v>
      </c>
      <c r="J109" s="6">
        <v>0</v>
      </c>
      <c r="K109" s="7">
        <v>0</v>
      </c>
      <c r="L109" s="8">
        <v>0</v>
      </c>
    </row>
    <row r="110" spans="2:12" x14ac:dyDescent="0.25">
      <c r="B110" s="116">
        <v>107</v>
      </c>
      <c r="C110" s="4" t="s">
        <v>292</v>
      </c>
      <c r="D110" s="4" t="s">
        <v>209</v>
      </c>
      <c r="E110" s="5">
        <v>47</v>
      </c>
      <c r="F110" s="5">
        <v>33</v>
      </c>
      <c r="G110" s="5">
        <v>22</v>
      </c>
      <c r="H110" s="5">
        <v>17</v>
      </c>
      <c r="I110" s="6">
        <v>0</v>
      </c>
      <c r="J110" s="6">
        <v>0</v>
      </c>
      <c r="K110" s="7">
        <v>0</v>
      </c>
      <c r="L110" s="8">
        <v>0</v>
      </c>
    </row>
    <row r="111" spans="2:12" x14ac:dyDescent="0.25">
      <c r="B111" s="116">
        <v>108</v>
      </c>
      <c r="C111" s="4" t="s">
        <v>86</v>
      </c>
      <c r="D111" s="4" t="s">
        <v>209</v>
      </c>
      <c r="E111" s="5">
        <v>108</v>
      </c>
      <c r="F111" s="5">
        <v>80</v>
      </c>
      <c r="G111" s="5">
        <v>57</v>
      </c>
      <c r="H111" s="5">
        <v>45</v>
      </c>
      <c r="I111" s="6">
        <v>750</v>
      </c>
      <c r="J111" s="6">
        <v>650</v>
      </c>
      <c r="K111" s="7">
        <v>100</v>
      </c>
      <c r="L111" s="8">
        <v>160</v>
      </c>
    </row>
    <row r="112" spans="2:12" x14ac:dyDescent="0.25">
      <c r="B112" s="116">
        <v>109</v>
      </c>
      <c r="C112" s="4" t="s">
        <v>293</v>
      </c>
      <c r="D112" s="4" t="s">
        <v>209</v>
      </c>
      <c r="E112" s="5">
        <v>47</v>
      </c>
      <c r="F112" s="5">
        <v>33</v>
      </c>
      <c r="G112" s="5">
        <v>22</v>
      </c>
      <c r="H112" s="5">
        <v>17</v>
      </c>
      <c r="I112" s="6">
        <v>0</v>
      </c>
      <c r="J112" s="6">
        <v>0</v>
      </c>
      <c r="K112" s="7">
        <v>0</v>
      </c>
      <c r="L112" s="8">
        <v>0</v>
      </c>
    </row>
    <row r="113" spans="2:12" x14ac:dyDescent="0.25">
      <c r="B113" s="116">
        <v>110</v>
      </c>
      <c r="C113" s="4" t="s">
        <v>294</v>
      </c>
      <c r="D113" s="4" t="s">
        <v>209</v>
      </c>
      <c r="E113" s="5">
        <v>47</v>
      </c>
      <c r="F113" s="5">
        <v>33</v>
      </c>
      <c r="G113" s="5">
        <v>22</v>
      </c>
      <c r="H113" s="5">
        <v>17</v>
      </c>
      <c r="I113" s="6">
        <v>0</v>
      </c>
      <c r="J113" s="6">
        <v>0</v>
      </c>
      <c r="K113" s="7">
        <v>0</v>
      </c>
      <c r="L113" s="8">
        <v>0</v>
      </c>
    </row>
    <row r="114" spans="2:12" x14ac:dyDescent="0.25">
      <c r="B114" s="116">
        <v>111</v>
      </c>
      <c r="C114" s="4" t="s">
        <v>87</v>
      </c>
      <c r="D114" s="4" t="s">
        <v>209</v>
      </c>
      <c r="E114" s="5">
        <v>47</v>
      </c>
      <c r="F114" s="5">
        <v>33</v>
      </c>
      <c r="G114" s="5">
        <v>22</v>
      </c>
      <c r="H114" s="5">
        <v>17</v>
      </c>
      <c r="I114" s="6">
        <v>0</v>
      </c>
      <c r="J114" s="6">
        <v>0</v>
      </c>
      <c r="K114" s="7">
        <v>0</v>
      </c>
      <c r="L114" s="8">
        <v>0</v>
      </c>
    </row>
    <row r="115" spans="2:12" x14ac:dyDescent="0.25">
      <c r="B115" s="116">
        <v>112</v>
      </c>
      <c r="C115" s="4" t="s">
        <v>88</v>
      </c>
      <c r="D115" s="4" t="s">
        <v>209</v>
      </c>
      <c r="E115" s="5">
        <v>47</v>
      </c>
      <c r="F115" s="5">
        <v>33</v>
      </c>
      <c r="G115" s="5">
        <v>22</v>
      </c>
      <c r="H115" s="5">
        <v>17</v>
      </c>
      <c r="I115" s="6">
        <v>0</v>
      </c>
      <c r="J115" s="6">
        <v>0</v>
      </c>
      <c r="K115" s="7">
        <v>0</v>
      </c>
      <c r="L115" s="8">
        <v>0</v>
      </c>
    </row>
    <row r="116" spans="2:12" x14ac:dyDescent="0.25">
      <c r="B116" s="116">
        <v>113</v>
      </c>
      <c r="C116" s="4" t="s">
        <v>295</v>
      </c>
      <c r="D116" s="4" t="s">
        <v>209</v>
      </c>
      <c r="E116" s="5">
        <v>47</v>
      </c>
      <c r="F116" s="5">
        <v>33</v>
      </c>
      <c r="G116" s="5">
        <v>22</v>
      </c>
      <c r="H116" s="5">
        <v>17</v>
      </c>
      <c r="I116" s="6">
        <v>0</v>
      </c>
      <c r="J116" s="6">
        <v>0</v>
      </c>
      <c r="K116" s="7">
        <v>0</v>
      </c>
      <c r="L116" s="8">
        <v>0</v>
      </c>
    </row>
    <row r="117" spans="2:12" x14ac:dyDescent="0.25">
      <c r="B117" s="116">
        <v>114</v>
      </c>
      <c r="C117" s="4" t="s">
        <v>296</v>
      </c>
      <c r="D117" s="4" t="s">
        <v>209</v>
      </c>
      <c r="E117" s="5">
        <v>47</v>
      </c>
      <c r="F117" s="5">
        <v>33</v>
      </c>
      <c r="G117" s="5">
        <v>22</v>
      </c>
      <c r="H117" s="5">
        <v>17</v>
      </c>
      <c r="I117" s="6">
        <v>0</v>
      </c>
      <c r="J117" s="6">
        <v>0</v>
      </c>
      <c r="K117" s="7">
        <v>0</v>
      </c>
      <c r="L117" s="8">
        <v>0</v>
      </c>
    </row>
    <row r="118" spans="2:12" x14ac:dyDescent="0.25">
      <c r="B118" s="116">
        <v>115</v>
      </c>
      <c r="C118" s="4" t="s">
        <v>297</v>
      </c>
      <c r="D118" s="4" t="s">
        <v>209</v>
      </c>
      <c r="E118" s="5">
        <v>47</v>
      </c>
      <c r="F118" s="5">
        <v>33</v>
      </c>
      <c r="G118" s="5">
        <v>22</v>
      </c>
      <c r="H118" s="5">
        <v>17</v>
      </c>
      <c r="I118" s="6">
        <v>0</v>
      </c>
      <c r="J118" s="6">
        <v>0</v>
      </c>
      <c r="K118" s="7">
        <v>0</v>
      </c>
      <c r="L118" s="8">
        <v>0</v>
      </c>
    </row>
    <row r="119" spans="2:12" x14ac:dyDescent="0.25">
      <c r="B119" s="116">
        <v>116</v>
      </c>
      <c r="C119" s="4" t="s">
        <v>298</v>
      </c>
      <c r="D119" s="4" t="s">
        <v>209</v>
      </c>
      <c r="E119" s="5">
        <v>47</v>
      </c>
      <c r="F119" s="5">
        <v>33</v>
      </c>
      <c r="G119" s="5">
        <v>22</v>
      </c>
      <c r="H119" s="5">
        <v>17</v>
      </c>
      <c r="I119" s="6">
        <v>0</v>
      </c>
      <c r="J119" s="6">
        <v>0</v>
      </c>
      <c r="K119" s="7">
        <v>0</v>
      </c>
      <c r="L119" s="8">
        <v>0</v>
      </c>
    </row>
    <row r="120" spans="2:12" x14ac:dyDescent="0.25">
      <c r="B120" s="116">
        <v>117</v>
      </c>
      <c r="C120" s="4" t="s">
        <v>89</v>
      </c>
      <c r="D120" s="4" t="s">
        <v>209</v>
      </c>
      <c r="E120" s="5">
        <v>108</v>
      </c>
      <c r="F120" s="5">
        <v>80</v>
      </c>
      <c r="G120" s="5">
        <v>57</v>
      </c>
      <c r="H120" s="5">
        <v>45</v>
      </c>
      <c r="I120" s="6">
        <v>0</v>
      </c>
      <c r="J120" s="6">
        <v>0</v>
      </c>
      <c r="K120" s="7">
        <v>0</v>
      </c>
      <c r="L120" s="8">
        <v>0</v>
      </c>
    </row>
    <row r="121" spans="2:12" x14ac:dyDescent="0.25">
      <c r="B121" s="116">
        <v>118</v>
      </c>
      <c r="C121" s="4" t="s">
        <v>379</v>
      </c>
      <c r="D121" s="4" t="s">
        <v>209</v>
      </c>
      <c r="E121" s="5">
        <v>77</v>
      </c>
      <c r="F121" s="5">
        <v>57</v>
      </c>
      <c r="G121" s="5">
        <v>40</v>
      </c>
      <c r="H121" s="5">
        <v>32</v>
      </c>
      <c r="I121" s="6">
        <v>0</v>
      </c>
      <c r="J121" s="6">
        <v>0</v>
      </c>
      <c r="K121" s="7">
        <v>0</v>
      </c>
      <c r="L121" s="8">
        <v>0</v>
      </c>
    </row>
    <row r="122" spans="2:12" x14ac:dyDescent="0.25">
      <c r="B122" s="116">
        <v>119</v>
      </c>
      <c r="C122" s="4" t="s">
        <v>90</v>
      </c>
      <c r="D122" s="4" t="s">
        <v>209</v>
      </c>
      <c r="E122" s="5">
        <v>47</v>
      </c>
      <c r="F122" s="5">
        <v>33</v>
      </c>
      <c r="G122" s="5">
        <v>22</v>
      </c>
      <c r="H122" s="5">
        <v>17</v>
      </c>
      <c r="I122" s="6">
        <v>750</v>
      </c>
      <c r="J122" s="6">
        <v>650</v>
      </c>
      <c r="K122" s="7">
        <v>100</v>
      </c>
      <c r="L122" s="8">
        <v>160</v>
      </c>
    </row>
    <row r="123" spans="2:12" x14ac:dyDescent="0.25">
      <c r="B123" s="116">
        <v>120</v>
      </c>
      <c r="C123" s="4" t="s">
        <v>91</v>
      </c>
      <c r="D123" s="4" t="s">
        <v>209</v>
      </c>
      <c r="E123" s="5">
        <v>47</v>
      </c>
      <c r="F123" s="5">
        <v>33</v>
      </c>
      <c r="G123" s="5">
        <v>22</v>
      </c>
      <c r="H123" s="5">
        <v>17</v>
      </c>
      <c r="I123" s="6">
        <v>0</v>
      </c>
      <c r="J123" s="6">
        <v>0</v>
      </c>
      <c r="K123" s="7">
        <v>0</v>
      </c>
      <c r="L123" s="8">
        <v>0</v>
      </c>
    </row>
    <row r="124" spans="2:12" x14ac:dyDescent="0.25">
      <c r="B124" s="116">
        <v>121</v>
      </c>
      <c r="C124" s="4" t="s">
        <v>92</v>
      </c>
      <c r="D124" s="4" t="s">
        <v>209</v>
      </c>
      <c r="E124" s="5">
        <v>108</v>
      </c>
      <c r="F124" s="5">
        <v>80</v>
      </c>
      <c r="G124" s="5">
        <v>57</v>
      </c>
      <c r="H124" s="5">
        <v>45</v>
      </c>
      <c r="I124" s="6">
        <v>750</v>
      </c>
      <c r="J124" s="6">
        <v>650</v>
      </c>
      <c r="K124" s="7">
        <v>100</v>
      </c>
      <c r="L124" s="8">
        <v>160</v>
      </c>
    </row>
    <row r="125" spans="2:12" x14ac:dyDescent="0.25">
      <c r="B125" s="116">
        <v>122</v>
      </c>
      <c r="C125" s="4" t="s">
        <v>93</v>
      </c>
      <c r="D125" s="4" t="s">
        <v>209</v>
      </c>
      <c r="E125" s="5">
        <v>77</v>
      </c>
      <c r="F125" s="5">
        <v>57</v>
      </c>
      <c r="G125" s="5">
        <v>40</v>
      </c>
      <c r="H125" s="5">
        <v>32</v>
      </c>
      <c r="I125" s="6">
        <v>750</v>
      </c>
      <c r="J125" s="6">
        <v>650</v>
      </c>
      <c r="K125" s="7">
        <v>100</v>
      </c>
      <c r="L125" s="8">
        <v>160</v>
      </c>
    </row>
    <row r="126" spans="2:12" x14ac:dyDescent="0.25">
      <c r="B126" s="116">
        <v>123</v>
      </c>
      <c r="C126" s="4" t="s">
        <v>299</v>
      </c>
      <c r="D126" s="4" t="s">
        <v>209</v>
      </c>
      <c r="E126" s="5">
        <v>77</v>
      </c>
      <c r="F126" s="5">
        <v>57</v>
      </c>
      <c r="G126" s="5">
        <v>40</v>
      </c>
      <c r="H126" s="5">
        <v>32</v>
      </c>
      <c r="I126" s="6">
        <v>0</v>
      </c>
      <c r="J126" s="6">
        <v>0</v>
      </c>
      <c r="K126" s="7">
        <v>0</v>
      </c>
      <c r="L126" s="8">
        <v>0</v>
      </c>
    </row>
    <row r="127" spans="2:12" x14ac:dyDescent="0.25">
      <c r="B127" s="116">
        <v>124</v>
      </c>
      <c r="C127" s="4" t="s">
        <v>300</v>
      </c>
      <c r="D127" s="4" t="s">
        <v>209</v>
      </c>
      <c r="E127" s="5">
        <v>47</v>
      </c>
      <c r="F127" s="5">
        <v>33</v>
      </c>
      <c r="G127" s="5">
        <v>22</v>
      </c>
      <c r="H127" s="5">
        <v>17</v>
      </c>
      <c r="I127" s="6">
        <v>0</v>
      </c>
      <c r="J127" s="6">
        <v>0</v>
      </c>
      <c r="K127" s="7">
        <v>0</v>
      </c>
      <c r="L127" s="8">
        <v>0</v>
      </c>
    </row>
    <row r="128" spans="2:12" x14ac:dyDescent="0.25">
      <c r="B128" s="116">
        <v>125</v>
      </c>
      <c r="C128" s="4" t="s">
        <v>301</v>
      </c>
      <c r="D128" s="4" t="s">
        <v>209</v>
      </c>
      <c r="E128" s="5">
        <v>77</v>
      </c>
      <c r="F128" s="5">
        <v>57</v>
      </c>
      <c r="G128" s="5">
        <v>40</v>
      </c>
      <c r="H128" s="5">
        <v>32</v>
      </c>
      <c r="I128" s="6">
        <v>0</v>
      </c>
      <c r="J128" s="6">
        <v>0</v>
      </c>
      <c r="K128" s="7">
        <v>0</v>
      </c>
      <c r="L128" s="8">
        <v>0</v>
      </c>
    </row>
    <row r="129" spans="2:12" x14ac:dyDescent="0.25">
      <c r="B129" s="116">
        <v>126</v>
      </c>
      <c r="C129" s="4" t="s">
        <v>302</v>
      </c>
      <c r="D129" s="4" t="s">
        <v>209</v>
      </c>
      <c r="E129" s="5">
        <v>47</v>
      </c>
      <c r="F129" s="5">
        <v>33</v>
      </c>
      <c r="G129" s="5">
        <v>22</v>
      </c>
      <c r="H129" s="5">
        <v>17</v>
      </c>
      <c r="I129" s="6">
        <v>0</v>
      </c>
      <c r="J129" s="6">
        <v>0</v>
      </c>
      <c r="K129" s="7">
        <v>0</v>
      </c>
      <c r="L129" s="8">
        <v>0</v>
      </c>
    </row>
    <row r="130" spans="2:12" x14ac:dyDescent="0.25">
      <c r="B130" s="116">
        <v>127</v>
      </c>
      <c r="C130" s="4" t="s">
        <v>94</v>
      </c>
      <c r="D130" s="4" t="s">
        <v>209</v>
      </c>
      <c r="E130" s="5">
        <v>47</v>
      </c>
      <c r="F130" s="5">
        <v>33</v>
      </c>
      <c r="G130" s="5">
        <v>22</v>
      </c>
      <c r="H130" s="5">
        <v>17</v>
      </c>
      <c r="I130" s="6">
        <v>0</v>
      </c>
      <c r="J130" s="6">
        <v>0</v>
      </c>
      <c r="K130" s="7">
        <v>0</v>
      </c>
      <c r="L130" s="8">
        <v>0</v>
      </c>
    </row>
    <row r="131" spans="2:12" x14ac:dyDescent="0.25">
      <c r="B131" s="116">
        <v>128</v>
      </c>
      <c r="C131" s="4" t="s">
        <v>95</v>
      </c>
      <c r="D131" s="4" t="s">
        <v>209</v>
      </c>
      <c r="E131" s="5">
        <v>47</v>
      </c>
      <c r="F131" s="5">
        <v>33</v>
      </c>
      <c r="G131" s="5">
        <v>22</v>
      </c>
      <c r="H131" s="5">
        <v>17</v>
      </c>
      <c r="I131" s="6">
        <v>0</v>
      </c>
      <c r="J131" s="6">
        <v>0</v>
      </c>
      <c r="K131" s="7">
        <v>0</v>
      </c>
      <c r="L131" s="8">
        <v>0</v>
      </c>
    </row>
    <row r="132" spans="2:12" x14ac:dyDescent="0.25">
      <c r="B132" s="116">
        <v>129</v>
      </c>
      <c r="C132" s="4" t="s">
        <v>303</v>
      </c>
      <c r="D132" s="4" t="s">
        <v>209</v>
      </c>
      <c r="E132" s="5">
        <v>47</v>
      </c>
      <c r="F132" s="5">
        <v>33</v>
      </c>
      <c r="G132" s="5">
        <v>22</v>
      </c>
      <c r="H132" s="5">
        <v>17</v>
      </c>
      <c r="I132" s="6">
        <v>0</v>
      </c>
      <c r="J132" s="6">
        <v>0</v>
      </c>
      <c r="K132" s="7">
        <v>0</v>
      </c>
      <c r="L132" s="8">
        <v>0</v>
      </c>
    </row>
    <row r="133" spans="2:12" x14ac:dyDescent="0.25">
      <c r="B133" s="116">
        <v>130</v>
      </c>
      <c r="C133" s="4" t="s">
        <v>304</v>
      </c>
      <c r="D133" s="4" t="s">
        <v>209</v>
      </c>
      <c r="E133" s="5">
        <v>108</v>
      </c>
      <c r="F133" s="5">
        <v>80</v>
      </c>
      <c r="G133" s="5">
        <v>57</v>
      </c>
      <c r="H133" s="5">
        <v>45</v>
      </c>
      <c r="I133" s="6">
        <v>0</v>
      </c>
      <c r="J133" s="6">
        <v>0</v>
      </c>
      <c r="K133" s="7">
        <v>0</v>
      </c>
      <c r="L133" s="8">
        <v>0</v>
      </c>
    </row>
    <row r="134" spans="2:12" x14ac:dyDescent="0.25">
      <c r="B134" s="116">
        <v>131</v>
      </c>
      <c r="C134" s="4" t="s">
        <v>305</v>
      </c>
      <c r="D134" s="4" t="s">
        <v>209</v>
      </c>
      <c r="E134" s="5">
        <v>47</v>
      </c>
      <c r="F134" s="5">
        <v>33</v>
      </c>
      <c r="G134" s="5">
        <v>22</v>
      </c>
      <c r="H134" s="5">
        <v>17</v>
      </c>
      <c r="I134" s="6">
        <v>0</v>
      </c>
      <c r="J134" s="6">
        <v>0</v>
      </c>
      <c r="K134" s="7">
        <v>0</v>
      </c>
      <c r="L134" s="8">
        <v>0</v>
      </c>
    </row>
    <row r="135" spans="2:12" x14ac:dyDescent="0.25">
      <c r="B135" s="116">
        <v>132</v>
      </c>
      <c r="C135" s="4" t="s">
        <v>96</v>
      </c>
      <c r="D135" s="4" t="s">
        <v>209</v>
      </c>
      <c r="E135" s="5">
        <v>47</v>
      </c>
      <c r="F135" s="5">
        <v>33</v>
      </c>
      <c r="G135" s="5">
        <v>22</v>
      </c>
      <c r="H135" s="5">
        <v>17</v>
      </c>
      <c r="I135" s="6">
        <v>0</v>
      </c>
      <c r="J135" s="6">
        <v>0</v>
      </c>
      <c r="K135" s="7">
        <v>0</v>
      </c>
      <c r="L135" s="8">
        <v>0</v>
      </c>
    </row>
    <row r="136" spans="2:12" x14ac:dyDescent="0.25">
      <c r="B136" s="116">
        <v>133</v>
      </c>
      <c r="C136" s="4" t="s">
        <v>306</v>
      </c>
      <c r="D136" s="4" t="s">
        <v>209</v>
      </c>
      <c r="E136" s="5">
        <v>47</v>
      </c>
      <c r="F136" s="5">
        <v>33</v>
      </c>
      <c r="G136" s="5">
        <v>22</v>
      </c>
      <c r="H136" s="5">
        <v>17</v>
      </c>
      <c r="I136" s="6">
        <v>0</v>
      </c>
      <c r="J136" s="6">
        <v>0</v>
      </c>
      <c r="K136" s="7">
        <v>0</v>
      </c>
      <c r="L136" s="8">
        <v>0</v>
      </c>
    </row>
    <row r="137" spans="2:12" x14ac:dyDescent="0.25">
      <c r="B137" s="116">
        <v>134</v>
      </c>
      <c r="C137" s="4" t="s">
        <v>173</v>
      </c>
      <c r="D137" s="4" t="s">
        <v>209</v>
      </c>
      <c r="E137" s="5">
        <v>77</v>
      </c>
      <c r="F137" s="5">
        <v>57</v>
      </c>
      <c r="G137" s="5">
        <v>40</v>
      </c>
      <c r="H137" s="5">
        <v>32</v>
      </c>
      <c r="I137" s="6">
        <v>750</v>
      </c>
      <c r="J137" s="6">
        <v>650</v>
      </c>
      <c r="K137" s="7">
        <v>100</v>
      </c>
      <c r="L137" s="8">
        <v>160</v>
      </c>
    </row>
    <row r="138" spans="2:12" x14ac:dyDescent="0.25">
      <c r="B138" s="116">
        <v>135</v>
      </c>
      <c r="C138" s="4" t="s">
        <v>97</v>
      </c>
      <c r="D138" s="4" t="s">
        <v>209</v>
      </c>
      <c r="E138" s="5">
        <v>77</v>
      </c>
      <c r="F138" s="5">
        <v>57</v>
      </c>
      <c r="G138" s="5">
        <v>40</v>
      </c>
      <c r="H138" s="5">
        <v>32</v>
      </c>
      <c r="I138" s="6">
        <v>0</v>
      </c>
      <c r="J138" s="6">
        <v>0</v>
      </c>
      <c r="K138" s="7">
        <v>0</v>
      </c>
      <c r="L138" s="8">
        <v>0</v>
      </c>
    </row>
    <row r="139" spans="2:12" x14ac:dyDescent="0.25">
      <c r="B139" s="116">
        <v>136</v>
      </c>
      <c r="C139" s="4" t="s">
        <v>307</v>
      </c>
      <c r="D139" s="4" t="s">
        <v>209</v>
      </c>
      <c r="E139" s="5">
        <v>77</v>
      </c>
      <c r="F139" s="5">
        <v>57</v>
      </c>
      <c r="G139" s="5">
        <v>40</v>
      </c>
      <c r="H139" s="5">
        <v>32</v>
      </c>
      <c r="I139" s="6">
        <v>0</v>
      </c>
      <c r="J139" s="6">
        <v>0</v>
      </c>
      <c r="K139" s="7">
        <v>0</v>
      </c>
      <c r="L139" s="8">
        <v>0</v>
      </c>
    </row>
    <row r="140" spans="2:12" x14ac:dyDescent="0.25">
      <c r="B140" s="116">
        <v>137</v>
      </c>
      <c r="C140" s="4" t="s">
        <v>98</v>
      </c>
      <c r="D140" s="4" t="s">
        <v>209</v>
      </c>
      <c r="E140" s="5">
        <v>77</v>
      </c>
      <c r="F140" s="5">
        <v>57</v>
      </c>
      <c r="G140" s="5">
        <v>40</v>
      </c>
      <c r="H140" s="5">
        <v>32</v>
      </c>
      <c r="I140" s="6">
        <v>0</v>
      </c>
      <c r="J140" s="6">
        <v>0</v>
      </c>
      <c r="K140" s="7">
        <v>0</v>
      </c>
      <c r="L140" s="8">
        <v>0</v>
      </c>
    </row>
    <row r="141" spans="2:12" x14ac:dyDescent="0.25">
      <c r="B141" s="116">
        <v>138</v>
      </c>
      <c r="C141" s="4" t="s">
        <v>139</v>
      </c>
      <c r="D141" s="4" t="s">
        <v>209</v>
      </c>
      <c r="E141" s="5">
        <v>108</v>
      </c>
      <c r="F141" s="5">
        <v>80</v>
      </c>
      <c r="G141" s="5">
        <v>57</v>
      </c>
      <c r="H141" s="5">
        <v>45</v>
      </c>
      <c r="I141" s="6">
        <v>0</v>
      </c>
      <c r="J141" s="6">
        <v>0</v>
      </c>
      <c r="K141" s="7">
        <v>0</v>
      </c>
      <c r="L141" s="8">
        <v>0</v>
      </c>
    </row>
    <row r="142" spans="2:12" x14ac:dyDescent="0.25">
      <c r="B142" s="116">
        <v>139</v>
      </c>
      <c r="C142" s="4" t="s">
        <v>99</v>
      </c>
      <c r="D142" s="4" t="s">
        <v>209</v>
      </c>
      <c r="E142" s="5">
        <v>47</v>
      </c>
      <c r="F142" s="5">
        <v>33</v>
      </c>
      <c r="G142" s="5">
        <v>22</v>
      </c>
      <c r="H142" s="5">
        <v>17</v>
      </c>
      <c r="I142" s="6">
        <v>0</v>
      </c>
      <c r="J142" s="6">
        <v>0</v>
      </c>
      <c r="K142" s="7">
        <v>0</v>
      </c>
      <c r="L142" s="8">
        <v>0</v>
      </c>
    </row>
    <row r="143" spans="2:12" x14ac:dyDescent="0.25">
      <c r="B143" s="116">
        <v>140</v>
      </c>
      <c r="C143" s="4" t="s">
        <v>187</v>
      </c>
      <c r="D143" s="4" t="s">
        <v>209</v>
      </c>
      <c r="E143" s="5">
        <v>77</v>
      </c>
      <c r="F143" s="5">
        <v>57</v>
      </c>
      <c r="G143" s="5">
        <v>40</v>
      </c>
      <c r="H143" s="5">
        <v>32</v>
      </c>
      <c r="I143" s="6">
        <v>0</v>
      </c>
      <c r="J143" s="6">
        <v>0</v>
      </c>
      <c r="K143" s="7">
        <v>0</v>
      </c>
      <c r="L143" s="8">
        <v>0</v>
      </c>
    </row>
    <row r="144" spans="2:12" x14ac:dyDescent="0.25">
      <c r="B144" s="116">
        <v>141</v>
      </c>
      <c r="C144" s="4" t="s">
        <v>308</v>
      </c>
      <c r="D144" s="4" t="s">
        <v>209</v>
      </c>
      <c r="E144" s="5">
        <v>47</v>
      </c>
      <c r="F144" s="5">
        <v>33</v>
      </c>
      <c r="G144" s="5">
        <v>22</v>
      </c>
      <c r="H144" s="5">
        <v>17</v>
      </c>
      <c r="I144" s="6">
        <v>0</v>
      </c>
      <c r="J144" s="6">
        <v>0</v>
      </c>
      <c r="K144" s="7">
        <v>0</v>
      </c>
      <c r="L144" s="8">
        <v>0</v>
      </c>
    </row>
    <row r="145" spans="2:12" x14ac:dyDescent="0.25">
      <c r="B145" s="116">
        <v>142</v>
      </c>
      <c r="C145" s="4" t="s">
        <v>309</v>
      </c>
      <c r="D145" s="4" t="s">
        <v>209</v>
      </c>
      <c r="E145" s="5">
        <v>108</v>
      </c>
      <c r="F145" s="5">
        <v>80</v>
      </c>
      <c r="G145" s="5">
        <v>57</v>
      </c>
      <c r="H145" s="5">
        <v>45</v>
      </c>
      <c r="I145" s="6">
        <v>0</v>
      </c>
      <c r="J145" s="6">
        <v>0</v>
      </c>
      <c r="K145" s="7">
        <v>0</v>
      </c>
      <c r="L145" s="8">
        <v>0</v>
      </c>
    </row>
    <row r="146" spans="2:12" x14ac:dyDescent="0.25">
      <c r="B146" s="116">
        <v>143</v>
      </c>
      <c r="C146" s="4" t="s">
        <v>365</v>
      </c>
      <c r="D146" s="4" t="s">
        <v>209</v>
      </c>
      <c r="E146" s="5">
        <v>108</v>
      </c>
      <c r="F146" s="5">
        <v>80</v>
      </c>
      <c r="G146" s="5">
        <v>57</v>
      </c>
      <c r="H146" s="5">
        <v>45</v>
      </c>
      <c r="I146" s="6">
        <v>0</v>
      </c>
      <c r="J146" s="6">
        <v>0</v>
      </c>
      <c r="K146" s="7">
        <v>0</v>
      </c>
      <c r="L146" s="8">
        <v>0</v>
      </c>
    </row>
    <row r="147" spans="2:12" x14ac:dyDescent="0.25">
      <c r="B147" s="116">
        <v>144</v>
      </c>
      <c r="C147" s="4" t="s">
        <v>310</v>
      </c>
      <c r="D147" s="4" t="s">
        <v>209</v>
      </c>
      <c r="E147" s="5">
        <v>108</v>
      </c>
      <c r="F147" s="5">
        <v>80</v>
      </c>
      <c r="G147" s="5">
        <v>57</v>
      </c>
      <c r="H147" s="5">
        <v>45</v>
      </c>
      <c r="I147" s="6">
        <v>0</v>
      </c>
      <c r="J147" s="6">
        <v>0</v>
      </c>
      <c r="K147" s="7">
        <v>0</v>
      </c>
      <c r="L147" s="8">
        <v>0</v>
      </c>
    </row>
    <row r="148" spans="2:12" x14ac:dyDescent="0.25">
      <c r="B148" s="116">
        <v>145</v>
      </c>
      <c r="C148" s="4" t="s">
        <v>311</v>
      </c>
      <c r="D148" s="4" t="s">
        <v>209</v>
      </c>
      <c r="E148" s="5">
        <v>47</v>
      </c>
      <c r="F148" s="5">
        <v>33</v>
      </c>
      <c r="G148" s="5">
        <v>22</v>
      </c>
      <c r="H148" s="5">
        <v>17</v>
      </c>
      <c r="I148" s="6">
        <v>0</v>
      </c>
      <c r="J148" s="6">
        <v>0</v>
      </c>
      <c r="K148" s="7">
        <v>0</v>
      </c>
      <c r="L148" s="8">
        <v>0</v>
      </c>
    </row>
    <row r="149" spans="2:12" x14ac:dyDescent="0.25">
      <c r="B149" s="116">
        <v>146</v>
      </c>
      <c r="C149" s="4" t="s">
        <v>312</v>
      </c>
      <c r="D149" s="4" t="s">
        <v>209</v>
      </c>
      <c r="E149" s="5">
        <v>108</v>
      </c>
      <c r="F149" s="5">
        <v>80</v>
      </c>
      <c r="G149" s="5">
        <v>57</v>
      </c>
      <c r="H149" s="5">
        <v>45</v>
      </c>
      <c r="I149" s="6">
        <v>0</v>
      </c>
      <c r="J149" s="6">
        <v>0</v>
      </c>
      <c r="K149" s="7">
        <v>0</v>
      </c>
      <c r="L149" s="8">
        <v>0</v>
      </c>
    </row>
    <row r="150" spans="2:12" x14ac:dyDescent="0.25">
      <c r="B150" s="116">
        <v>147</v>
      </c>
      <c r="C150" s="4" t="s">
        <v>313</v>
      </c>
      <c r="D150" s="4" t="s">
        <v>209</v>
      </c>
      <c r="E150" s="5">
        <v>77</v>
      </c>
      <c r="F150" s="5">
        <v>57</v>
      </c>
      <c r="G150" s="5">
        <v>40</v>
      </c>
      <c r="H150" s="5">
        <v>32</v>
      </c>
      <c r="I150" s="6">
        <v>0</v>
      </c>
      <c r="J150" s="6">
        <v>0</v>
      </c>
      <c r="K150" s="7">
        <v>0</v>
      </c>
      <c r="L150" s="8">
        <v>0</v>
      </c>
    </row>
    <row r="151" spans="2:12" x14ac:dyDescent="0.25">
      <c r="B151" s="116">
        <v>148</v>
      </c>
      <c r="C151" s="4" t="s">
        <v>100</v>
      </c>
      <c r="D151" s="4" t="s">
        <v>209</v>
      </c>
      <c r="E151" s="5">
        <v>108</v>
      </c>
      <c r="F151" s="5">
        <v>80</v>
      </c>
      <c r="G151" s="5">
        <v>57</v>
      </c>
      <c r="H151" s="5">
        <v>45</v>
      </c>
      <c r="I151" s="6">
        <v>750</v>
      </c>
      <c r="J151" s="6">
        <v>650</v>
      </c>
      <c r="K151" s="7">
        <v>100</v>
      </c>
      <c r="L151" s="8">
        <v>160</v>
      </c>
    </row>
    <row r="152" spans="2:12" x14ac:dyDescent="0.25">
      <c r="B152" s="116">
        <v>149</v>
      </c>
      <c r="C152" s="4" t="s">
        <v>314</v>
      </c>
      <c r="D152" s="4" t="s">
        <v>209</v>
      </c>
      <c r="E152" s="5">
        <v>108</v>
      </c>
      <c r="F152" s="5">
        <v>80</v>
      </c>
      <c r="G152" s="5">
        <v>57</v>
      </c>
      <c r="H152" s="5">
        <v>45</v>
      </c>
      <c r="I152" s="6">
        <v>0</v>
      </c>
      <c r="J152" s="6">
        <v>0</v>
      </c>
      <c r="K152" s="7">
        <v>0</v>
      </c>
      <c r="L152" s="8">
        <v>0</v>
      </c>
    </row>
    <row r="153" spans="2:12" x14ac:dyDescent="0.25">
      <c r="B153" s="116">
        <v>150</v>
      </c>
      <c r="C153" s="4" t="s">
        <v>315</v>
      </c>
      <c r="D153" s="4" t="s">
        <v>209</v>
      </c>
      <c r="E153" s="5">
        <v>47</v>
      </c>
      <c r="F153" s="5">
        <v>33</v>
      </c>
      <c r="G153" s="5">
        <v>22</v>
      </c>
      <c r="H153" s="5">
        <v>17</v>
      </c>
      <c r="I153" s="6">
        <v>0</v>
      </c>
      <c r="J153" s="6">
        <v>0</v>
      </c>
      <c r="K153" s="7">
        <v>0</v>
      </c>
      <c r="L153" s="8">
        <v>0</v>
      </c>
    </row>
    <row r="154" spans="2:12" x14ac:dyDescent="0.25">
      <c r="B154" s="116">
        <v>151</v>
      </c>
      <c r="C154" s="4" t="s">
        <v>375</v>
      </c>
      <c r="D154" s="4" t="s">
        <v>209</v>
      </c>
      <c r="E154" s="5">
        <v>47</v>
      </c>
      <c r="F154" s="5">
        <v>33</v>
      </c>
      <c r="G154" s="5">
        <v>22</v>
      </c>
      <c r="H154" s="5">
        <v>17</v>
      </c>
      <c r="I154" s="6">
        <v>0</v>
      </c>
      <c r="J154" s="6">
        <v>0</v>
      </c>
      <c r="K154" s="7">
        <v>0</v>
      </c>
      <c r="L154" s="8">
        <v>0</v>
      </c>
    </row>
    <row r="155" spans="2:12" x14ac:dyDescent="0.25">
      <c r="B155" s="116">
        <v>152</v>
      </c>
      <c r="C155" s="4" t="s">
        <v>316</v>
      </c>
      <c r="D155" s="4" t="s">
        <v>209</v>
      </c>
      <c r="E155" s="5">
        <v>47</v>
      </c>
      <c r="F155" s="5">
        <v>33</v>
      </c>
      <c r="G155" s="5">
        <v>22</v>
      </c>
      <c r="H155" s="5">
        <v>17</v>
      </c>
      <c r="I155" s="6">
        <v>0</v>
      </c>
      <c r="J155" s="6">
        <v>0</v>
      </c>
      <c r="K155" s="7">
        <v>0</v>
      </c>
      <c r="L155" s="8">
        <v>0</v>
      </c>
    </row>
    <row r="156" spans="2:12" x14ac:dyDescent="0.25">
      <c r="B156" s="116">
        <v>153</v>
      </c>
      <c r="C156" s="4" t="s">
        <v>101</v>
      </c>
      <c r="D156" s="4" t="s">
        <v>209</v>
      </c>
      <c r="E156" s="5">
        <v>77</v>
      </c>
      <c r="F156" s="5">
        <v>57</v>
      </c>
      <c r="G156" s="5">
        <v>40</v>
      </c>
      <c r="H156" s="5">
        <v>32</v>
      </c>
      <c r="I156" s="6">
        <v>0</v>
      </c>
      <c r="J156" s="6">
        <v>0</v>
      </c>
      <c r="K156" s="7">
        <v>0</v>
      </c>
      <c r="L156" s="8">
        <v>0</v>
      </c>
    </row>
    <row r="157" spans="2:12" x14ac:dyDescent="0.25">
      <c r="B157" s="116">
        <v>154</v>
      </c>
      <c r="C157" s="4" t="s">
        <v>317</v>
      </c>
      <c r="D157" s="4" t="s">
        <v>209</v>
      </c>
      <c r="E157" s="5">
        <v>47</v>
      </c>
      <c r="F157" s="5">
        <v>33</v>
      </c>
      <c r="G157" s="5">
        <v>22</v>
      </c>
      <c r="H157" s="5">
        <v>17</v>
      </c>
      <c r="I157" s="6">
        <v>0</v>
      </c>
      <c r="J157" s="6">
        <v>0</v>
      </c>
      <c r="K157" s="7">
        <v>0</v>
      </c>
      <c r="L157" s="8">
        <v>0</v>
      </c>
    </row>
    <row r="158" spans="2:12" x14ac:dyDescent="0.25">
      <c r="B158" s="116">
        <v>155</v>
      </c>
      <c r="C158" s="4" t="s">
        <v>351</v>
      </c>
      <c r="D158" s="4" t="s">
        <v>209</v>
      </c>
      <c r="E158" s="5">
        <v>47</v>
      </c>
      <c r="F158" s="5">
        <v>33</v>
      </c>
      <c r="G158" s="5">
        <v>22</v>
      </c>
      <c r="H158" s="5">
        <v>17</v>
      </c>
      <c r="I158" s="6">
        <v>0</v>
      </c>
      <c r="J158" s="6">
        <v>0</v>
      </c>
      <c r="K158" s="7">
        <v>0</v>
      </c>
      <c r="L158" s="8">
        <v>0</v>
      </c>
    </row>
    <row r="159" spans="2:12" x14ac:dyDescent="0.25">
      <c r="B159" s="116">
        <v>156</v>
      </c>
      <c r="C159" s="4" t="s">
        <v>318</v>
      </c>
      <c r="D159" s="4" t="s">
        <v>209</v>
      </c>
      <c r="E159" s="5">
        <v>47</v>
      </c>
      <c r="F159" s="5">
        <v>33</v>
      </c>
      <c r="G159" s="5">
        <v>22</v>
      </c>
      <c r="H159" s="5">
        <v>17</v>
      </c>
      <c r="I159" s="6">
        <v>0</v>
      </c>
      <c r="J159" s="6">
        <v>0</v>
      </c>
      <c r="K159" s="7">
        <v>0</v>
      </c>
      <c r="L159" s="8">
        <v>0</v>
      </c>
    </row>
    <row r="160" spans="2:12" x14ac:dyDescent="0.25">
      <c r="B160" s="116">
        <v>157</v>
      </c>
      <c r="C160" s="4" t="s">
        <v>376</v>
      </c>
      <c r="D160" s="4" t="s">
        <v>209</v>
      </c>
      <c r="E160" s="5">
        <v>77</v>
      </c>
      <c r="F160" s="5">
        <v>57</v>
      </c>
      <c r="G160" s="5">
        <v>40</v>
      </c>
      <c r="H160" s="5">
        <v>32</v>
      </c>
      <c r="I160" s="6">
        <v>0</v>
      </c>
      <c r="J160" s="6">
        <v>0</v>
      </c>
      <c r="K160" s="7">
        <v>0</v>
      </c>
      <c r="L160" s="8">
        <v>0</v>
      </c>
    </row>
    <row r="161" spans="2:12" x14ac:dyDescent="0.25">
      <c r="B161" s="116">
        <v>158</v>
      </c>
      <c r="C161" s="4" t="s">
        <v>319</v>
      </c>
      <c r="D161" s="4" t="s">
        <v>209</v>
      </c>
      <c r="E161" s="5">
        <v>77</v>
      </c>
      <c r="F161" s="5">
        <v>57</v>
      </c>
      <c r="G161" s="5">
        <v>40</v>
      </c>
      <c r="H161" s="5">
        <v>32</v>
      </c>
      <c r="I161" s="6">
        <v>0</v>
      </c>
      <c r="J161" s="6">
        <v>0</v>
      </c>
      <c r="K161" s="7">
        <v>0</v>
      </c>
      <c r="L161" s="8">
        <v>0</v>
      </c>
    </row>
    <row r="162" spans="2:12" x14ac:dyDescent="0.25">
      <c r="B162" s="116">
        <v>159</v>
      </c>
      <c r="C162" s="4" t="s">
        <v>102</v>
      </c>
      <c r="D162" s="4" t="s">
        <v>209</v>
      </c>
      <c r="E162" s="5">
        <v>47</v>
      </c>
      <c r="F162" s="5">
        <v>33</v>
      </c>
      <c r="G162" s="5">
        <v>22</v>
      </c>
      <c r="H162" s="5">
        <v>17</v>
      </c>
      <c r="I162" s="6">
        <v>750</v>
      </c>
      <c r="J162" s="6">
        <v>650</v>
      </c>
      <c r="K162" s="7">
        <v>100</v>
      </c>
      <c r="L162" s="8">
        <v>160</v>
      </c>
    </row>
    <row r="163" spans="2:12" x14ac:dyDescent="0.25">
      <c r="B163" s="116">
        <v>160</v>
      </c>
      <c r="C163" s="4" t="s">
        <v>103</v>
      </c>
      <c r="D163" s="4" t="s">
        <v>209</v>
      </c>
      <c r="E163" s="5">
        <v>47</v>
      </c>
      <c r="F163" s="5">
        <v>33</v>
      </c>
      <c r="G163" s="5">
        <v>22</v>
      </c>
      <c r="H163" s="5">
        <v>17</v>
      </c>
      <c r="I163" s="6">
        <v>0</v>
      </c>
      <c r="J163" s="6">
        <v>0</v>
      </c>
      <c r="K163" s="7">
        <v>0</v>
      </c>
      <c r="L163" s="8">
        <v>0</v>
      </c>
    </row>
    <row r="164" spans="2:12" x14ac:dyDescent="0.25">
      <c r="B164" s="116">
        <v>161</v>
      </c>
      <c r="C164" s="4" t="s">
        <v>320</v>
      </c>
      <c r="D164" s="4" t="s">
        <v>209</v>
      </c>
      <c r="E164" s="5">
        <v>47</v>
      </c>
      <c r="F164" s="5">
        <v>33</v>
      </c>
      <c r="G164" s="5">
        <v>22</v>
      </c>
      <c r="H164" s="5">
        <v>17</v>
      </c>
      <c r="I164" s="6">
        <v>0</v>
      </c>
      <c r="J164" s="6">
        <v>0</v>
      </c>
      <c r="K164" s="7">
        <v>0</v>
      </c>
      <c r="L164" s="8">
        <v>0</v>
      </c>
    </row>
    <row r="165" spans="2:12" x14ac:dyDescent="0.25">
      <c r="B165" s="116">
        <v>162</v>
      </c>
      <c r="C165" s="4" t="s">
        <v>104</v>
      </c>
      <c r="D165" s="4" t="s">
        <v>209</v>
      </c>
      <c r="E165" s="5">
        <v>108</v>
      </c>
      <c r="F165" s="5">
        <v>80</v>
      </c>
      <c r="G165" s="5">
        <v>57</v>
      </c>
      <c r="H165" s="5">
        <v>45</v>
      </c>
      <c r="I165" s="6">
        <v>0</v>
      </c>
      <c r="J165" s="6">
        <v>0</v>
      </c>
      <c r="K165" s="7">
        <v>0</v>
      </c>
      <c r="L165" s="8">
        <v>0</v>
      </c>
    </row>
    <row r="166" spans="2:12" x14ac:dyDescent="0.25">
      <c r="B166" s="116">
        <v>163</v>
      </c>
      <c r="C166" s="4" t="s">
        <v>380</v>
      </c>
      <c r="D166" s="4" t="s">
        <v>209</v>
      </c>
      <c r="E166" s="5">
        <v>47</v>
      </c>
      <c r="F166" s="5">
        <v>33</v>
      </c>
      <c r="G166" s="5">
        <v>22</v>
      </c>
      <c r="H166" s="5">
        <v>17</v>
      </c>
      <c r="I166" s="6">
        <v>0</v>
      </c>
      <c r="J166" s="6">
        <v>0</v>
      </c>
      <c r="K166" s="7">
        <v>0</v>
      </c>
      <c r="L166" s="8">
        <v>0</v>
      </c>
    </row>
    <row r="167" spans="2:12" x14ac:dyDescent="0.25">
      <c r="B167" s="116">
        <v>164</v>
      </c>
      <c r="C167" s="4" t="s">
        <v>321</v>
      </c>
      <c r="D167" s="4" t="s">
        <v>209</v>
      </c>
      <c r="E167" s="5">
        <v>47</v>
      </c>
      <c r="F167" s="5">
        <v>33</v>
      </c>
      <c r="G167" s="5">
        <v>22</v>
      </c>
      <c r="H167" s="5">
        <v>17</v>
      </c>
      <c r="I167" s="6">
        <v>0</v>
      </c>
      <c r="J167" s="6">
        <v>0</v>
      </c>
      <c r="K167" s="7">
        <v>0</v>
      </c>
      <c r="L167" s="8">
        <v>0</v>
      </c>
    </row>
    <row r="168" spans="2:12" x14ac:dyDescent="0.25">
      <c r="B168" s="116">
        <v>165</v>
      </c>
      <c r="C168" s="4" t="s">
        <v>322</v>
      </c>
      <c r="D168" s="4" t="s">
        <v>209</v>
      </c>
      <c r="E168" s="5">
        <v>47</v>
      </c>
      <c r="F168" s="5">
        <v>33</v>
      </c>
      <c r="G168" s="5">
        <v>22</v>
      </c>
      <c r="H168" s="5">
        <v>17</v>
      </c>
      <c r="I168" s="6">
        <v>0</v>
      </c>
      <c r="J168" s="6">
        <v>0</v>
      </c>
      <c r="K168" s="7">
        <v>0</v>
      </c>
      <c r="L168" s="8">
        <v>0</v>
      </c>
    </row>
    <row r="169" spans="2:12" x14ac:dyDescent="0.25">
      <c r="B169" s="116">
        <v>166</v>
      </c>
      <c r="C169" s="4" t="s">
        <v>323</v>
      </c>
      <c r="D169" s="4" t="s">
        <v>209</v>
      </c>
      <c r="E169" s="5">
        <v>77</v>
      </c>
      <c r="F169" s="5">
        <v>57</v>
      </c>
      <c r="G169" s="5">
        <v>40</v>
      </c>
      <c r="H169" s="5">
        <v>32</v>
      </c>
      <c r="I169" s="6">
        <v>0</v>
      </c>
      <c r="J169" s="6">
        <v>0</v>
      </c>
      <c r="K169" s="7">
        <v>0</v>
      </c>
      <c r="L169" s="8">
        <v>0</v>
      </c>
    </row>
    <row r="170" spans="2:12" x14ac:dyDescent="0.25">
      <c r="B170" s="116">
        <v>167</v>
      </c>
      <c r="C170" s="4" t="s">
        <v>105</v>
      </c>
      <c r="D170" s="4" t="s">
        <v>209</v>
      </c>
      <c r="E170" s="5">
        <v>47</v>
      </c>
      <c r="F170" s="5">
        <v>33</v>
      </c>
      <c r="G170" s="5">
        <v>22</v>
      </c>
      <c r="H170" s="5">
        <v>17</v>
      </c>
      <c r="I170" s="6">
        <v>750</v>
      </c>
      <c r="J170" s="6">
        <v>650</v>
      </c>
      <c r="K170" s="7">
        <v>100</v>
      </c>
      <c r="L170" s="8">
        <v>160</v>
      </c>
    </row>
    <row r="171" spans="2:12" x14ac:dyDescent="0.25">
      <c r="B171" s="116">
        <v>168</v>
      </c>
      <c r="C171" s="4" t="s">
        <v>106</v>
      </c>
      <c r="D171" s="4" t="s">
        <v>209</v>
      </c>
      <c r="E171" s="5">
        <v>47</v>
      </c>
      <c r="F171" s="5">
        <v>33</v>
      </c>
      <c r="G171" s="5">
        <v>22</v>
      </c>
      <c r="H171" s="5">
        <v>17</v>
      </c>
      <c r="I171" s="6">
        <v>0</v>
      </c>
      <c r="J171" s="6">
        <v>0</v>
      </c>
      <c r="K171" s="7">
        <v>0</v>
      </c>
      <c r="L171" s="8">
        <v>0</v>
      </c>
    </row>
    <row r="172" spans="2:12" x14ac:dyDescent="0.25">
      <c r="B172" s="116">
        <v>169</v>
      </c>
      <c r="C172" s="4" t="s">
        <v>324</v>
      </c>
      <c r="D172" s="4" t="s">
        <v>209</v>
      </c>
      <c r="E172" s="5">
        <v>47</v>
      </c>
      <c r="F172" s="5">
        <v>33</v>
      </c>
      <c r="G172" s="5">
        <v>22</v>
      </c>
      <c r="H172" s="5">
        <v>17</v>
      </c>
      <c r="I172" s="6">
        <v>0</v>
      </c>
      <c r="J172" s="6">
        <v>0</v>
      </c>
      <c r="K172" s="7">
        <v>0</v>
      </c>
      <c r="L172" s="8">
        <v>0</v>
      </c>
    </row>
    <row r="173" spans="2:12" x14ac:dyDescent="0.25">
      <c r="B173" s="116">
        <v>170</v>
      </c>
      <c r="C173" s="4" t="s">
        <v>325</v>
      </c>
      <c r="D173" s="4" t="s">
        <v>209</v>
      </c>
      <c r="E173" s="5">
        <v>47</v>
      </c>
      <c r="F173" s="5">
        <v>33</v>
      </c>
      <c r="G173" s="5">
        <v>22</v>
      </c>
      <c r="H173" s="5">
        <v>17</v>
      </c>
      <c r="I173" s="6">
        <v>0</v>
      </c>
      <c r="J173" s="6">
        <v>0</v>
      </c>
      <c r="K173" s="7">
        <v>0</v>
      </c>
      <c r="L173" s="8">
        <v>0</v>
      </c>
    </row>
    <row r="174" spans="2:12" x14ac:dyDescent="0.25">
      <c r="B174" s="116">
        <v>171</v>
      </c>
      <c r="C174" s="4" t="s">
        <v>186</v>
      </c>
      <c r="D174" s="4" t="s">
        <v>209</v>
      </c>
      <c r="E174" s="5">
        <v>108</v>
      </c>
      <c r="F174" s="5">
        <v>80</v>
      </c>
      <c r="G174" s="5">
        <v>57</v>
      </c>
      <c r="H174" s="5">
        <v>45</v>
      </c>
      <c r="I174" s="6">
        <v>750</v>
      </c>
      <c r="J174" s="6">
        <v>650</v>
      </c>
      <c r="K174" s="7">
        <v>100</v>
      </c>
      <c r="L174" s="8">
        <v>160</v>
      </c>
    </row>
    <row r="175" spans="2:12" x14ac:dyDescent="0.25">
      <c r="B175" s="116">
        <v>172</v>
      </c>
      <c r="C175" s="4" t="s">
        <v>107</v>
      </c>
      <c r="D175" s="4" t="s">
        <v>209</v>
      </c>
      <c r="E175" s="5">
        <v>108</v>
      </c>
      <c r="F175" s="5">
        <v>80</v>
      </c>
      <c r="G175" s="5">
        <v>57</v>
      </c>
      <c r="H175" s="5">
        <v>45</v>
      </c>
      <c r="I175" s="6">
        <v>0</v>
      </c>
      <c r="J175" s="6">
        <v>0</v>
      </c>
      <c r="K175" s="7">
        <v>0</v>
      </c>
      <c r="L175" s="8">
        <v>0</v>
      </c>
    </row>
    <row r="176" spans="2:12" x14ac:dyDescent="0.25">
      <c r="B176" s="116">
        <v>173</v>
      </c>
      <c r="C176" s="4" t="s">
        <v>108</v>
      </c>
      <c r="D176" s="4" t="s">
        <v>209</v>
      </c>
      <c r="E176" s="5">
        <v>47</v>
      </c>
      <c r="F176" s="5">
        <v>33</v>
      </c>
      <c r="G176" s="5">
        <v>22</v>
      </c>
      <c r="H176" s="5">
        <v>17</v>
      </c>
      <c r="I176" s="6">
        <v>0</v>
      </c>
      <c r="J176" s="6">
        <v>0</v>
      </c>
      <c r="K176" s="7">
        <v>0</v>
      </c>
      <c r="L176" s="8">
        <v>0</v>
      </c>
    </row>
    <row r="177" spans="2:12" x14ac:dyDescent="0.25">
      <c r="B177" s="116">
        <v>174</v>
      </c>
      <c r="C177" s="4" t="s">
        <v>326</v>
      </c>
      <c r="D177" s="4" t="s">
        <v>209</v>
      </c>
      <c r="E177" s="5">
        <v>77</v>
      </c>
      <c r="F177" s="5">
        <v>57</v>
      </c>
      <c r="G177" s="5">
        <v>40</v>
      </c>
      <c r="H177" s="5">
        <v>32</v>
      </c>
      <c r="I177" s="6">
        <v>0</v>
      </c>
      <c r="J177" s="6">
        <v>0</v>
      </c>
      <c r="K177" s="7">
        <v>0</v>
      </c>
      <c r="L177" s="8">
        <v>0</v>
      </c>
    </row>
    <row r="178" spans="2:12" x14ac:dyDescent="0.25">
      <c r="B178" s="116">
        <v>175</v>
      </c>
      <c r="C178" s="4" t="s">
        <v>109</v>
      </c>
      <c r="D178" s="4" t="s">
        <v>209</v>
      </c>
      <c r="E178" s="5">
        <v>108</v>
      </c>
      <c r="F178" s="5">
        <v>80</v>
      </c>
      <c r="G178" s="5">
        <v>57</v>
      </c>
      <c r="H178" s="5">
        <v>45</v>
      </c>
      <c r="I178" s="6">
        <v>0</v>
      </c>
      <c r="J178" s="6">
        <v>0</v>
      </c>
      <c r="K178" s="7">
        <v>0</v>
      </c>
      <c r="L178" s="8">
        <v>0</v>
      </c>
    </row>
    <row r="179" spans="2:12" x14ac:dyDescent="0.25">
      <c r="B179" s="116">
        <v>176</v>
      </c>
      <c r="C179" s="4" t="s">
        <v>110</v>
      </c>
      <c r="D179" s="4" t="s">
        <v>209</v>
      </c>
      <c r="E179" s="5">
        <v>47</v>
      </c>
      <c r="F179" s="5">
        <v>33</v>
      </c>
      <c r="G179" s="5">
        <v>22</v>
      </c>
      <c r="H179" s="5">
        <v>17</v>
      </c>
      <c r="I179" s="6">
        <v>0</v>
      </c>
      <c r="J179" s="6">
        <v>0</v>
      </c>
      <c r="K179" s="7">
        <v>0</v>
      </c>
      <c r="L179" s="8">
        <v>0</v>
      </c>
    </row>
    <row r="180" spans="2:12" x14ac:dyDescent="0.25">
      <c r="B180" s="116">
        <v>177</v>
      </c>
      <c r="C180" s="4" t="s">
        <v>111</v>
      </c>
      <c r="D180" s="4" t="s">
        <v>209</v>
      </c>
      <c r="E180" s="5">
        <v>47</v>
      </c>
      <c r="F180" s="5">
        <v>33</v>
      </c>
      <c r="G180" s="5">
        <v>22</v>
      </c>
      <c r="H180" s="5">
        <v>17</v>
      </c>
      <c r="I180" s="6">
        <v>0</v>
      </c>
      <c r="J180" s="6">
        <v>0</v>
      </c>
      <c r="K180" s="7">
        <v>0</v>
      </c>
      <c r="L180" s="8">
        <v>0</v>
      </c>
    </row>
    <row r="181" spans="2:12" x14ac:dyDescent="0.25">
      <c r="B181" s="116">
        <v>178</v>
      </c>
      <c r="C181" s="4" t="s">
        <v>327</v>
      </c>
      <c r="D181" s="4" t="s">
        <v>209</v>
      </c>
      <c r="E181" s="5">
        <v>108</v>
      </c>
      <c r="F181" s="5">
        <v>80</v>
      </c>
      <c r="G181" s="5">
        <v>57</v>
      </c>
      <c r="H181" s="5">
        <v>45</v>
      </c>
      <c r="I181" s="6">
        <v>0</v>
      </c>
      <c r="J181" s="6">
        <v>0</v>
      </c>
      <c r="K181" s="7">
        <v>0</v>
      </c>
      <c r="L181" s="8">
        <v>0</v>
      </c>
    </row>
    <row r="182" spans="2:12" x14ac:dyDescent="0.25">
      <c r="B182" s="116">
        <v>179</v>
      </c>
      <c r="C182" s="4" t="s">
        <v>328</v>
      </c>
      <c r="D182" s="4" t="s">
        <v>209</v>
      </c>
      <c r="E182" s="5">
        <v>108</v>
      </c>
      <c r="F182" s="5">
        <v>80</v>
      </c>
      <c r="G182" s="5">
        <v>57</v>
      </c>
      <c r="H182" s="5">
        <v>45</v>
      </c>
      <c r="I182" s="6">
        <v>0</v>
      </c>
      <c r="J182" s="6">
        <v>0</v>
      </c>
      <c r="K182" s="7">
        <v>0</v>
      </c>
      <c r="L182" s="8">
        <v>0</v>
      </c>
    </row>
  </sheetData>
  <sheetProtection password="E359" sheet="1" objects="1" scenarios="1" selectLockedCells="1" selectUnlockedCells="1"/>
  <mergeCells count="2">
    <mergeCell ref="E2:H2"/>
    <mergeCell ref="I2:L2"/>
  </mergeCell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AB186"/>
  <sheetViews>
    <sheetView showGridLines="0" zoomScale="80" zoomScaleNormal="80" zoomScaleSheetLayoutView="85" workbookViewId="0"/>
  </sheetViews>
  <sheetFormatPr defaultRowHeight="15" x14ac:dyDescent="0.25"/>
  <cols>
    <col min="1" max="1" width="1.7109375" style="1" customWidth="1"/>
    <col min="2" max="2" width="40" style="1" customWidth="1"/>
    <col min="3" max="3" width="24" style="1" customWidth="1"/>
    <col min="4" max="7" width="15.85546875" style="1" customWidth="1"/>
    <col min="8" max="8" width="1.7109375" style="1" customWidth="1"/>
    <col min="9" max="10" width="26" style="1" customWidth="1"/>
    <col min="11" max="11" width="1.7109375" style="1" customWidth="1"/>
    <col min="12" max="12" width="18.7109375" style="12" customWidth="1"/>
    <col min="13" max="14" width="18.7109375" style="1" customWidth="1"/>
    <col min="15" max="15" width="1.7109375" style="1" customWidth="1"/>
    <col min="16" max="16" width="25.42578125" style="1" customWidth="1"/>
    <col min="17" max="17" width="20.7109375" style="1" customWidth="1"/>
    <col min="18" max="18" width="1.7109375" style="1" customWidth="1"/>
    <col min="19" max="20" width="25.42578125" style="1" customWidth="1"/>
    <col min="21" max="21" width="20.7109375" style="1" customWidth="1"/>
    <col min="22" max="22" width="1.7109375" style="1" customWidth="1"/>
    <col min="23" max="23" width="41.5703125" style="1" customWidth="1"/>
    <col min="24" max="24" width="23" style="1" customWidth="1"/>
    <col min="25" max="28" width="18.7109375" style="1" customWidth="1"/>
    <col min="29" max="29" width="1.7109375" style="1" customWidth="1"/>
    <col min="30" max="255" width="9.140625" style="1"/>
    <col min="256" max="256" width="40" style="1" customWidth="1"/>
    <col min="257" max="257" width="11.5703125" style="1" customWidth="1"/>
    <col min="258" max="258" width="24" style="1" customWidth="1"/>
    <col min="259" max="262" width="15.85546875" style="1" customWidth="1"/>
    <col min="263" max="263" width="1.7109375" style="1" customWidth="1"/>
    <col min="264" max="265" width="26" style="1" customWidth="1"/>
    <col min="266" max="266" width="1.7109375" style="1" customWidth="1"/>
    <col min="267" max="269" width="18.7109375" style="1" customWidth="1"/>
    <col min="270" max="270" width="1.7109375" style="1" customWidth="1"/>
    <col min="271" max="271" width="25.42578125" style="1" customWidth="1"/>
    <col min="272" max="272" width="20.7109375" style="1" customWidth="1"/>
    <col min="273" max="273" width="1.7109375" style="1" customWidth="1"/>
    <col min="274" max="275" width="25.42578125" style="1" customWidth="1"/>
    <col min="276" max="276" width="20.7109375" style="1" customWidth="1"/>
    <col min="277" max="277" width="1.7109375" style="1" customWidth="1"/>
    <col min="278" max="278" width="41.5703125" style="1" customWidth="1"/>
    <col min="279" max="279" width="11.5703125" style="1" customWidth="1"/>
    <col min="280" max="280" width="23" style="1" customWidth="1"/>
    <col min="281" max="284" width="18.7109375" style="1" customWidth="1"/>
    <col min="285" max="285" width="1.7109375" style="1" customWidth="1"/>
    <col min="286" max="511" width="9.140625" style="1"/>
    <col min="512" max="512" width="40" style="1" customWidth="1"/>
    <col min="513" max="513" width="11.5703125" style="1" customWidth="1"/>
    <col min="514" max="514" width="24" style="1" customWidth="1"/>
    <col min="515" max="518" width="15.85546875" style="1" customWidth="1"/>
    <col min="519" max="519" width="1.7109375" style="1" customWidth="1"/>
    <col min="520" max="521" width="26" style="1" customWidth="1"/>
    <col min="522" max="522" width="1.7109375" style="1" customWidth="1"/>
    <col min="523" max="525" width="18.7109375" style="1" customWidth="1"/>
    <col min="526" max="526" width="1.7109375" style="1" customWidth="1"/>
    <col min="527" max="527" width="25.42578125" style="1" customWidth="1"/>
    <col min="528" max="528" width="20.7109375" style="1" customWidth="1"/>
    <col min="529" max="529" width="1.7109375" style="1" customWidth="1"/>
    <col min="530" max="531" width="25.42578125" style="1" customWidth="1"/>
    <col min="532" max="532" width="20.7109375" style="1" customWidth="1"/>
    <col min="533" max="533" width="1.7109375" style="1" customWidth="1"/>
    <col min="534" max="534" width="41.5703125" style="1" customWidth="1"/>
    <col min="535" max="535" width="11.5703125" style="1" customWidth="1"/>
    <col min="536" max="536" width="23" style="1" customWidth="1"/>
    <col min="537" max="540" width="18.7109375" style="1" customWidth="1"/>
    <col min="541" max="541" width="1.7109375" style="1" customWidth="1"/>
    <col min="542" max="767" width="9.140625" style="1"/>
    <col min="768" max="768" width="40" style="1" customWidth="1"/>
    <col min="769" max="769" width="11.5703125" style="1" customWidth="1"/>
    <col min="770" max="770" width="24" style="1" customWidth="1"/>
    <col min="771" max="774" width="15.85546875" style="1" customWidth="1"/>
    <col min="775" max="775" width="1.7109375" style="1" customWidth="1"/>
    <col min="776" max="777" width="26" style="1" customWidth="1"/>
    <col min="778" max="778" width="1.7109375" style="1" customWidth="1"/>
    <col min="779" max="781" width="18.7109375" style="1" customWidth="1"/>
    <col min="782" max="782" width="1.7109375" style="1" customWidth="1"/>
    <col min="783" max="783" width="25.42578125" style="1" customWidth="1"/>
    <col min="784" max="784" width="20.7109375" style="1" customWidth="1"/>
    <col min="785" max="785" width="1.7109375" style="1" customWidth="1"/>
    <col min="786" max="787" width="25.42578125" style="1" customWidth="1"/>
    <col min="788" max="788" width="20.7109375" style="1" customWidth="1"/>
    <col min="789" max="789" width="1.7109375" style="1" customWidth="1"/>
    <col min="790" max="790" width="41.5703125" style="1" customWidth="1"/>
    <col min="791" max="791" width="11.5703125" style="1" customWidth="1"/>
    <col min="792" max="792" width="23" style="1" customWidth="1"/>
    <col min="793" max="796" width="18.7109375" style="1" customWidth="1"/>
    <col min="797" max="797" width="1.7109375" style="1" customWidth="1"/>
    <col min="798" max="1023" width="9.140625" style="1"/>
    <col min="1024" max="1024" width="40" style="1" customWidth="1"/>
    <col min="1025" max="1025" width="11.5703125" style="1" customWidth="1"/>
    <col min="1026" max="1026" width="24" style="1" customWidth="1"/>
    <col min="1027" max="1030" width="15.85546875" style="1" customWidth="1"/>
    <col min="1031" max="1031" width="1.7109375" style="1" customWidth="1"/>
    <col min="1032" max="1033" width="26" style="1" customWidth="1"/>
    <col min="1034" max="1034" width="1.7109375" style="1" customWidth="1"/>
    <col min="1035" max="1037" width="18.7109375" style="1" customWidth="1"/>
    <col min="1038" max="1038" width="1.7109375" style="1" customWidth="1"/>
    <col min="1039" max="1039" width="25.42578125" style="1" customWidth="1"/>
    <col min="1040" max="1040" width="20.7109375" style="1" customWidth="1"/>
    <col min="1041" max="1041" width="1.7109375" style="1" customWidth="1"/>
    <col min="1042" max="1043" width="25.42578125" style="1" customWidth="1"/>
    <col min="1044" max="1044" width="20.7109375" style="1" customWidth="1"/>
    <col min="1045" max="1045" width="1.7109375" style="1" customWidth="1"/>
    <col min="1046" max="1046" width="41.5703125" style="1" customWidth="1"/>
    <col min="1047" max="1047" width="11.5703125" style="1" customWidth="1"/>
    <col min="1048" max="1048" width="23" style="1" customWidth="1"/>
    <col min="1049" max="1052" width="18.7109375" style="1" customWidth="1"/>
    <col min="1053" max="1053" width="1.7109375" style="1" customWidth="1"/>
    <col min="1054" max="1279" width="9.140625" style="1"/>
    <col min="1280" max="1280" width="40" style="1" customWidth="1"/>
    <col min="1281" max="1281" width="11.5703125" style="1" customWidth="1"/>
    <col min="1282" max="1282" width="24" style="1" customWidth="1"/>
    <col min="1283" max="1286" width="15.85546875" style="1" customWidth="1"/>
    <col min="1287" max="1287" width="1.7109375" style="1" customWidth="1"/>
    <col min="1288" max="1289" width="26" style="1" customWidth="1"/>
    <col min="1290" max="1290" width="1.7109375" style="1" customWidth="1"/>
    <col min="1291" max="1293" width="18.7109375" style="1" customWidth="1"/>
    <col min="1294" max="1294" width="1.7109375" style="1" customWidth="1"/>
    <col min="1295" max="1295" width="25.42578125" style="1" customWidth="1"/>
    <col min="1296" max="1296" width="20.7109375" style="1" customWidth="1"/>
    <col min="1297" max="1297" width="1.7109375" style="1" customWidth="1"/>
    <col min="1298" max="1299" width="25.42578125" style="1" customWidth="1"/>
    <col min="1300" max="1300" width="20.7109375" style="1" customWidth="1"/>
    <col min="1301" max="1301" width="1.7109375" style="1" customWidth="1"/>
    <col min="1302" max="1302" width="41.5703125" style="1" customWidth="1"/>
    <col min="1303" max="1303" width="11.5703125" style="1" customWidth="1"/>
    <col min="1304" max="1304" width="23" style="1" customWidth="1"/>
    <col min="1305" max="1308" width="18.7109375" style="1" customWidth="1"/>
    <col min="1309" max="1309" width="1.7109375" style="1" customWidth="1"/>
    <col min="1310" max="1535" width="9.140625" style="1"/>
    <col min="1536" max="1536" width="40" style="1" customWidth="1"/>
    <col min="1537" max="1537" width="11.5703125" style="1" customWidth="1"/>
    <col min="1538" max="1538" width="24" style="1" customWidth="1"/>
    <col min="1539" max="1542" width="15.85546875" style="1" customWidth="1"/>
    <col min="1543" max="1543" width="1.7109375" style="1" customWidth="1"/>
    <col min="1544" max="1545" width="26" style="1" customWidth="1"/>
    <col min="1546" max="1546" width="1.7109375" style="1" customWidth="1"/>
    <col min="1547" max="1549" width="18.7109375" style="1" customWidth="1"/>
    <col min="1550" max="1550" width="1.7109375" style="1" customWidth="1"/>
    <col min="1551" max="1551" width="25.42578125" style="1" customWidth="1"/>
    <col min="1552" max="1552" width="20.7109375" style="1" customWidth="1"/>
    <col min="1553" max="1553" width="1.7109375" style="1" customWidth="1"/>
    <col min="1554" max="1555" width="25.42578125" style="1" customWidth="1"/>
    <col min="1556" max="1556" width="20.7109375" style="1" customWidth="1"/>
    <col min="1557" max="1557" width="1.7109375" style="1" customWidth="1"/>
    <col min="1558" max="1558" width="41.5703125" style="1" customWidth="1"/>
    <col min="1559" max="1559" width="11.5703125" style="1" customWidth="1"/>
    <col min="1560" max="1560" width="23" style="1" customWidth="1"/>
    <col min="1561" max="1564" width="18.7109375" style="1" customWidth="1"/>
    <col min="1565" max="1565" width="1.7109375" style="1" customWidth="1"/>
    <col min="1566" max="1791" width="9.140625" style="1"/>
    <col min="1792" max="1792" width="40" style="1" customWidth="1"/>
    <col min="1793" max="1793" width="11.5703125" style="1" customWidth="1"/>
    <col min="1794" max="1794" width="24" style="1" customWidth="1"/>
    <col min="1795" max="1798" width="15.85546875" style="1" customWidth="1"/>
    <col min="1799" max="1799" width="1.7109375" style="1" customWidth="1"/>
    <col min="1800" max="1801" width="26" style="1" customWidth="1"/>
    <col min="1802" max="1802" width="1.7109375" style="1" customWidth="1"/>
    <col min="1803" max="1805" width="18.7109375" style="1" customWidth="1"/>
    <col min="1806" max="1806" width="1.7109375" style="1" customWidth="1"/>
    <col min="1807" max="1807" width="25.42578125" style="1" customWidth="1"/>
    <col min="1808" max="1808" width="20.7109375" style="1" customWidth="1"/>
    <col min="1809" max="1809" width="1.7109375" style="1" customWidth="1"/>
    <col min="1810" max="1811" width="25.42578125" style="1" customWidth="1"/>
    <col min="1812" max="1812" width="20.7109375" style="1" customWidth="1"/>
    <col min="1813" max="1813" width="1.7109375" style="1" customWidth="1"/>
    <col min="1814" max="1814" width="41.5703125" style="1" customWidth="1"/>
    <col min="1815" max="1815" width="11.5703125" style="1" customWidth="1"/>
    <col min="1816" max="1816" width="23" style="1" customWidth="1"/>
    <col min="1817" max="1820" width="18.7109375" style="1" customWidth="1"/>
    <col min="1821" max="1821" width="1.7109375" style="1" customWidth="1"/>
    <col min="1822" max="2047" width="9.140625" style="1"/>
    <col min="2048" max="2048" width="40" style="1" customWidth="1"/>
    <col min="2049" max="2049" width="11.5703125" style="1" customWidth="1"/>
    <col min="2050" max="2050" width="24" style="1" customWidth="1"/>
    <col min="2051" max="2054" width="15.85546875" style="1" customWidth="1"/>
    <col min="2055" max="2055" width="1.7109375" style="1" customWidth="1"/>
    <col min="2056" max="2057" width="26" style="1" customWidth="1"/>
    <col min="2058" max="2058" width="1.7109375" style="1" customWidth="1"/>
    <col min="2059" max="2061" width="18.7109375" style="1" customWidth="1"/>
    <col min="2062" max="2062" width="1.7109375" style="1" customWidth="1"/>
    <col min="2063" max="2063" width="25.42578125" style="1" customWidth="1"/>
    <col min="2064" max="2064" width="20.7109375" style="1" customWidth="1"/>
    <col min="2065" max="2065" width="1.7109375" style="1" customWidth="1"/>
    <col min="2066" max="2067" width="25.42578125" style="1" customWidth="1"/>
    <col min="2068" max="2068" width="20.7109375" style="1" customWidth="1"/>
    <col min="2069" max="2069" width="1.7109375" style="1" customWidth="1"/>
    <col min="2070" max="2070" width="41.5703125" style="1" customWidth="1"/>
    <col min="2071" max="2071" width="11.5703125" style="1" customWidth="1"/>
    <col min="2072" max="2072" width="23" style="1" customWidth="1"/>
    <col min="2073" max="2076" width="18.7109375" style="1" customWidth="1"/>
    <col min="2077" max="2077" width="1.7109375" style="1" customWidth="1"/>
    <col min="2078" max="2303" width="9.140625" style="1"/>
    <col min="2304" max="2304" width="40" style="1" customWidth="1"/>
    <col min="2305" max="2305" width="11.5703125" style="1" customWidth="1"/>
    <col min="2306" max="2306" width="24" style="1" customWidth="1"/>
    <col min="2307" max="2310" width="15.85546875" style="1" customWidth="1"/>
    <col min="2311" max="2311" width="1.7109375" style="1" customWidth="1"/>
    <col min="2312" max="2313" width="26" style="1" customWidth="1"/>
    <col min="2314" max="2314" width="1.7109375" style="1" customWidth="1"/>
    <col min="2315" max="2317" width="18.7109375" style="1" customWidth="1"/>
    <col min="2318" max="2318" width="1.7109375" style="1" customWidth="1"/>
    <col min="2319" max="2319" width="25.42578125" style="1" customWidth="1"/>
    <col min="2320" max="2320" width="20.7109375" style="1" customWidth="1"/>
    <col min="2321" max="2321" width="1.7109375" style="1" customWidth="1"/>
    <col min="2322" max="2323" width="25.42578125" style="1" customWidth="1"/>
    <col min="2324" max="2324" width="20.7109375" style="1" customWidth="1"/>
    <col min="2325" max="2325" width="1.7109375" style="1" customWidth="1"/>
    <col min="2326" max="2326" width="41.5703125" style="1" customWidth="1"/>
    <col min="2327" max="2327" width="11.5703125" style="1" customWidth="1"/>
    <col min="2328" max="2328" width="23" style="1" customWidth="1"/>
    <col min="2329" max="2332" width="18.7109375" style="1" customWidth="1"/>
    <col min="2333" max="2333" width="1.7109375" style="1" customWidth="1"/>
    <col min="2334" max="2559" width="9.140625" style="1"/>
    <col min="2560" max="2560" width="40" style="1" customWidth="1"/>
    <col min="2561" max="2561" width="11.5703125" style="1" customWidth="1"/>
    <col min="2562" max="2562" width="24" style="1" customWidth="1"/>
    <col min="2563" max="2566" width="15.85546875" style="1" customWidth="1"/>
    <col min="2567" max="2567" width="1.7109375" style="1" customWidth="1"/>
    <col min="2568" max="2569" width="26" style="1" customWidth="1"/>
    <col min="2570" max="2570" width="1.7109375" style="1" customWidth="1"/>
    <col min="2571" max="2573" width="18.7109375" style="1" customWidth="1"/>
    <col min="2574" max="2574" width="1.7109375" style="1" customWidth="1"/>
    <col min="2575" max="2575" width="25.42578125" style="1" customWidth="1"/>
    <col min="2576" max="2576" width="20.7109375" style="1" customWidth="1"/>
    <col min="2577" max="2577" width="1.7109375" style="1" customWidth="1"/>
    <col min="2578" max="2579" width="25.42578125" style="1" customWidth="1"/>
    <col min="2580" max="2580" width="20.7109375" style="1" customWidth="1"/>
    <col min="2581" max="2581" width="1.7109375" style="1" customWidth="1"/>
    <col min="2582" max="2582" width="41.5703125" style="1" customWidth="1"/>
    <col min="2583" max="2583" width="11.5703125" style="1" customWidth="1"/>
    <col min="2584" max="2584" width="23" style="1" customWidth="1"/>
    <col min="2585" max="2588" width="18.7109375" style="1" customWidth="1"/>
    <col min="2589" max="2589" width="1.7109375" style="1" customWidth="1"/>
    <col min="2590" max="2815" width="9.140625" style="1"/>
    <col min="2816" max="2816" width="40" style="1" customWidth="1"/>
    <col min="2817" max="2817" width="11.5703125" style="1" customWidth="1"/>
    <col min="2818" max="2818" width="24" style="1" customWidth="1"/>
    <col min="2819" max="2822" width="15.85546875" style="1" customWidth="1"/>
    <col min="2823" max="2823" width="1.7109375" style="1" customWidth="1"/>
    <col min="2824" max="2825" width="26" style="1" customWidth="1"/>
    <col min="2826" max="2826" width="1.7109375" style="1" customWidth="1"/>
    <col min="2827" max="2829" width="18.7109375" style="1" customWidth="1"/>
    <col min="2830" max="2830" width="1.7109375" style="1" customWidth="1"/>
    <col min="2831" max="2831" width="25.42578125" style="1" customWidth="1"/>
    <col min="2832" max="2832" width="20.7109375" style="1" customWidth="1"/>
    <col min="2833" max="2833" width="1.7109375" style="1" customWidth="1"/>
    <col min="2834" max="2835" width="25.42578125" style="1" customWidth="1"/>
    <col min="2836" max="2836" width="20.7109375" style="1" customWidth="1"/>
    <col min="2837" max="2837" width="1.7109375" style="1" customWidth="1"/>
    <col min="2838" max="2838" width="41.5703125" style="1" customWidth="1"/>
    <col min="2839" max="2839" width="11.5703125" style="1" customWidth="1"/>
    <col min="2840" max="2840" width="23" style="1" customWidth="1"/>
    <col min="2841" max="2844" width="18.7109375" style="1" customWidth="1"/>
    <col min="2845" max="2845" width="1.7109375" style="1" customWidth="1"/>
    <col min="2846" max="3071" width="9.140625" style="1"/>
    <col min="3072" max="3072" width="40" style="1" customWidth="1"/>
    <col min="3073" max="3073" width="11.5703125" style="1" customWidth="1"/>
    <col min="3074" max="3074" width="24" style="1" customWidth="1"/>
    <col min="3075" max="3078" width="15.85546875" style="1" customWidth="1"/>
    <col min="3079" max="3079" width="1.7109375" style="1" customWidth="1"/>
    <col min="3080" max="3081" width="26" style="1" customWidth="1"/>
    <col min="3082" max="3082" width="1.7109375" style="1" customWidth="1"/>
    <col min="3083" max="3085" width="18.7109375" style="1" customWidth="1"/>
    <col min="3086" max="3086" width="1.7109375" style="1" customWidth="1"/>
    <col min="3087" max="3087" width="25.42578125" style="1" customWidth="1"/>
    <col min="3088" max="3088" width="20.7109375" style="1" customWidth="1"/>
    <col min="3089" max="3089" width="1.7109375" style="1" customWidth="1"/>
    <col min="3090" max="3091" width="25.42578125" style="1" customWidth="1"/>
    <col min="3092" max="3092" width="20.7109375" style="1" customWidth="1"/>
    <col min="3093" max="3093" width="1.7109375" style="1" customWidth="1"/>
    <col min="3094" max="3094" width="41.5703125" style="1" customWidth="1"/>
    <col min="3095" max="3095" width="11.5703125" style="1" customWidth="1"/>
    <col min="3096" max="3096" width="23" style="1" customWidth="1"/>
    <col min="3097" max="3100" width="18.7109375" style="1" customWidth="1"/>
    <col min="3101" max="3101" width="1.7109375" style="1" customWidth="1"/>
    <col min="3102" max="3327" width="9.140625" style="1"/>
    <col min="3328" max="3328" width="40" style="1" customWidth="1"/>
    <col min="3329" max="3329" width="11.5703125" style="1" customWidth="1"/>
    <col min="3330" max="3330" width="24" style="1" customWidth="1"/>
    <col min="3331" max="3334" width="15.85546875" style="1" customWidth="1"/>
    <col min="3335" max="3335" width="1.7109375" style="1" customWidth="1"/>
    <col min="3336" max="3337" width="26" style="1" customWidth="1"/>
    <col min="3338" max="3338" width="1.7109375" style="1" customWidth="1"/>
    <col min="3339" max="3341" width="18.7109375" style="1" customWidth="1"/>
    <col min="3342" max="3342" width="1.7109375" style="1" customWidth="1"/>
    <col min="3343" max="3343" width="25.42578125" style="1" customWidth="1"/>
    <col min="3344" max="3344" width="20.7109375" style="1" customWidth="1"/>
    <col min="3345" max="3345" width="1.7109375" style="1" customWidth="1"/>
    <col min="3346" max="3347" width="25.42578125" style="1" customWidth="1"/>
    <col min="3348" max="3348" width="20.7109375" style="1" customWidth="1"/>
    <col min="3349" max="3349" width="1.7109375" style="1" customWidth="1"/>
    <col min="3350" max="3350" width="41.5703125" style="1" customWidth="1"/>
    <col min="3351" max="3351" width="11.5703125" style="1" customWidth="1"/>
    <col min="3352" max="3352" width="23" style="1" customWidth="1"/>
    <col min="3353" max="3356" width="18.7109375" style="1" customWidth="1"/>
    <col min="3357" max="3357" width="1.7109375" style="1" customWidth="1"/>
    <col min="3358" max="3583" width="9.140625" style="1"/>
    <col min="3584" max="3584" width="40" style="1" customWidth="1"/>
    <col min="3585" max="3585" width="11.5703125" style="1" customWidth="1"/>
    <col min="3586" max="3586" width="24" style="1" customWidth="1"/>
    <col min="3587" max="3590" width="15.85546875" style="1" customWidth="1"/>
    <col min="3591" max="3591" width="1.7109375" style="1" customWidth="1"/>
    <col min="3592" max="3593" width="26" style="1" customWidth="1"/>
    <col min="3594" max="3594" width="1.7109375" style="1" customWidth="1"/>
    <col min="3595" max="3597" width="18.7109375" style="1" customWidth="1"/>
    <col min="3598" max="3598" width="1.7109375" style="1" customWidth="1"/>
    <col min="3599" max="3599" width="25.42578125" style="1" customWidth="1"/>
    <col min="3600" max="3600" width="20.7109375" style="1" customWidth="1"/>
    <col min="3601" max="3601" width="1.7109375" style="1" customWidth="1"/>
    <col min="3602" max="3603" width="25.42578125" style="1" customWidth="1"/>
    <col min="3604" max="3604" width="20.7109375" style="1" customWidth="1"/>
    <col min="3605" max="3605" width="1.7109375" style="1" customWidth="1"/>
    <col min="3606" max="3606" width="41.5703125" style="1" customWidth="1"/>
    <col min="3607" max="3607" width="11.5703125" style="1" customWidth="1"/>
    <col min="3608" max="3608" width="23" style="1" customWidth="1"/>
    <col min="3609" max="3612" width="18.7109375" style="1" customWidth="1"/>
    <col min="3613" max="3613" width="1.7109375" style="1" customWidth="1"/>
    <col min="3614" max="3839" width="9.140625" style="1"/>
    <col min="3840" max="3840" width="40" style="1" customWidth="1"/>
    <col min="3841" max="3841" width="11.5703125" style="1" customWidth="1"/>
    <col min="3842" max="3842" width="24" style="1" customWidth="1"/>
    <col min="3843" max="3846" width="15.85546875" style="1" customWidth="1"/>
    <col min="3847" max="3847" width="1.7109375" style="1" customWidth="1"/>
    <col min="3848" max="3849" width="26" style="1" customWidth="1"/>
    <col min="3850" max="3850" width="1.7109375" style="1" customWidth="1"/>
    <col min="3851" max="3853" width="18.7109375" style="1" customWidth="1"/>
    <col min="3854" max="3854" width="1.7109375" style="1" customWidth="1"/>
    <col min="3855" max="3855" width="25.42578125" style="1" customWidth="1"/>
    <col min="3856" max="3856" width="20.7109375" style="1" customWidth="1"/>
    <col min="3857" max="3857" width="1.7109375" style="1" customWidth="1"/>
    <col min="3858" max="3859" width="25.42578125" style="1" customWidth="1"/>
    <col min="3860" max="3860" width="20.7109375" style="1" customWidth="1"/>
    <col min="3861" max="3861" width="1.7109375" style="1" customWidth="1"/>
    <col min="3862" max="3862" width="41.5703125" style="1" customWidth="1"/>
    <col min="3863" max="3863" width="11.5703125" style="1" customWidth="1"/>
    <col min="3864" max="3864" width="23" style="1" customWidth="1"/>
    <col min="3865" max="3868" width="18.7109375" style="1" customWidth="1"/>
    <col min="3869" max="3869" width="1.7109375" style="1" customWidth="1"/>
    <col min="3870" max="4095" width="9.140625" style="1"/>
    <col min="4096" max="4096" width="40" style="1" customWidth="1"/>
    <col min="4097" max="4097" width="11.5703125" style="1" customWidth="1"/>
    <col min="4098" max="4098" width="24" style="1" customWidth="1"/>
    <col min="4099" max="4102" width="15.85546875" style="1" customWidth="1"/>
    <col min="4103" max="4103" width="1.7109375" style="1" customWidth="1"/>
    <col min="4104" max="4105" width="26" style="1" customWidth="1"/>
    <col min="4106" max="4106" width="1.7109375" style="1" customWidth="1"/>
    <col min="4107" max="4109" width="18.7109375" style="1" customWidth="1"/>
    <col min="4110" max="4110" width="1.7109375" style="1" customWidth="1"/>
    <col min="4111" max="4111" width="25.42578125" style="1" customWidth="1"/>
    <col min="4112" max="4112" width="20.7109375" style="1" customWidth="1"/>
    <col min="4113" max="4113" width="1.7109375" style="1" customWidth="1"/>
    <col min="4114" max="4115" width="25.42578125" style="1" customWidth="1"/>
    <col min="4116" max="4116" width="20.7109375" style="1" customWidth="1"/>
    <col min="4117" max="4117" width="1.7109375" style="1" customWidth="1"/>
    <col min="4118" max="4118" width="41.5703125" style="1" customWidth="1"/>
    <col min="4119" max="4119" width="11.5703125" style="1" customWidth="1"/>
    <col min="4120" max="4120" width="23" style="1" customWidth="1"/>
    <col min="4121" max="4124" width="18.7109375" style="1" customWidth="1"/>
    <col min="4125" max="4125" width="1.7109375" style="1" customWidth="1"/>
    <col min="4126" max="4351" width="9.140625" style="1"/>
    <col min="4352" max="4352" width="40" style="1" customWidth="1"/>
    <col min="4353" max="4353" width="11.5703125" style="1" customWidth="1"/>
    <col min="4354" max="4354" width="24" style="1" customWidth="1"/>
    <col min="4355" max="4358" width="15.85546875" style="1" customWidth="1"/>
    <col min="4359" max="4359" width="1.7109375" style="1" customWidth="1"/>
    <col min="4360" max="4361" width="26" style="1" customWidth="1"/>
    <col min="4362" max="4362" width="1.7109375" style="1" customWidth="1"/>
    <col min="4363" max="4365" width="18.7109375" style="1" customWidth="1"/>
    <col min="4366" max="4366" width="1.7109375" style="1" customWidth="1"/>
    <col min="4367" max="4367" width="25.42578125" style="1" customWidth="1"/>
    <col min="4368" max="4368" width="20.7109375" style="1" customWidth="1"/>
    <col min="4369" max="4369" width="1.7109375" style="1" customWidth="1"/>
    <col min="4370" max="4371" width="25.42578125" style="1" customWidth="1"/>
    <col min="4372" max="4372" width="20.7109375" style="1" customWidth="1"/>
    <col min="4373" max="4373" width="1.7109375" style="1" customWidth="1"/>
    <col min="4374" max="4374" width="41.5703125" style="1" customWidth="1"/>
    <col min="4375" max="4375" width="11.5703125" style="1" customWidth="1"/>
    <col min="4376" max="4376" width="23" style="1" customWidth="1"/>
    <col min="4377" max="4380" width="18.7109375" style="1" customWidth="1"/>
    <col min="4381" max="4381" width="1.7109375" style="1" customWidth="1"/>
    <col min="4382" max="4607" width="9.140625" style="1"/>
    <col min="4608" max="4608" width="40" style="1" customWidth="1"/>
    <col min="4609" max="4609" width="11.5703125" style="1" customWidth="1"/>
    <col min="4610" max="4610" width="24" style="1" customWidth="1"/>
    <col min="4611" max="4614" width="15.85546875" style="1" customWidth="1"/>
    <col min="4615" max="4615" width="1.7109375" style="1" customWidth="1"/>
    <col min="4616" max="4617" width="26" style="1" customWidth="1"/>
    <col min="4618" max="4618" width="1.7109375" style="1" customWidth="1"/>
    <col min="4619" max="4621" width="18.7109375" style="1" customWidth="1"/>
    <col min="4622" max="4622" width="1.7109375" style="1" customWidth="1"/>
    <col min="4623" max="4623" width="25.42578125" style="1" customWidth="1"/>
    <col min="4624" max="4624" width="20.7109375" style="1" customWidth="1"/>
    <col min="4625" max="4625" width="1.7109375" style="1" customWidth="1"/>
    <col min="4626" max="4627" width="25.42578125" style="1" customWidth="1"/>
    <col min="4628" max="4628" width="20.7109375" style="1" customWidth="1"/>
    <col min="4629" max="4629" width="1.7109375" style="1" customWidth="1"/>
    <col min="4630" max="4630" width="41.5703125" style="1" customWidth="1"/>
    <col min="4631" max="4631" width="11.5703125" style="1" customWidth="1"/>
    <col min="4632" max="4632" width="23" style="1" customWidth="1"/>
    <col min="4633" max="4636" width="18.7109375" style="1" customWidth="1"/>
    <col min="4637" max="4637" width="1.7109375" style="1" customWidth="1"/>
    <col min="4638" max="4863" width="9.140625" style="1"/>
    <col min="4864" max="4864" width="40" style="1" customWidth="1"/>
    <col min="4865" max="4865" width="11.5703125" style="1" customWidth="1"/>
    <col min="4866" max="4866" width="24" style="1" customWidth="1"/>
    <col min="4867" max="4870" width="15.85546875" style="1" customWidth="1"/>
    <col min="4871" max="4871" width="1.7109375" style="1" customWidth="1"/>
    <col min="4872" max="4873" width="26" style="1" customWidth="1"/>
    <col min="4874" max="4874" width="1.7109375" style="1" customWidth="1"/>
    <col min="4875" max="4877" width="18.7109375" style="1" customWidth="1"/>
    <col min="4878" max="4878" width="1.7109375" style="1" customWidth="1"/>
    <col min="4879" max="4879" width="25.42578125" style="1" customWidth="1"/>
    <col min="4880" max="4880" width="20.7109375" style="1" customWidth="1"/>
    <col min="4881" max="4881" width="1.7109375" style="1" customWidth="1"/>
    <col min="4882" max="4883" width="25.42578125" style="1" customWidth="1"/>
    <col min="4884" max="4884" width="20.7109375" style="1" customWidth="1"/>
    <col min="4885" max="4885" width="1.7109375" style="1" customWidth="1"/>
    <col min="4886" max="4886" width="41.5703125" style="1" customWidth="1"/>
    <col min="4887" max="4887" width="11.5703125" style="1" customWidth="1"/>
    <col min="4888" max="4888" width="23" style="1" customWidth="1"/>
    <col min="4889" max="4892" width="18.7109375" style="1" customWidth="1"/>
    <col min="4893" max="4893" width="1.7109375" style="1" customWidth="1"/>
    <col min="4894" max="5119" width="9.140625" style="1"/>
    <col min="5120" max="5120" width="40" style="1" customWidth="1"/>
    <col min="5121" max="5121" width="11.5703125" style="1" customWidth="1"/>
    <col min="5122" max="5122" width="24" style="1" customWidth="1"/>
    <col min="5123" max="5126" width="15.85546875" style="1" customWidth="1"/>
    <col min="5127" max="5127" width="1.7109375" style="1" customWidth="1"/>
    <col min="5128" max="5129" width="26" style="1" customWidth="1"/>
    <col min="5130" max="5130" width="1.7109375" style="1" customWidth="1"/>
    <col min="5131" max="5133" width="18.7109375" style="1" customWidth="1"/>
    <col min="5134" max="5134" width="1.7109375" style="1" customWidth="1"/>
    <col min="5135" max="5135" width="25.42578125" style="1" customWidth="1"/>
    <col min="5136" max="5136" width="20.7109375" style="1" customWidth="1"/>
    <col min="5137" max="5137" width="1.7109375" style="1" customWidth="1"/>
    <col min="5138" max="5139" width="25.42578125" style="1" customWidth="1"/>
    <col min="5140" max="5140" width="20.7109375" style="1" customWidth="1"/>
    <col min="5141" max="5141" width="1.7109375" style="1" customWidth="1"/>
    <col min="5142" max="5142" width="41.5703125" style="1" customWidth="1"/>
    <col min="5143" max="5143" width="11.5703125" style="1" customWidth="1"/>
    <col min="5144" max="5144" width="23" style="1" customWidth="1"/>
    <col min="5145" max="5148" width="18.7109375" style="1" customWidth="1"/>
    <col min="5149" max="5149" width="1.7109375" style="1" customWidth="1"/>
    <col min="5150" max="5375" width="9.140625" style="1"/>
    <col min="5376" max="5376" width="40" style="1" customWidth="1"/>
    <col min="5377" max="5377" width="11.5703125" style="1" customWidth="1"/>
    <col min="5378" max="5378" width="24" style="1" customWidth="1"/>
    <col min="5379" max="5382" width="15.85546875" style="1" customWidth="1"/>
    <col min="5383" max="5383" width="1.7109375" style="1" customWidth="1"/>
    <col min="5384" max="5385" width="26" style="1" customWidth="1"/>
    <col min="5386" max="5386" width="1.7109375" style="1" customWidth="1"/>
    <col min="5387" max="5389" width="18.7109375" style="1" customWidth="1"/>
    <col min="5390" max="5390" width="1.7109375" style="1" customWidth="1"/>
    <col min="5391" max="5391" width="25.42578125" style="1" customWidth="1"/>
    <col min="5392" max="5392" width="20.7109375" style="1" customWidth="1"/>
    <col min="5393" max="5393" width="1.7109375" style="1" customWidth="1"/>
    <col min="5394" max="5395" width="25.42578125" style="1" customWidth="1"/>
    <col min="5396" max="5396" width="20.7109375" style="1" customWidth="1"/>
    <col min="5397" max="5397" width="1.7109375" style="1" customWidth="1"/>
    <col min="5398" max="5398" width="41.5703125" style="1" customWidth="1"/>
    <col min="5399" max="5399" width="11.5703125" style="1" customWidth="1"/>
    <col min="5400" max="5400" width="23" style="1" customWidth="1"/>
    <col min="5401" max="5404" width="18.7109375" style="1" customWidth="1"/>
    <col min="5405" max="5405" width="1.7109375" style="1" customWidth="1"/>
    <col min="5406" max="5631" width="9.140625" style="1"/>
    <col min="5632" max="5632" width="40" style="1" customWidth="1"/>
    <col min="5633" max="5633" width="11.5703125" style="1" customWidth="1"/>
    <col min="5634" max="5634" width="24" style="1" customWidth="1"/>
    <col min="5635" max="5638" width="15.85546875" style="1" customWidth="1"/>
    <col min="5639" max="5639" width="1.7109375" style="1" customWidth="1"/>
    <col min="5640" max="5641" width="26" style="1" customWidth="1"/>
    <col min="5642" max="5642" width="1.7109375" style="1" customWidth="1"/>
    <col min="5643" max="5645" width="18.7109375" style="1" customWidth="1"/>
    <col min="5646" max="5646" width="1.7109375" style="1" customWidth="1"/>
    <col min="5647" max="5647" width="25.42578125" style="1" customWidth="1"/>
    <col min="5648" max="5648" width="20.7109375" style="1" customWidth="1"/>
    <col min="5649" max="5649" width="1.7109375" style="1" customWidth="1"/>
    <col min="5650" max="5651" width="25.42578125" style="1" customWidth="1"/>
    <col min="5652" max="5652" width="20.7109375" style="1" customWidth="1"/>
    <col min="5653" max="5653" width="1.7109375" style="1" customWidth="1"/>
    <col min="5654" max="5654" width="41.5703125" style="1" customWidth="1"/>
    <col min="5655" max="5655" width="11.5703125" style="1" customWidth="1"/>
    <col min="5656" max="5656" width="23" style="1" customWidth="1"/>
    <col min="5657" max="5660" width="18.7109375" style="1" customWidth="1"/>
    <col min="5661" max="5661" width="1.7109375" style="1" customWidth="1"/>
    <col min="5662" max="5887" width="9.140625" style="1"/>
    <col min="5888" max="5888" width="40" style="1" customWidth="1"/>
    <col min="5889" max="5889" width="11.5703125" style="1" customWidth="1"/>
    <col min="5890" max="5890" width="24" style="1" customWidth="1"/>
    <col min="5891" max="5894" width="15.85546875" style="1" customWidth="1"/>
    <col min="5895" max="5895" width="1.7109375" style="1" customWidth="1"/>
    <col min="5896" max="5897" width="26" style="1" customWidth="1"/>
    <col min="5898" max="5898" width="1.7109375" style="1" customWidth="1"/>
    <col min="5899" max="5901" width="18.7109375" style="1" customWidth="1"/>
    <col min="5902" max="5902" width="1.7109375" style="1" customWidth="1"/>
    <col min="5903" max="5903" width="25.42578125" style="1" customWidth="1"/>
    <col min="5904" max="5904" width="20.7109375" style="1" customWidth="1"/>
    <col min="5905" max="5905" width="1.7109375" style="1" customWidth="1"/>
    <col min="5906" max="5907" width="25.42578125" style="1" customWidth="1"/>
    <col min="5908" max="5908" width="20.7109375" style="1" customWidth="1"/>
    <col min="5909" max="5909" width="1.7109375" style="1" customWidth="1"/>
    <col min="5910" max="5910" width="41.5703125" style="1" customWidth="1"/>
    <col min="5911" max="5911" width="11.5703125" style="1" customWidth="1"/>
    <col min="5912" max="5912" width="23" style="1" customWidth="1"/>
    <col min="5913" max="5916" width="18.7109375" style="1" customWidth="1"/>
    <col min="5917" max="5917" width="1.7109375" style="1" customWidth="1"/>
    <col min="5918" max="6143" width="9.140625" style="1"/>
    <col min="6144" max="6144" width="40" style="1" customWidth="1"/>
    <col min="6145" max="6145" width="11.5703125" style="1" customWidth="1"/>
    <col min="6146" max="6146" width="24" style="1" customWidth="1"/>
    <col min="6147" max="6150" width="15.85546875" style="1" customWidth="1"/>
    <col min="6151" max="6151" width="1.7109375" style="1" customWidth="1"/>
    <col min="6152" max="6153" width="26" style="1" customWidth="1"/>
    <col min="6154" max="6154" width="1.7109375" style="1" customWidth="1"/>
    <col min="6155" max="6157" width="18.7109375" style="1" customWidth="1"/>
    <col min="6158" max="6158" width="1.7109375" style="1" customWidth="1"/>
    <col min="6159" max="6159" width="25.42578125" style="1" customWidth="1"/>
    <col min="6160" max="6160" width="20.7109375" style="1" customWidth="1"/>
    <col min="6161" max="6161" width="1.7109375" style="1" customWidth="1"/>
    <col min="6162" max="6163" width="25.42578125" style="1" customWidth="1"/>
    <col min="6164" max="6164" width="20.7109375" style="1" customWidth="1"/>
    <col min="6165" max="6165" width="1.7109375" style="1" customWidth="1"/>
    <col min="6166" max="6166" width="41.5703125" style="1" customWidth="1"/>
    <col min="6167" max="6167" width="11.5703125" style="1" customWidth="1"/>
    <col min="6168" max="6168" width="23" style="1" customWidth="1"/>
    <col min="6169" max="6172" width="18.7109375" style="1" customWidth="1"/>
    <col min="6173" max="6173" width="1.7109375" style="1" customWidth="1"/>
    <col min="6174" max="6399" width="9.140625" style="1"/>
    <col min="6400" max="6400" width="40" style="1" customWidth="1"/>
    <col min="6401" max="6401" width="11.5703125" style="1" customWidth="1"/>
    <col min="6402" max="6402" width="24" style="1" customWidth="1"/>
    <col min="6403" max="6406" width="15.85546875" style="1" customWidth="1"/>
    <col min="6407" max="6407" width="1.7109375" style="1" customWidth="1"/>
    <col min="6408" max="6409" width="26" style="1" customWidth="1"/>
    <col min="6410" max="6410" width="1.7109375" style="1" customWidth="1"/>
    <col min="6411" max="6413" width="18.7109375" style="1" customWidth="1"/>
    <col min="6414" max="6414" width="1.7109375" style="1" customWidth="1"/>
    <col min="6415" max="6415" width="25.42578125" style="1" customWidth="1"/>
    <col min="6416" max="6416" width="20.7109375" style="1" customWidth="1"/>
    <col min="6417" max="6417" width="1.7109375" style="1" customWidth="1"/>
    <col min="6418" max="6419" width="25.42578125" style="1" customWidth="1"/>
    <col min="6420" max="6420" width="20.7109375" style="1" customWidth="1"/>
    <col min="6421" max="6421" width="1.7109375" style="1" customWidth="1"/>
    <col min="6422" max="6422" width="41.5703125" style="1" customWidth="1"/>
    <col min="6423" max="6423" width="11.5703125" style="1" customWidth="1"/>
    <col min="6424" max="6424" width="23" style="1" customWidth="1"/>
    <col min="6425" max="6428" width="18.7109375" style="1" customWidth="1"/>
    <col min="6429" max="6429" width="1.7109375" style="1" customWidth="1"/>
    <col min="6430" max="6655" width="9.140625" style="1"/>
    <col min="6656" max="6656" width="40" style="1" customWidth="1"/>
    <col min="6657" max="6657" width="11.5703125" style="1" customWidth="1"/>
    <col min="6658" max="6658" width="24" style="1" customWidth="1"/>
    <col min="6659" max="6662" width="15.85546875" style="1" customWidth="1"/>
    <col min="6663" max="6663" width="1.7109375" style="1" customWidth="1"/>
    <col min="6664" max="6665" width="26" style="1" customWidth="1"/>
    <col min="6666" max="6666" width="1.7109375" style="1" customWidth="1"/>
    <col min="6667" max="6669" width="18.7109375" style="1" customWidth="1"/>
    <col min="6670" max="6670" width="1.7109375" style="1" customWidth="1"/>
    <col min="6671" max="6671" width="25.42578125" style="1" customWidth="1"/>
    <col min="6672" max="6672" width="20.7109375" style="1" customWidth="1"/>
    <col min="6673" max="6673" width="1.7109375" style="1" customWidth="1"/>
    <col min="6674" max="6675" width="25.42578125" style="1" customWidth="1"/>
    <col min="6676" max="6676" width="20.7109375" style="1" customWidth="1"/>
    <col min="6677" max="6677" width="1.7109375" style="1" customWidth="1"/>
    <col min="6678" max="6678" width="41.5703125" style="1" customWidth="1"/>
    <col min="6679" max="6679" width="11.5703125" style="1" customWidth="1"/>
    <col min="6680" max="6680" width="23" style="1" customWidth="1"/>
    <col min="6681" max="6684" width="18.7109375" style="1" customWidth="1"/>
    <col min="6685" max="6685" width="1.7109375" style="1" customWidth="1"/>
    <col min="6686" max="6911" width="9.140625" style="1"/>
    <col min="6912" max="6912" width="40" style="1" customWidth="1"/>
    <col min="6913" max="6913" width="11.5703125" style="1" customWidth="1"/>
    <col min="6914" max="6914" width="24" style="1" customWidth="1"/>
    <col min="6915" max="6918" width="15.85546875" style="1" customWidth="1"/>
    <col min="6919" max="6919" width="1.7109375" style="1" customWidth="1"/>
    <col min="6920" max="6921" width="26" style="1" customWidth="1"/>
    <col min="6922" max="6922" width="1.7109375" style="1" customWidth="1"/>
    <col min="6923" max="6925" width="18.7109375" style="1" customWidth="1"/>
    <col min="6926" max="6926" width="1.7109375" style="1" customWidth="1"/>
    <col min="6927" max="6927" width="25.42578125" style="1" customWidth="1"/>
    <col min="6928" max="6928" width="20.7109375" style="1" customWidth="1"/>
    <col min="6929" max="6929" width="1.7109375" style="1" customWidth="1"/>
    <col min="6930" max="6931" width="25.42578125" style="1" customWidth="1"/>
    <col min="6932" max="6932" width="20.7109375" style="1" customWidth="1"/>
    <col min="6933" max="6933" width="1.7109375" style="1" customWidth="1"/>
    <col min="6934" max="6934" width="41.5703125" style="1" customWidth="1"/>
    <col min="6935" max="6935" width="11.5703125" style="1" customWidth="1"/>
    <col min="6936" max="6936" width="23" style="1" customWidth="1"/>
    <col min="6937" max="6940" width="18.7109375" style="1" customWidth="1"/>
    <col min="6941" max="6941" width="1.7109375" style="1" customWidth="1"/>
    <col min="6942" max="7167" width="9.140625" style="1"/>
    <col min="7168" max="7168" width="40" style="1" customWidth="1"/>
    <col min="7169" max="7169" width="11.5703125" style="1" customWidth="1"/>
    <col min="7170" max="7170" width="24" style="1" customWidth="1"/>
    <col min="7171" max="7174" width="15.85546875" style="1" customWidth="1"/>
    <col min="7175" max="7175" width="1.7109375" style="1" customWidth="1"/>
    <col min="7176" max="7177" width="26" style="1" customWidth="1"/>
    <col min="7178" max="7178" width="1.7109375" style="1" customWidth="1"/>
    <col min="7179" max="7181" width="18.7109375" style="1" customWidth="1"/>
    <col min="7182" max="7182" width="1.7109375" style="1" customWidth="1"/>
    <col min="7183" max="7183" width="25.42578125" style="1" customWidth="1"/>
    <col min="7184" max="7184" width="20.7109375" style="1" customWidth="1"/>
    <col min="7185" max="7185" width="1.7109375" style="1" customWidth="1"/>
    <col min="7186" max="7187" width="25.42578125" style="1" customWidth="1"/>
    <col min="7188" max="7188" width="20.7109375" style="1" customWidth="1"/>
    <col min="7189" max="7189" width="1.7109375" style="1" customWidth="1"/>
    <col min="7190" max="7190" width="41.5703125" style="1" customWidth="1"/>
    <col min="7191" max="7191" width="11.5703125" style="1" customWidth="1"/>
    <col min="7192" max="7192" width="23" style="1" customWidth="1"/>
    <col min="7193" max="7196" width="18.7109375" style="1" customWidth="1"/>
    <col min="7197" max="7197" width="1.7109375" style="1" customWidth="1"/>
    <col min="7198" max="7423" width="9.140625" style="1"/>
    <col min="7424" max="7424" width="40" style="1" customWidth="1"/>
    <col min="7425" max="7425" width="11.5703125" style="1" customWidth="1"/>
    <col min="7426" max="7426" width="24" style="1" customWidth="1"/>
    <col min="7427" max="7430" width="15.85546875" style="1" customWidth="1"/>
    <col min="7431" max="7431" width="1.7109375" style="1" customWidth="1"/>
    <col min="7432" max="7433" width="26" style="1" customWidth="1"/>
    <col min="7434" max="7434" width="1.7109375" style="1" customWidth="1"/>
    <col min="7435" max="7437" width="18.7109375" style="1" customWidth="1"/>
    <col min="7438" max="7438" width="1.7109375" style="1" customWidth="1"/>
    <col min="7439" max="7439" width="25.42578125" style="1" customWidth="1"/>
    <col min="7440" max="7440" width="20.7109375" style="1" customWidth="1"/>
    <col min="7441" max="7441" width="1.7109375" style="1" customWidth="1"/>
    <col min="7442" max="7443" width="25.42578125" style="1" customWidth="1"/>
    <col min="7444" max="7444" width="20.7109375" style="1" customWidth="1"/>
    <col min="7445" max="7445" width="1.7109375" style="1" customWidth="1"/>
    <col min="7446" max="7446" width="41.5703125" style="1" customWidth="1"/>
    <col min="7447" max="7447" width="11.5703125" style="1" customWidth="1"/>
    <col min="7448" max="7448" width="23" style="1" customWidth="1"/>
    <col min="7449" max="7452" width="18.7109375" style="1" customWidth="1"/>
    <col min="7453" max="7453" width="1.7109375" style="1" customWidth="1"/>
    <col min="7454" max="7679" width="9.140625" style="1"/>
    <col min="7680" max="7680" width="40" style="1" customWidth="1"/>
    <col min="7681" max="7681" width="11.5703125" style="1" customWidth="1"/>
    <col min="7682" max="7682" width="24" style="1" customWidth="1"/>
    <col min="7683" max="7686" width="15.85546875" style="1" customWidth="1"/>
    <col min="7687" max="7687" width="1.7109375" style="1" customWidth="1"/>
    <col min="7688" max="7689" width="26" style="1" customWidth="1"/>
    <col min="7690" max="7690" width="1.7109375" style="1" customWidth="1"/>
    <col min="7691" max="7693" width="18.7109375" style="1" customWidth="1"/>
    <col min="7694" max="7694" width="1.7109375" style="1" customWidth="1"/>
    <col min="7695" max="7695" width="25.42578125" style="1" customWidth="1"/>
    <col min="7696" max="7696" width="20.7109375" style="1" customWidth="1"/>
    <col min="7697" max="7697" width="1.7109375" style="1" customWidth="1"/>
    <col min="7698" max="7699" width="25.42578125" style="1" customWidth="1"/>
    <col min="7700" max="7700" width="20.7109375" style="1" customWidth="1"/>
    <col min="7701" max="7701" width="1.7109375" style="1" customWidth="1"/>
    <col min="7702" max="7702" width="41.5703125" style="1" customWidth="1"/>
    <col min="7703" max="7703" width="11.5703125" style="1" customWidth="1"/>
    <col min="7704" max="7704" width="23" style="1" customWidth="1"/>
    <col min="7705" max="7708" width="18.7109375" style="1" customWidth="1"/>
    <col min="7709" max="7709" width="1.7109375" style="1" customWidth="1"/>
    <col min="7710" max="7935" width="9.140625" style="1"/>
    <col min="7936" max="7936" width="40" style="1" customWidth="1"/>
    <col min="7937" max="7937" width="11.5703125" style="1" customWidth="1"/>
    <col min="7938" max="7938" width="24" style="1" customWidth="1"/>
    <col min="7939" max="7942" width="15.85546875" style="1" customWidth="1"/>
    <col min="7943" max="7943" width="1.7109375" style="1" customWidth="1"/>
    <col min="7944" max="7945" width="26" style="1" customWidth="1"/>
    <col min="7946" max="7946" width="1.7109375" style="1" customWidth="1"/>
    <col min="7947" max="7949" width="18.7109375" style="1" customWidth="1"/>
    <col min="7950" max="7950" width="1.7109375" style="1" customWidth="1"/>
    <col min="7951" max="7951" width="25.42578125" style="1" customWidth="1"/>
    <col min="7952" max="7952" width="20.7109375" style="1" customWidth="1"/>
    <col min="7953" max="7953" width="1.7109375" style="1" customWidth="1"/>
    <col min="7954" max="7955" width="25.42578125" style="1" customWidth="1"/>
    <col min="7956" max="7956" width="20.7109375" style="1" customWidth="1"/>
    <col min="7957" max="7957" width="1.7109375" style="1" customWidth="1"/>
    <col min="7958" max="7958" width="41.5703125" style="1" customWidth="1"/>
    <col min="7959" max="7959" width="11.5703125" style="1" customWidth="1"/>
    <col min="7960" max="7960" width="23" style="1" customWidth="1"/>
    <col min="7961" max="7964" width="18.7109375" style="1" customWidth="1"/>
    <col min="7965" max="7965" width="1.7109375" style="1" customWidth="1"/>
    <col min="7966" max="8191" width="9.140625" style="1"/>
    <col min="8192" max="8192" width="40" style="1" customWidth="1"/>
    <col min="8193" max="8193" width="11.5703125" style="1" customWidth="1"/>
    <col min="8194" max="8194" width="24" style="1" customWidth="1"/>
    <col min="8195" max="8198" width="15.85546875" style="1" customWidth="1"/>
    <col min="8199" max="8199" width="1.7109375" style="1" customWidth="1"/>
    <col min="8200" max="8201" width="26" style="1" customWidth="1"/>
    <col min="8202" max="8202" width="1.7109375" style="1" customWidth="1"/>
    <col min="8203" max="8205" width="18.7109375" style="1" customWidth="1"/>
    <col min="8206" max="8206" width="1.7109375" style="1" customWidth="1"/>
    <col min="8207" max="8207" width="25.42578125" style="1" customWidth="1"/>
    <col min="8208" max="8208" width="20.7109375" style="1" customWidth="1"/>
    <col min="8209" max="8209" width="1.7109375" style="1" customWidth="1"/>
    <col min="8210" max="8211" width="25.42578125" style="1" customWidth="1"/>
    <col min="8212" max="8212" width="20.7109375" style="1" customWidth="1"/>
    <col min="8213" max="8213" width="1.7109375" style="1" customWidth="1"/>
    <col min="8214" max="8214" width="41.5703125" style="1" customWidth="1"/>
    <col min="8215" max="8215" width="11.5703125" style="1" customWidth="1"/>
    <col min="8216" max="8216" width="23" style="1" customWidth="1"/>
    <col min="8217" max="8220" width="18.7109375" style="1" customWidth="1"/>
    <col min="8221" max="8221" width="1.7109375" style="1" customWidth="1"/>
    <col min="8222" max="8447" width="9.140625" style="1"/>
    <col min="8448" max="8448" width="40" style="1" customWidth="1"/>
    <col min="8449" max="8449" width="11.5703125" style="1" customWidth="1"/>
    <col min="8450" max="8450" width="24" style="1" customWidth="1"/>
    <col min="8451" max="8454" width="15.85546875" style="1" customWidth="1"/>
    <col min="8455" max="8455" width="1.7109375" style="1" customWidth="1"/>
    <col min="8456" max="8457" width="26" style="1" customWidth="1"/>
    <col min="8458" max="8458" width="1.7109375" style="1" customWidth="1"/>
    <col min="8459" max="8461" width="18.7109375" style="1" customWidth="1"/>
    <col min="8462" max="8462" width="1.7109375" style="1" customWidth="1"/>
    <col min="8463" max="8463" width="25.42578125" style="1" customWidth="1"/>
    <col min="8464" max="8464" width="20.7109375" style="1" customWidth="1"/>
    <col min="8465" max="8465" width="1.7109375" style="1" customWidth="1"/>
    <col min="8466" max="8467" width="25.42578125" style="1" customWidth="1"/>
    <col min="8468" max="8468" width="20.7109375" style="1" customWidth="1"/>
    <col min="8469" max="8469" width="1.7109375" style="1" customWidth="1"/>
    <col min="8470" max="8470" width="41.5703125" style="1" customWidth="1"/>
    <col min="8471" max="8471" width="11.5703125" style="1" customWidth="1"/>
    <col min="8472" max="8472" width="23" style="1" customWidth="1"/>
    <col min="8473" max="8476" width="18.7109375" style="1" customWidth="1"/>
    <col min="8477" max="8477" width="1.7109375" style="1" customWidth="1"/>
    <col min="8478" max="8703" width="9.140625" style="1"/>
    <col min="8704" max="8704" width="40" style="1" customWidth="1"/>
    <col min="8705" max="8705" width="11.5703125" style="1" customWidth="1"/>
    <col min="8706" max="8706" width="24" style="1" customWidth="1"/>
    <col min="8707" max="8710" width="15.85546875" style="1" customWidth="1"/>
    <col min="8711" max="8711" width="1.7109375" style="1" customWidth="1"/>
    <col min="8712" max="8713" width="26" style="1" customWidth="1"/>
    <col min="8714" max="8714" width="1.7109375" style="1" customWidth="1"/>
    <col min="8715" max="8717" width="18.7109375" style="1" customWidth="1"/>
    <col min="8718" max="8718" width="1.7109375" style="1" customWidth="1"/>
    <col min="8719" max="8719" width="25.42578125" style="1" customWidth="1"/>
    <col min="8720" max="8720" width="20.7109375" style="1" customWidth="1"/>
    <col min="8721" max="8721" width="1.7109375" style="1" customWidth="1"/>
    <col min="8722" max="8723" width="25.42578125" style="1" customWidth="1"/>
    <col min="8724" max="8724" width="20.7109375" style="1" customWidth="1"/>
    <col min="8725" max="8725" width="1.7109375" style="1" customWidth="1"/>
    <col min="8726" max="8726" width="41.5703125" style="1" customWidth="1"/>
    <col min="8727" max="8727" width="11.5703125" style="1" customWidth="1"/>
    <col min="8728" max="8728" width="23" style="1" customWidth="1"/>
    <col min="8729" max="8732" width="18.7109375" style="1" customWidth="1"/>
    <col min="8733" max="8733" width="1.7109375" style="1" customWidth="1"/>
    <col min="8734" max="8959" width="9.140625" style="1"/>
    <col min="8960" max="8960" width="40" style="1" customWidth="1"/>
    <col min="8961" max="8961" width="11.5703125" style="1" customWidth="1"/>
    <col min="8962" max="8962" width="24" style="1" customWidth="1"/>
    <col min="8963" max="8966" width="15.85546875" style="1" customWidth="1"/>
    <col min="8967" max="8967" width="1.7109375" style="1" customWidth="1"/>
    <col min="8968" max="8969" width="26" style="1" customWidth="1"/>
    <col min="8970" max="8970" width="1.7109375" style="1" customWidth="1"/>
    <col min="8971" max="8973" width="18.7109375" style="1" customWidth="1"/>
    <col min="8974" max="8974" width="1.7109375" style="1" customWidth="1"/>
    <col min="8975" max="8975" width="25.42578125" style="1" customWidth="1"/>
    <col min="8976" max="8976" width="20.7109375" style="1" customWidth="1"/>
    <col min="8977" max="8977" width="1.7109375" style="1" customWidth="1"/>
    <col min="8978" max="8979" width="25.42578125" style="1" customWidth="1"/>
    <col min="8980" max="8980" width="20.7109375" style="1" customWidth="1"/>
    <col min="8981" max="8981" width="1.7109375" style="1" customWidth="1"/>
    <col min="8982" max="8982" width="41.5703125" style="1" customWidth="1"/>
    <col min="8983" max="8983" width="11.5703125" style="1" customWidth="1"/>
    <col min="8984" max="8984" width="23" style="1" customWidth="1"/>
    <col min="8985" max="8988" width="18.7109375" style="1" customWidth="1"/>
    <col min="8989" max="8989" width="1.7109375" style="1" customWidth="1"/>
    <col min="8990" max="9215" width="9.140625" style="1"/>
    <col min="9216" max="9216" width="40" style="1" customWidth="1"/>
    <col min="9217" max="9217" width="11.5703125" style="1" customWidth="1"/>
    <col min="9218" max="9218" width="24" style="1" customWidth="1"/>
    <col min="9219" max="9222" width="15.85546875" style="1" customWidth="1"/>
    <col min="9223" max="9223" width="1.7109375" style="1" customWidth="1"/>
    <col min="9224" max="9225" width="26" style="1" customWidth="1"/>
    <col min="9226" max="9226" width="1.7109375" style="1" customWidth="1"/>
    <col min="9227" max="9229" width="18.7109375" style="1" customWidth="1"/>
    <col min="9230" max="9230" width="1.7109375" style="1" customWidth="1"/>
    <col min="9231" max="9231" width="25.42578125" style="1" customWidth="1"/>
    <col min="9232" max="9232" width="20.7109375" style="1" customWidth="1"/>
    <col min="9233" max="9233" width="1.7109375" style="1" customWidth="1"/>
    <col min="9234" max="9235" width="25.42578125" style="1" customWidth="1"/>
    <col min="9236" max="9236" width="20.7109375" style="1" customWidth="1"/>
    <col min="9237" max="9237" width="1.7109375" style="1" customWidth="1"/>
    <col min="9238" max="9238" width="41.5703125" style="1" customWidth="1"/>
    <col min="9239" max="9239" width="11.5703125" style="1" customWidth="1"/>
    <col min="9240" max="9240" width="23" style="1" customWidth="1"/>
    <col min="9241" max="9244" width="18.7109375" style="1" customWidth="1"/>
    <col min="9245" max="9245" width="1.7109375" style="1" customWidth="1"/>
    <col min="9246" max="9471" width="9.140625" style="1"/>
    <col min="9472" max="9472" width="40" style="1" customWidth="1"/>
    <col min="9473" max="9473" width="11.5703125" style="1" customWidth="1"/>
    <col min="9474" max="9474" width="24" style="1" customWidth="1"/>
    <col min="9475" max="9478" width="15.85546875" style="1" customWidth="1"/>
    <col min="9479" max="9479" width="1.7109375" style="1" customWidth="1"/>
    <col min="9480" max="9481" width="26" style="1" customWidth="1"/>
    <col min="9482" max="9482" width="1.7109375" style="1" customWidth="1"/>
    <col min="9483" max="9485" width="18.7109375" style="1" customWidth="1"/>
    <col min="9486" max="9486" width="1.7109375" style="1" customWidth="1"/>
    <col min="9487" max="9487" width="25.42578125" style="1" customWidth="1"/>
    <col min="9488" max="9488" width="20.7109375" style="1" customWidth="1"/>
    <col min="9489" max="9489" width="1.7109375" style="1" customWidth="1"/>
    <col min="9490" max="9491" width="25.42578125" style="1" customWidth="1"/>
    <col min="9492" max="9492" width="20.7109375" style="1" customWidth="1"/>
    <col min="9493" max="9493" width="1.7109375" style="1" customWidth="1"/>
    <col min="9494" max="9494" width="41.5703125" style="1" customWidth="1"/>
    <col min="9495" max="9495" width="11.5703125" style="1" customWidth="1"/>
    <col min="9496" max="9496" width="23" style="1" customWidth="1"/>
    <col min="9497" max="9500" width="18.7109375" style="1" customWidth="1"/>
    <col min="9501" max="9501" width="1.7109375" style="1" customWidth="1"/>
    <col min="9502" max="9727" width="9.140625" style="1"/>
    <col min="9728" max="9728" width="40" style="1" customWidth="1"/>
    <col min="9729" max="9729" width="11.5703125" style="1" customWidth="1"/>
    <col min="9730" max="9730" width="24" style="1" customWidth="1"/>
    <col min="9731" max="9734" width="15.85546875" style="1" customWidth="1"/>
    <col min="9735" max="9735" width="1.7109375" style="1" customWidth="1"/>
    <col min="9736" max="9737" width="26" style="1" customWidth="1"/>
    <col min="9738" max="9738" width="1.7109375" style="1" customWidth="1"/>
    <col min="9739" max="9741" width="18.7109375" style="1" customWidth="1"/>
    <col min="9742" max="9742" width="1.7109375" style="1" customWidth="1"/>
    <col min="9743" max="9743" width="25.42578125" style="1" customWidth="1"/>
    <col min="9744" max="9744" width="20.7109375" style="1" customWidth="1"/>
    <col min="9745" max="9745" width="1.7109375" style="1" customWidth="1"/>
    <col min="9746" max="9747" width="25.42578125" style="1" customWidth="1"/>
    <col min="9748" max="9748" width="20.7109375" style="1" customWidth="1"/>
    <col min="9749" max="9749" width="1.7109375" style="1" customWidth="1"/>
    <col min="9750" max="9750" width="41.5703125" style="1" customWidth="1"/>
    <col min="9751" max="9751" width="11.5703125" style="1" customWidth="1"/>
    <col min="9752" max="9752" width="23" style="1" customWidth="1"/>
    <col min="9753" max="9756" width="18.7109375" style="1" customWidth="1"/>
    <col min="9757" max="9757" width="1.7109375" style="1" customWidth="1"/>
    <col min="9758" max="9983" width="9.140625" style="1"/>
    <col min="9984" max="9984" width="40" style="1" customWidth="1"/>
    <col min="9985" max="9985" width="11.5703125" style="1" customWidth="1"/>
    <col min="9986" max="9986" width="24" style="1" customWidth="1"/>
    <col min="9987" max="9990" width="15.85546875" style="1" customWidth="1"/>
    <col min="9991" max="9991" width="1.7109375" style="1" customWidth="1"/>
    <col min="9992" max="9993" width="26" style="1" customWidth="1"/>
    <col min="9994" max="9994" width="1.7109375" style="1" customWidth="1"/>
    <col min="9995" max="9997" width="18.7109375" style="1" customWidth="1"/>
    <col min="9998" max="9998" width="1.7109375" style="1" customWidth="1"/>
    <col min="9999" max="9999" width="25.42578125" style="1" customWidth="1"/>
    <col min="10000" max="10000" width="20.7109375" style="1" customWidth="1"/>
    <col min="10001" max="10001" width="1.7109375" style="1" customWidth="1"/>
    <col min="10002" max="10003" width="25.42578125" style="1" customWidth="1"/>
    <col min="10004" max="10004" width="20.7109375" style="1" customWidth="1"/>
    <col min="10005" max="10005" width="1.7109375" style="1" customWidth="1"/>
    <col min="10006" max="10006" width="41.5703125" style="1" customWidth="1"/>
    <col min="10007" max="10007" width="11.5703125" style="1" customWidth="1"/>
    <col min="10008" max="10008" width="23" style="1" customWidth="1"/>
    <col min="10009" max="10012" width="18.7109375" style="1" customWidth="1"/>
    <col min="10013" max="10013" width="1.7109375" style="1" customWidth="1"/>
    <col min="10014" max="10239" width="9.140625" style="1"/>
    <col min="10240" max="10240" width="40" style="1" customWidth="1"/>
    <col min="10241" max="10241" width="11.5703125" style="1" customWidth="1"/>
    <col min="10242" max="10242" width="24" style="1" customWidth="1"/>
    <col min="10243" max="10246" width="15.85546875" style="1" customWidth="1"/>
    <col min="10247" max="10247" width="1.7109375" style="1" customWidth="1"/>
    <col min="10248" max="10249" width="26" style="1" customWidth="1"/>
    <col min="10250" max="10250" width="1.7109375" style="1" customWidth="1"/>
    <col min="10251" max="10253" width="18.7109375" style="1" customWidth="1"/>
    <col min="10254" max="10254" width="1.7109375" style="1" customWidth="1"/>
    <col min="10255" max="10255" width="25.42578125" style="1" customWidth="1"/>
    <col min="10256" max="10256" width="20.7109375" style="1" customWidth="1"/>
    <col min="10257" max="10257" width="1.7109375" style="1" customWidth="1"/>
    <col min="10258" max="10259" width="25.42578125" style="1" customWidth="1"/>
    <col min="10260" max="10260" width="20.7109375" style="1" customWidth="1"/>
    <col min="10261" max="10261" width="1.7109375" style="1" customWidth="1"/>
    <col min="10262" max="10262" width="41.5703125" style="1" customWidth="1"/>
    <col min="10263" max="10263" width="11.5703125" style="1" customWidth="1"/>
    <col min="10264" max="10264" width="23" style="1" customWidth="1"/>
    <col min="10265" max="10268" width="18.7109375" style="1" customWidth="1"/>
    <col min="10269" max="10269" width="1.7109375" style="1" customWidth="1"/>
    <col min="10270" max="10495" width="9.140625" style="1"/>
    <col min="10496" max="10496" width="40" style="1" customWidth="1"/>
    <col min="10497" max="10497" width="11.5703125" style="1" customWidth="1"/>
    <col min="10498" max="10498" width="24" style="1" customWidth="1"/>
    <col min="10499" max="10502" width="15.85546875" style="1" customWidth="1"/>
    <col min="10503" max="10503" width="1.7109375" style="1" customWidth="1"/>
    <col min="10504" max="10505" width="26" style="1" customWidth="1"/>
    <col min="10506" max="10506" width="1.7109375" style="1" customWidth="1"/>
    <col min="10507" max="10509" width="18.7109375" style="1" customWidth="1"/>
    <col min="10510" max="10510" width="1.7109375" style="1" customWidth="1"/>
    <col min="10511" max="10511" width="25.42578125" style="1" customWidth="1"/>
    <col min="10512" max="10512" width="20.7109375" style="1" customWidth="1"/>
    <col min="10513" max="10513" width="1.7109375" style="1" customWidth="1"/>
    <col min="10514" max="10515" width="25.42578125" style="1" customWidth="1"/>
    <col min="10516" max="10516" width="20.7109375" style="1" customWidth="1"/>
    <col min="10517" max="10517" width="1.7109375" style="1" customWidth="1"/>
    <col min="10518" max="10518" width="41.5703125" style="1" customWidth="1"/>
    <col min="10519" max="10519" width="11.5703125" style="1" customWidth="1"/>
    <col min="10520" max="10520" width="23" style="1" customWidth="1"/>
    <col min="10521" max="10524" width="18.7109375" style="1" customWidth="1"/>
    <col min="10525" max="10525" width="1.7109375" style="1" customWidth="1"/>
    <col min="10526" max="10751" width="9.140625" style="1"/>
    <col min="10752" max="10752" width="40" style="1" customWidth="1"/>
    <col min="10753" max="10753" width="11.5703125" style="1" customWidth="1"/>
    <col min="10754" max="10754" width="24" style="1" customWidth="1"/>
    <col min="10755" max="10758" width="15.85546875" style="1" customWidth="1"/>
    <col min="10759" max="10759" width="1.7109375" style="1" customWidth="1"/>
    <col min="10760" max="10761" width="26" style="1" customWidth="1"/>
    <col min="10762" max="10762" width="1.7109375" style="1" customWidth="1"/>
    <col min="10763" max="10765" width="18.7109375" style="1" customWidth="1"/>
    <col min="10766" max="10766" width="1.7109375" style="1" customWidth="1"/>
    <col min="10767" max="10767" width="25.42578125" style="1" customWidth="1"/>
    <col min="10768" max="10768" width="20.7109375" style="1" customWidth="1"/>
    <col min="10769" max="10769" width="1.7109375" style="1" customWidth="1"/>
    <col min="10770" max="10771" width="25.42578125" style="1" customWidth="1"/>
    <col min="10772" max="10772" width="20.7109375" style="1" customWidth="1"/>
    <col min="10773" max="10773" width="1.7109375" style="1" customWidth="1"/>
    <col min="10774" max="10774" width="41.5703125" style="1" customWidth="1"/>
    <col min="10775" max="10775" width="11.5703125" style="1" customWidth="1"/>
    <col min="10776" max="10776" width="23" style="1" customWidth="1"/>
    <col min="10777" max="10780" width="18.7109375" style="1" customWidth="1"/>
    <col min="10781" max="10781" width="1.7109375" style="1" customWidth="1"/>
    <col min="10782" max="11007" width="9.140625" style="1"/>
    <col min="11008" max="11008" width="40" style="1" customWidth="1"/>
    <col min="11009" max="11009" width="11.5703125" style="1" customWidth="1"/>
    <col min="11010" max="11010" width="24" style="1" customWidth="1"/>
    <col min="11011" max="11014" width="15.85546875" style="1" customWidth="1"/>
    <col min="11015" max="11015" width="1.7109375" style="1" customWidth="1"/>
    <col min="11016" max="11017" width="26" style="1" customWidth="1"/>
    <col min="11018" max="11018" width="1.7109375" style="1" customWidth="1"/>
    <col min="11019" max="11021" width="18.7109375" style="1" customWidth="1"/>
    <col min="11022" max="11022" width="1.7109375" style="1" customWidth="1"/>
    <col min="11023" max="11023" width="25.42578125" style="1" customWidth="1"/>
    <col min="11024" max="11024" width="20.7109375" style="1" customWidth="1"/>
    <col min="11025" max="11025" width="1.7109375" style="1" customWidth="1"/>
    <col min="11026" max="11027" width="25.42578125" style="1" customWidth="1"/>
    <col min="11028" max="11028" width="20.7109375" style="1" customWidth="1"/>
    <col min="11029" max="11029" width="1.7109375" style="1" customWidth="1"/>
    <col min="11030" max="11030" width="41.5703125" style="1" customWidth="1"/>
    <col min="11031" max="11031" width="11.5703125" style="1" customWidth="1"/>
    <col min="11032" max="11032" width="23" style="1" customWidth="1"/>
    <col min="11033" max="11036" width="18.7109375" style="1" customWidth="1"/>
    <col min="11037" max="11037" width="1.7109375" style="1" customWidth="1"/>
    <col min="11038" max="11263" width="9.140625" style="1"/>
    <col min="11264" max="11264" width="40" style="1" customWidth="1"/>
    <col min="11265" max="11265" width="11.5703125" style="1" customWidth="1"/>
    <col min="11266" max="11266" width="24" style="1" customWidth="1"/>
    <col min="11267" max="11270" width="15.85546875" style="1" customWidth="1"/>
    <col min="11271" max="11271" width="1.7109375" style="1" customWidth="1"/>
    <col min="11272" max="11273" width="26" style="1" customWidth="1"/>
    <col min="11274" max="11274" width="1.7109375" style="1" customWidth="1"/>
    <col min="11275" max="11277" width="18.7109375" style="1" customWidth="1"/>
    <col min="11278" max="11278" width="1.7109375" style="1" customWidth="1"/>
    <col min="11279" max="11279" width="25.42578125" style="1" customWidth="1"/>
    <col min="11280" max="11280" width="20.7109375" style="1" customWidth="1"/>
    <col min="11281" max="11281" width="1.7109375" style="1" customWidth="1"/>
    <col min="11282" max="11283" width="25.42578125" style="1" customWidth="1"/>
    <col min="11284" max="11284" width="20.7109375" style="1" customWidth="1"/>
    <col min="11285" max="11285" width="1.7109375" style="1" customWidth="1"/>
    <col min="11286" max="11286" width="41.5703125" style="1" customWidth="1"/>
    <col min="11287" max="11287" width="11.5703125" style="1" customWidth="1"/>
    <col min="11288" max="11288" width="23" style="1" customWidth="1"/>
    <col min="11289" max="11292" width="18.7109375" style="1" customWidth="1"/>
    <col min="11293" max="11293" width="1.7109375" style="1" customWidth="1"/>
    <col min="11294" max="11519" width="9.140625" style="1"/>
    <col min="11520" max="11520" width="40" style="1" customWidth="1"/>
    <col min="11521" max="11521" width="11.5703125" style="1" customWidth="1"/>
    <col min="11522" max="11522" width="24" style="1" customWidth="1"/>
    <col min="11523" max="11526" width="15.85546875" style="1" customWidth="1"/>
    <col min="11527" max="11527" width="1.7109375" style="1" customWidth="1"/>
    <col min="11528" max="11529" width="26" style="1" customWidth="1"/>
    <col min="11530" max="11530" width="1.7109375" style="1" customWidth="1"/>
    <col min="11531" max="11533" width="18.7109375" style="1" customWidth="1"/>
    <col min="11534" max="11534" width="1.7109375" style="1" customWidth="1"/>
    <col min="11535" max="11535" width="25.42578125" style="1" customWidth="1"/>
    <col min="11536" max="11536" width="20.7109375" style="1" customWidth="1"/>
    <col min="11537" max="11537" width="1.7109375" style="1" customWidth="1"/>
    <col min="11538" max="11539" width="25.42578125" style="1" customWidth="1"/>
    <col min="11540" max="11540" width="20.7109375" style="1" customWidth="1"/>
    <col min="11541" max="11541" width="1.7109375" style="1" customWidth="1"/>
    <col min="11542" max="11542" width="41.5703125" style="1" customWidth="1"/>
    <col min="11543" max="11543" width="11.5703125" style="1" customWidth="1"/>
    <col min="11544" max="11544" width="23" style="1" customWidth="1"/>
    <col min="11545" max="11548" width="18.7109375" style="1" customWidth="1"/>
    <col min="11549" max="11549" width="1.7109375" style="1" customWidth="1"/>
    <col min="11550" max="11775" width="9.140625" style="1"/>
    <col min="11776" max="11776" width="40" style="1" customWidth="1"/>
    <col min="11777" max="11777" width="11.5703125" style="1" customWidth="1"/>
    <col min="11778" max="11778" width="24" style="1" customWidth="1"/>
    <col min="11779" max="11782" width="15.85546875" style="1" customWidth="1"/>
    <col min="11783" max="11783" width="1.7109375" style="1" customWidth="1"/>
    <col min="11784" max="11785" width="26" style="1" customWidth="1"/>
    <col min="11786" max="11786" width="1.7109375" style="1" customWidth="1"/>
    <col min="11787" max="11789" width="18.7109375" style="1" customWidth="1"/>
    <col min="11790" max="11790" width="1.7109375" style="1" customWidth="1"/>
    <col min="11791" max="11791" width="25.42578125" style="1" customWidth="1"/>
    <col min="11792" max="11792" width="20.7109375" style="1" customWidth="1"/>
    <col min="11793" max="11793" width="1.7109375" style="1" customWidth="1"/>
    <col min="11794" max="11795" width="25.42578125" style="1" customWidth="1"/>
    <col min="11796" max="11796" width="20.7109375" style="1" customWidth="1"/>
    <col min="11797" max="11797" width="1.7109375" style="1" customWidth="1"/>
    <col min="11798" max="11798" width="41.5703125" style="1" customWidth="1"/>
    <col min="11799" max="11799" width="11.5703125" style="1" customWidth="1"/>
    <col min="11800" max="11800" width="23" style="1" customWidth="1"/>
    <col min="11801" max="11804" width="18.7109375" style="1" customWidth="1"/>
    <col min="11805" max="11805" width="1.7109375" style="1" customWidth="1"/>
    <col min="11806" max="12031" width="9.140625" style="1"/>
    <col min="12032" max="12032" width="40" style="1" customWidth="1"/>
    <col min="12033" max="12033" width="11.5703125" style="1" customWidth="1"/>
    <col min="12034" max="12034" width="24" style="1" customWidth="1"/>
    <col min="12035" max="12038" width="15.85546875" style="1" customWidth="1"/>
    <col min="12039" max="12039" width="1.7109375" style="1" customWidth="1"/>
    <col min="12040" max="12041" width="26" style="1" customWidth="1"/>
    <col min="12042" max="12042" width="1.7109375" style="1" customWidth="1"/>
    <col min="12043" max="12045" width="18.7109375" style="1" customWidth="1"/>
    <col min="12046" max="12046" width="1.7109375" style="1" customWidth="1"/>
    <col min="12047" max="12047" width="25.42578125" style="1" customWidth="1"/>
    <col min="12048" max="12048" width="20.7109375" style="1" customWidth="1"/>
    <col min="12049" max="12049" width="1.7109375" style="1" customWidth="1"/>
    <col min="12050" max="12051" width="25.42578125" style="1" customWidth="1"/>
    <col min="12052" max="12052" width="20.7109375" style="1" customWidth="1"/>
    <col min="12053" max="12053" width="1.7109375" style="1" customWidth="1"/>
    <col min="12054" max="12054" width="41.5703125" style="1" customWidth="1"/>
    <col min="12055" max="12055" width="11.5703125" style="1" customWidth="1"/>
    <col min="12056" max="12056" width="23" style="1" customWidth="1"/>
    <col min="12057" max="12060" width="18.7109375" style="1" customWidth="1"/>
    <col min="12061" max="12061" width="1.7109375" style="1" customWidth="1"/>
    <col min="12062" max="12287" width="9.140625" style="1"/>
    <col min="12288" max="12288" width="40" style="1" customWidth="1"/>
    <col min="12289" max="12289" width="11.5703125" style="1" customWidth="1"/>
    <col min="12290" max="12290" width="24" style="1" customWidth="1"/>
    <col min="12291" max="12294" width="15.85546875" style="1" customWidth="1"/>
    <col min="12295" max="12295" width="1.7109375" style="1" customWidth="1"/>
    <col min="12296" max="12297" width="26" style="1" customWidth="1"/>
    <col min="12298" max="12298" width="1.7109375" style="1" customWidth="1"/>
    <col min="12299" max="12301" width="18.7109375" style="1" customWidth="1"/>
    <col min="12302" max="12302" width="1.7109375" style="1" customWidth="1"/>
    <col min="12303" max="12303" width="25.42578125" style="1" customWidth="1"/>
    <col min="12304" max="12304" width="20.7109375" style="1" customWidth="1"/>
    <col min="12305" max="12305" width="1.7109375" style="1" customWidth="1"/>
    <col min="12306" max="12307" width="25.42578125" style="1" customWidth="1"/>
    <col min="12308" max="12308" width="20.7109375" style="1" customWidth="1"/>
    <col min="12309" max="12309" width="1.7109375" style="1" customWidth="1"/>
    <col min="12310" max="12310" width="41.5703125" style="1" customWidth="1"/>
    <col min="12311" max="12311" width="11.5703125" style="1" customWidth="1"/>
    <col min="12312" max="12312" width="23" style="1" customWidth="1"/>
    <col min="12313" max="12316" width="18.7109375" style="1" customWidth="1"/>
    <col min="12317" max="12317" width="1.7109375" style="1" customWidth="1"/>
    <col min="12318" max="12543" width="9.140625" style="1"/>
    <col min="12544" max="12544" width="40" style="1" customWidth="1"/>
    <col min="12545" max="12545" width="11.5703125" style="1" customWidth="1"/>
    <col min="12546" max="12546" width="24" style="1" customWidth="1"/>
    <col min="12547" max="12550" width="15.85546875" style="1" customWidth="1"/>
    <col min="12551" max="12551" width="1.7109375" style="1" customWidth="1"/>
    <col min="12552" max="12553" width="26" style="1" customWidth="1"/>
    <col min="12554" max="12554" width="1.7109375" style="1" customWidth="1"/>
    <col min="12555" max="12557" width="18.7109375" style="1" customWidth="1"/>
    <col min="12558" max="12558" width="1.7109375" style="1" customWidth="1"/>
    <col min="12559" max="12559" width="25.42578125" style="1" customWidth="1"/>
    <col min="12560" max="12560" width="20.7109375" style="1" customWidth="1"/>
    <col min="12561" max="12561" width="1.7109375" style="1" customWidth="1"/>
    <col min="12562" max="12563" width="25.42578125" style="1" customWidth="1"/>
    <col min="12564" max="12564" width="20.7109375" style="1" customWidth="1"/>
    <col min="12565" max="12565" width="1.7109375" style="1" customWidth="1"/>
    <col min="12566" max="12566" width="41.5703125" style="1" customWidth="1"/>
    <col min="12567" max="12567" width="11.5703125" style="1" customWidth="1"/>
    <col min="12568" max="12568" width="23" style="1" customWidth="1"/>
    <col min="12569" max="12572" width="18.7109375" style="1" customWidth="1"/>
    <col min="12573" max="12573" width="1.7109375" style="1" customWidth="1"/>
    <col min="12574" max="12799" width="9.140625" style="1"/>
    <col min="12800" max="12800" width="40" style="1" customWidth="1"/>
    <col min="12801" max="12801" width="11.5703125" style="1" customWidth="1"/>
    <col min="12802" max="12802" width="24" style="1" customWidth="1"/>
    <col min="12803" max="12806" width="15.85546875" style="1" customWidth="1"/>
    <col min="12807" max="12807" width="1.7109375" style="1" customWidth="1"/>
    <col min="12808" max="12809" width="26" style="1" customWidth="1"/>
    <col min="12810" max="12810" width="1.7109375" style="1" customWidth="1"/>
    <col min="12811" max="12813" width="18.7109375" style="1" customWidth="1"/>
    <col min="12814" max="12814" width="1.7109375" style="1" customWidth="1"/>
    <col min="12815" max="12815" width="25.42578125" style="1" customWidth="1"/>
    <col min="12816" max="12816" width="20.7109375" style="1" customWidth="1"/>
    <col min="12817" max="12817" width="1.7109375" style="1" customWidth="1"/>
    <col min="12818" max="12819" width="25.42578125" style="1" customWidth="1"/>
    <col min="12820" max="12820" width="20.7109375" style="1" customWidth="1"/>
    <col min="12821" max="12821" width="1.7109375" style="1" customWidth="1"/>
    <col min="12822" max="12822" width="41.5703125" style="1" customWidth="1"/>
    <col min="12823" max="12823" width="11.5703125" style="1" customWidth="1"/>
    <col min="12824" max="12824" width="23" style="1" customWidth="1"/>
    <col min="12825" max="12828" width="18.7109375" style="1" customWidth="1"/>
    <col min="12829" max="12829" width="1.7109375" style="1" customWidth="1"/>
    <col min="12830" max="13055" width="9.140625" style="1"/>
    <col min="13056" max="13056" width="40" style="1" customWidth="1"/>
    <col min="13057" max="13057" width="11.5703125" style="1" customWidth="1"/>
    <col min="13058" max="13058" width="24" style="1" customWidth="1"/>
    <col min="13059" max="13062" width="15.85546875" style="1" customWidth="1"/>
    <col min="13063" max="13063" width="1.7109375" style="1" customWidth="1"/>
    <col min="13064" max="13065" width="26" style="1" customWidth="1"/>
    <col min="13066" max="13066" width="1.7109375" style="1" customWidth="1"/>
    <col min="13067" max="13069" width="18.7109375" style="1" customWidth="1"/>
    <col min="13070" max="13070" width="1.7109375" style="1" customWidth="1"/>
    <col min="13071" max="13071" width="25.42578125" style="1" customWidth="1"/>
    <col min="13072" max="13072" width="20.7109375" style="1" customWidth="1"/>
    <col min="13073" max="13073" width="1.7109375" style="1" customWidth="1"/>
    <col min="13074" max="13075" width="25.42578125" style="1" customWidth="1"/>
    <col min="13076" max="13076" width="20.7109375" style="1" customWidth="1"/>
    <col min="13077" max="13077" width="1.7109375" style="1" customWidth="1"/>
    <col min="13078" max="13078" width="41.5703125" style="1" customWidth="1"/>
    <col min="13079" max="13079" width="11.5703125" style="1" customWidth="1"/>
    <col min="13080" max="13080" width="23" style="1" customWidth="1"/>
    <col min="13081" max="13084" width="18.7109375" style="1" customWidth="1"/>
    <col min="13085" max="13085" width="1.7109375" style="1" customWidth="1"/>
    <col min="13086" max="13311" width="9.140625" style="1"/>
    <col min="13312" max="13312" width="40" style="1" customWidth="1"/>
    <col min="13313" max="13313" width="11.5703125" style="1" customWidth="1"/>
    <col min="13314" max="13314" width="24" style="1" customWidth="1"/>
    <col min="13315" max="13318" width="15.85546875" style="1" customWidth="1"/>
    <col min="13319" max="13319" width="1.7109375" style="1" customWidth="1"/>
    <col min="13320" max="13321" width="26" style="1" customWidth="1"/>
    <col min="13322" max="13322" width="1.7109375" style="1" customWidth="1"/>
    <col min="13323" max="13325" width="18.7109375" style="1" customWidth="1"/>
    <col min="13326" max="13326" width="1.7109375" style="1" customWidth="1"/>
    <col min="13327" max="13327" width="25.42578125" style="1" customWidth="1"/>
    <col min="13328" max="13328" width="20.7109375" style="1" customWidth="1"/>
    <col min="13329" max="13329" width="1.7109375" style="1" customWidth="1"/>
    <col min="13330" max="13331" width="25.42578125" style="1" customWidth="1"/>
    <col min="13332" max="13332" width="20.7109375" style="1" customWidth="1"/>
    <col min="13333" max="13333" width="1.7109375" style="1" customWidth="1"/>
    <col min="13334" max="13334" width="41.5703125" style="1" customWidth="1"/>
    <col min="13335" max="13335" width="11.5703125" style="1" customWidth="1"/>
    <col min="13336" max="13336" width="23" style="1" customWidth="1"/>
    <col min="13337" max="13340" width="18.7109375" style="1" customWidth="1"/>
    <col min="13341" max="13341" width="1.7109375" style="1" customWidth="1"/>
    <col min="13342" max="13567" width="9.140625" style="1"/>
    <col min="13568" max="13568" width="40" style="1" customWidth="1"/>
    <col min="13569" max="13569" width="11.5703125" style="1" customWidth="1"/>
    <col min="13570" max="13570" width="24" style="1" customWidth="1"/>
    <col min="13571" max="13574" width="15.85546875" style="1" customWidth="1"/>
    <col min="13575" max="13575" width="1.7109375" style="1" customWidth="1"/>
    <col min="13576" max="13577" width="26" style="1" customWidth="1"/>
    <col min="13578" max="13578" width="1.7109375" style="1" customWidth="1"/>
    <col min="13579" max="13581" width="18.7109375" style="1" customWidth="1"/>
    <col min="13582" max="13582" width="1.7109375" style="1" customWidth="1"/>
    <col min="13583" max="13583" width="25.42578125" style="1" customWidth="1"/>
    <col min="13584" max="13584" width="20.7109375" style="1" customWidth="1"/>
    <col min="13585" max="13585" width="1.7109375" style="1" customWidth="1"/>
    <col min="13586" max="13587" width="25.42578125" style="1" customWidth="1"/>
    <col min="13588" max="13588" width="20.7109375" style="1" customWidth="1"/>
    <col min="13589" max="13589" width="1.7109375" style="1" customWidth="1"/>
    <col min="13590" max="13590" width="41.5703125" style="1" customWidth="1"/>
    <col min="13591" max="13591" width="11.5703125" style="1" customWidth="1"/>
    <col min="13592" max="13592" width="23" style="1" customWidth="1"/>
    <col min="13593" max="13596" width="18.7109375" style="1" customWidth="1"/>
    <col min="13597" max="13597" width="1.7109375" style="1" customWidth="1"/>
    <col min="13598" max="13823" width="9.140625" style="1"/>
    <col min="13824" max="13824" width="40" style="1" customWidth="1"/>
    <col min="13825" max="13825" width="11.5703125" style="1" customWidth="1"/>
    <col min="13826" max="13826" width="24" style="1" customWidth="1"/>
    <col min="13827" max="13830" width="15.85546875" style="1" customWidth="1"/>
    <col min="13831" max="13831" width="1.7109375" style="1" customWidth="1"/>
    <col min="13832" max="13833" width="26" style="1" customWidth="1"/>
    <col min="13834" max="13834" width="1.7109375" style="1" customWidth="1"/>
    <col min="13835" max="13837" width="18.7109375" style="1" customWidth="1"/>
    <col min="13838" max="13838" width="1.7109375" style="1" customWidth="1"/>
    <col min="13839" max="13839" width="25.42578125" style="1" customWidth="1"/>
    <col min="13840" max="13840" width="20.7109375" style="1" customWidth="1"/>
    <col min="13841" max="13841" width="1.7109375" style="1" customWidth="1"/>
    <col min="13842" max="13843" width="25.42578125" style="1" customWidth="1"/>
    <col min="13844" max="13844" width="20.7109375" style="1" customWidth="1"/>
    <col min="13845" max="13845" width="1.7109375" style="1" customWidth="1"/>
    <col min="13846" max="13846" width="41.5703125" style="1" customWidth="1"/>
    <col min="13847" max="13847" width="11.5703125" style="1" customWidth="1"/>
    <col min="13848" max="13848" width="23" style="1" customWidth="1"/>
    <col min="13849" max="13852" width="18.7109375" style="1" customWidth="1"/>
    <col min="13853" max="13853" width="1.7109375" style="1" customWidth="1"/>
    <col min="13854" max="14079" width="9.140625" style="1"/>
    <col min="14080" max="14080" width="40" style="1" customWidth="1"/>
    <col min="14081" max="14081" width="11.5703125" style="1" customWidth="1"/>
    <col min="14082" max="14082" width="24" style="1" customWidth="1"/>
    <col min="14083" max="14086" width="15.85546875" style="1" customWidth="1"/>
    <col min="14087" max="14087" width="1.7109375" style="1" customWidth="1"/>
    <col min="14088" max="14089" width="26" style="1" customWidth="1"/>
    <col min="14090" max="14090" width="1.7109375" style="1" customWidth="1"/>
    <col min="14091" max="14093" width="18.7109375" style="1" customWidth="1"/>
    <col min="14094" max="14094" width="1.7109375" style="1" customWidth="1"/>
    <col min="14095" max="14095" width="25.42578125" style="1" customWidth="1"/>
    <col min="14096" max="14096" width="20.7109375" style="1" customWidth="1"/>
    <col min="14097" max="14097" width="1.7109375" style="1" customWidth="1"/>
    <col min="14098" max="14099" width="25.42578125" style="1" customWidth="1"/>
    <col min="14100" max="14100" width="20.7109375" style="1" customWidth="1"/>
    <col min="14101" max="14101" width="1.7109375" style="1" customWidth="1"/>
    <col min="14102" max="14102" width="41.5703125" style="1" customWidth="1"/>
    <col min="14103" max="14103" width="11.5703125" style="1" customWidth="1"/>
    <col min="14104" max="14104" width="23" style="1" customWidth="1"/>
    <col min="14105" max="14108" width="18.7109375" style="1" customWidth="1"/>
    <col min="14109" max="14109" width="1.7109375" style="1" customWidth="1"/>
    <col min="14110" max="14335" width="9.140625" style="1"/>
    <col min="14336" max="14336" width="40" style="1" customWidth="1"/>
    <col min="14337" max="14337" width="11.5703125" style="1" customWidth="1"/>
    <col min="14338" max="14338" width="24" style="1" customWidth="1"/>
    <col min="14339" max="14342" width="15.85546875" style="1" customWidth="1"/>
    <col min="14343" max="14343" width="1.7109375" style="1" customWidth="1"/>
    <col min="14344" max="14345" width="26" style="1" customWidth="1"/>
    <col min="14346" max="14346" width="1.7109375" style="1" customWidth="1"/>
    <col min="14347" max="14349" width="18.7109375" style="1" customWidth="1"/>
    <col min="14350" max="14350" width="1.7109375" style="1" customWidth="1"/>
    <col min="14351" max="14351" width="25.42578125" style="1" customWidth="1"/>
    <col min="14352" max="14352" width="20.7109375" style="1" customWidth="1"/>
    <col min="14353" max="14353" width="1.7109375" style="1" customWidth="1"/>
    <col min="14354" max="14355" width="25.42578125" style="1" customWidth="1"/>
    <col min="14356" max="14356" width="20.7109375" style="1" customWidth="1"/>
    <col min="14357" max="14357" width="1.7109375" style="1" customWidth="1"/>
    <col min="14358" max="14358" width="41.5703125" style="1" customWidth="1"/>
    <col min="14359" max="14359" width="11.5703125" style="1" customWidth="1"/>
    <col min="14360" max="14360" width="23" style="1" customWidth="1"/>
    <col min="14361" max="14364" width="18.7109375" style="1" customWidth="1"/>
    <col min="14365" max="14365" width="1.7109375" style="1" customWidth="1"/>
    <col min="14366" max="14591" width="9.140625" style="1"/>
    <col min="14592" max="14592" width="40" style="1" customWidth="1"/>
    <col min="14593" max="14593" width="11.5703125" style="1" customWidth="1"/>
    <col min="14594" max="14594" width="24" style="1" customWidth="1"/>
    <col min="14595" max="14598" width="15.85546875" style="1" customWidth="1"/>
    <col min="14599" max="14599" width="1.7109375" style="1" customWidth="1"/>
    <col min="14600" max="14601" width="26" style="1" customWidth="1"/>
    <col min="14602" max="14602" width="1.7109375" style="1" customWidth="1"/>
    <col min="14603" max="14605" width="18.7109375" style="1" customWidth="1"/>
    <col min="14606" max="14606" width="1.7109375" style="1" customWidth="1"/>
    <col min="14607" max="14607" width="25.42578125" style="1" customWidth="1"/>
    <col min="14608" max="14608" width="20.7109375" style="1" customWidth="1"/>
    <col min="14609" max="14609" width="1.7109375" style="1" customWidth="1"/>
    <col min="14610" max="14611" width="25.42578125" style="1" customWidth="1"/>
    <col min="14612" max="14612" width="20.7109375" style="1" customWidth="1"/>
    <col min="14613" max="14613" width="1.7109375" style="1" customWidth="1"/>
    <col min="14614" max="14614" width="41.5703125" style="1" customWidth="1"/>
    <col min="14615" max="14615" width="11.5703125" style="1" customWidth="1"/>
    <col min="14616" max="14616" width="23" style="1" customWidth="1"/>
    <col min="14617" max="14620" width="18.7109375" style="1" customWidth="1"/>
    <col min="14621" max="14621" width="1.7109375" style="1" customWidth="1"/>
    <col min="14622" max="14847" width="9.140625" style="1"/>
    <col min="14848" max="14848" width="40" style="1" customWidth="1"/>
    <col min="14849" max="14849" width="11.5703125" style="1" customWidth="1"/>
    <col min="14850" max="14850" width="24" style="1" customWidth="1"/>
    <col min="14851" max="14854" width="15.85546875" style="1" customWidth="1"/>
    <col min="14855" max="14855" width="1.7109375" style="1" customWidth="1"/>
    <col min="14856" max="14857" width="26" style="1" customWidth="1"/>
    <col min="14858" max="14858" width="1.7109375" style="1" customWidth="1"/>
    <col min="14859" max="14861" width="18.7109375" style="1" customWidth="1"/>
    <col min="14862" max="14862" width="1.7109375" style="1" customWidth="1"/>
    <col min="14863" max="14863" width="25.42578125" style="1" customWidth="1"/>
    <col min="14864" max="14864" width="20.7109375" style="1" customWidth="1"/>
    <col min="14865" max="14865" width="1.7109375" style="1" customWidth="1"/>
    <col min="14866" max="14867" width="25.42578125" style="1" customWidth="1"/>
    <col min="14868" max="14868" width="20.7109375" style="1" customWidth="1"/>
    <col min="14869" max="14869" width="1.7109375" style="1" customWidth="1"/>
    <col min="14870" max="14870" width="41.5703125" style="1" customWidth="1"/>
    <col min="14871" max="14871" width="11.5703125" style="1" customWidth="1"/>
    <col min="14872" max="14872" width="23" style="1" customWidth="1"/>
    <col min="14873" max="14876" width="18.7109375" style="1" customWidth="1"/>
    <col min="14877" max="14877" width="1.7109375" style="1" customWidth="1"/>
    <col min="14878" max="15103" width="9.140625" style="1"/>
    <col min="15104" max="15104" width="40" style="1" customWidth="1"/>
    <col min="15105" max="15105" width="11.5703125" style="1" customWidth="1"/>
    <col min="15106" max="15106" width="24" style="1" customWidth="1"/>
    <col min="15107" max="15110" width="15.85546875" style="1" customWidth="1"/>
    <col min="15111" max="15111" width="1.7109375" style="1" customWidth="1"/>
    <col min="15112" max="15113" width="26" style="1" customWidth="1"/>
    <col min="15114" max="15114" width="1.7109375" style="1" customWidth="1"/>
    <col min="15115" max="15117" width="18.7109375" style="1" customWidth="1"/>
    <col min="15118" max="15118" width="1.7109375" style="1" customWidth="1"/>
    <col min="15119" max="15119" width="25.42578125" style="1" customWidth="1"/>
    <col min="15120" max="15120" width="20.7109375" style="1" customWidth="1"/>
    <col min="15121" max="15121" width="1.7109375" style="1" customWidth="1"/>
    <col min="15122" max="15123" width="25.42578125" style="1" customWidth="1"/>
    <col min="15124" max="15124" width="20.7109375" style="1" customWidth="1"/>
    <col min="15125" max="15125" width="1.7109375" style="1" customWidth="1"/>
    <col min="15126" max="15126" width="41.5703125" style="1" customWidth="1"/>
    <col min="15127" max="15127" width="11.5703125" style="1" customWidth="1"/>
    <col min="15128" max="15128" width="23" style="1" customWidth="1"/>
    <col min="15129" max="15132" width="18.7109375" style="1" customWidth="1"/>
    <col min="15133" max="15133" width="1.7109375" style="1" customWidth="1"/>
    <col min="15134" max="15359" width="9.140625" style="1"/>
    <col min="15360" max="15360" width="40" style="1" customWidth="1"/>
    <col min="15361" max="15361" width="11.5703125" style="1" customWidth="1"/>
    <col min="15362" max="15362" width="24" style="1" customWidth="1"/>
    <col min="15363" max="15366" width="15.85546875" style="1" customWidth="1"/>
    <col min="15367" max="15367" width="1.7109375" style="1" customWidth="1"/>
    <col min="15368" max="15369" width="26" style="1" customWidth="1"/>
    <col min="15370" max="15370" width="1.7109375" style="1" customWidth="1"/>
    <col min="15371" max="15373" width="18.7109375" style="1" customWidth="1"/>
    <col min="15374" max="15374" width="1.7109375" style="1" customWidth="1"/>
    <col min="15375" max="15375" width="25.42578125" style="1" customWidth="1"/>
    <col min="15376" max="15376" width="20.7109375" style="1" customWidth="1"/>
    <col min="15377" max="15377" width="1.7109375" style="1" customWidth="1"/>
    <col min="15378" max="15379" width="25.42578125" style="1" customWidth="1"/>
    <col min="15380" max="15380" width="20.7109375" style="1" customWidth="1"/>
    <col min="15381" max="15381" width="1.7109375" style="1" customWidth="1"/>
    <col min="15382" max="15382" width="41.5703125" style="1" customWidth="1"/>
    <col min="15383" max="15383" width="11.5703125" style="1" customWidth="1"/>
    <col min="15384" max="15384" width="23" style="1" customWidth="1"/>
    <col min="15385" max="15388" width="18.7109375" style="1" customWidth="1"/>
    <col min="15389" max="15389" width="1.7109375" style="1" customWidth="1"/>
    <col min="15390" max="15615" width="9.140625" style="1"/>
    <col min="15616" max="15616" width="40" style="1" customWidth="1"/>
    <col min="15617" max="15617" width="11.5703125" style="1" customWidth="1"/>
    <col min="15618" max="15618" width="24" style="1" customWidth="1"/>
    <col min="15619" max="15622" width="15.85546875" style="1" customWidth="1"/>
    <col min="15623" max="15623" width="1.7109375" style="1" customWidth="1"/>
    <col min="15624" max="15625" width="26" style="1" customWidth="1"/>
    <col min="15626" max="15626" width="1.7109375" style="1" customWidth="1"/>
    <col min="15627" max="15629" width="18.7109375" style="1" customWidth="1"/>
    <col min="15630" max="15630" width="1.7109375" style="1" customWidth="1"/>
    <col min="15631" max="15631" width="25.42578125" style="1" customWidth="1"/>
    <col min="15632" max="15632" width="20.7109375" style="1" customWidth="1"/>
    <col min="15633" max="15633" width="1.7109375" style="1" customWidth="1"/>
    <col min="15634" max="15635" width="25.42578125" style="1" customWidth="1"/>
    <col min="15636" max="15636" width="20.7109375" style="1" customWidth="1"/>
    <col min="15637" max="15637" width="1.7109375" style="1" customWidth="1"/>
    <col min="15638" max="15638" width="41.5703125" style="1" customWidth="1"/>
    <col min="15639" max="15639" width="11.5703125" style="1" customWidth="1"/>
    <col min="15640" max="15640" width="23" style="1" customWidth="1"/>
    <col min="15641" max="15644" width="18.7109375" style="1" customWidth="1"/>
    <col min="15645" max="15645" width="1.7109375" style="1" customWidth="1"/>
    <col min="15646" max="15871" width="9.140625" style="1"/>
    <col min="15872" max="15872" width="40" style="1" customWidth="1"/>
    <col min="15873" max="15873" width="11.5703125" style="1" customWidth="1"/>
    <col min="15874" max="15874" width="24" style="1" customWidth="1"/>
    <col min="15875" max="15878" width="15.85546875" style="1" customWidth="1"/>
    <col min="15879" max="15879" width="1.7109375" style="1" customWidth="1"/>
    <col min="15880" max="15881" width="26" style="1" customWidth="1"/>
    <col min="15882" max="15882" width="1.7109375" style="1" customWidth="1"/>
    <col min="15883" max="15885" width="18.7109375" style="1" customWidth="1"/>
    <col min="15886" max="15886" width="1.7109375" style="1" customWidth="1"/>
    <col min="15887" max="15887" width="25.42578125" style="1" customWidth="1"/>
    <col min="15888" max="15888" width="20.7109375" style="1" customWidth="1"/>
    <col min="15889" max="15889" width="1.7109375" style="1" customWidth="1"/>
    <col min="15890" max="15891" width="25.42578125" style="1" customWidth="1"/>
    <col min="15892" max="15892" width="20.7109375" style="1" customWidth="1"/>
    <col min="15893" max="15893" width="1.7109375" style="1" customWidth="1"/>
    <col min="15894" max="15894" width="41.5703125" style="1" customWidth="1"/>
    <col min="15895" max="15895" width="11.5703125" style="1" customWidth="1"/>
    <col min="15896" max="15896" width="23" style="1" customWidth="1"/>
    <col min="15897" max="15900" width="18.7109375" style="1" customWidth="1"/>
    <col min="15901" max="15901" width="1.7109375" style="1" customWidth="1"/>
    <col min="15902" max="16127" width="9.140625" style="1"/>
    <col min="16128" max="16128" width="40" style="1" customWidth="1"/>
    <col min="16129" max="16129" width="11.5703125" style="1" customWidth="1"/>
    <col min="16130" max="16130" width="24" style="1" customWidth="1"/>
    <col min="16131" max="16134" width="15.85546875" style="1" customWidth="1"/>
    <col min="16135" max="16135" width="1.7109375" style="1" customWidth="1"/>
    <col min="16136" max="16137" width="26" style="1" customWidth="1"/>
    <col min="16138" max="16138" width="1.7109375" style="1" customWidth="1"/>
    <col min="16139" max="16141" width="18.7109375" style="1" customWidth="1"/>
    <col min="16142" max="16142" width="1.7109375" style="1" customWidth="1"/>
    <col min="16143" max="16143" width="25.42578125" style="1" customWidth="1"/>
    <col min="16144" max="16144" width="20.7109375" style="1" customWidth="1"/>
    <col min="16145" max="16145" width="1.7109375" style="1" customWidth="1"/>
    <col min="16146" max="16147" width="25.42578125" style="1" customWidth="1"/>
    <col min="16148" max="16148" width="20.7109375" style="1" customWidth="1"/>
    <col min="16149" max="16149" width="1.7109375" style="1" customWidth="1"/>
    <col min="16150" max="16150" width="41.5703125" style="1" customWidth="1"/>
    <col min="16151" max="16151" width="11.5703125" style="1" customWidth="1"/>
    <col min="16152" max="16152" width="23" style="1" customWidth="1"/>
    <col min="16153" max="16156" width="18.7109375" style="1" customWidth="1"/>
    <col min="16157" max="16157" width="1.7109375" style="1" customWidth="1"/>
    <col min="16158" max="16384" width="9.140625" style="1"/>
  </cols>
  <sheetData>
    <row r="1" spans="2:28" s="97" customFormat="1" ht="81.75" customHeight="1" x14ac:dyDescent="0.25">
      <c r="B1" s="226" t="s">
        <v>371</v>
      </c>
      <c r="C1" s="227"/>
      <c r="D1" s="227"/>
      <c r="E1" s="227"/>
      <c r="F1" s="227"/>
      <c r="G1" s="227"/>
      <c r="H1" s="227"/>
      <c r="I1" s="227"/>
      <c r="J1" s="227"/>
      <c r="K1" s="227"/>
      <c r="L1" s="227"/>
      <c r="M1" s="227"/>
      <c r="N1" s="227"/>
      <c r="O1" s="227"/>
      <c r="P1" s="227"/>
      <c r="Q1" s="227"/>
      <c r="R1" s="227"/>
      <c r="S1" s="227"/>
      <c r="T1" s="227"/>
      <c r="U1" s="227"/>
      <c r="V1" s="227"/>
      <c r="W1" s="227"/>
      <c r="X1" s="227"/>
      <c r="Y1" s="227"/>
      <c r="Z1" s="227"/>
      <c r="AA1" s="227"/>
      <c r="AB1" s="227"/>
    </row>
    <row r="2" spans="2:28" ht="33" customHeight="1" x14ac:dyDescent="0.25">
      <c r="B2" s="120" t="s">
        <v>369</v>
      </c>
      <c r="C2" s="231" t="s">
        <v>355</v>
      </c>
      <c r="D2" s="232"/>
      <c r="E2" s="232"/>
      <c r="F2" s="232"/>
      <c r="G2" s="232"/>
      <c r="H2" s="232"/>
      <c r="I2" s="110"/>
      <c r="J2" s="110"/>
      <c r="K2" s="110"/>
      <c r="L2" s="110"/>
      <c r="M2" s="110"/>
      <c r="N2" s="110"/>
      <c r="O2" s="110"/>
      <c r="P2" s="110"/>
      <c r="Q2" s="110"/>
      <c r="R2" s="110"/>
      <c r="S2" s="110"/>
      <c r="T2" s="110"/>
      <c r="U2" s="110"/>
      <c r="V2" s="110"/>
      <c r="W2" s="110"/>
      <c r="X2" s="110"/>
      <c r="Y2" s="110"/>
      <c r="Z2" s="110"/>
      <c r="AA2" s="110"/>
      <c r="AB2" s="110"/>
    </row>
    <row r="3" spans="2:28" ht="33" customHeight="1" x14ac:dyDescent="0.25">
      <c r="B3" s="120" t="s">
        <v>253</v>
      </c>
      <c r="C3" s="229" t="s">
        <v>370</v>
      </c>
      <c r="D3" s="230"/>
      <c r="E3" s="230"/>
      <c r="F3" s="230"/>
      <c r="G3" s="230"/>
      <c r="H3" s="230"/>
      <c r="I3" s="110"/>
      <c r="J3" s="110"/>
      <c r="K3" s="110"/>
      <c r="L3" s="110"/>
      <c r="M3" s="110"/>
      <c r="N3" s="110"/>
      <c r="O3" s="110"/>
      <c r="P3" s="110"/>
      <c r="Q3" s="110"/>
      <c r="R3" s="110"/>
      <c r="S3" s="110"/>
      <c r="T3" s="110"/>
      <c r="U3" s="110"/>
      <c r="V3" s="110"/>
      <c r="W3" s="110"/>
      <c r="X3" s="110"/>
      <c r="Y3" s="110"/>
      <c r="Z3" s="110"/>
      <c r="AA3" s="110"/>
      <c r="AB3" s="110"/>
    </row>
    <row r="4" spans="2:28" s="111" customFormat="1" ht="19.5" customHeight="1" x14ac:dyDescent="0.25">
      <c r="B4" s="228" t="s">
        <v>246</v>
      </c>
      <c r="C4" s="228"/>
      <c r="D4" s="228"/>
      <c r="E4" s="228"/>
      <c r="F4" s="228"/>
      <c r="G4" s="228"/>
      <c r="I4" s="228" t="s">
        <v>247</v>
      </c>
      <c r="J4" s="228"/>
      <c r="L4" s="228" t="s">
        <v>248</v>
      </c>
      <c r="M4" s="228"/>
      <c r="N4" s="228"/>
      <c r="P4" s="228" t="s">
        <v>249</v>
      </c>
      <c r="Q4" s="228"/>
      <c r="S4" s="228" t="s">
        <v>250</v>
      </c>
      <c r="T4" s="228"/>
      <c r="U4" s="228"/>
      <c r="W4" s="228" t="s">
        <v>251</v>
      </c>
      <c r="X4" s="228"/>
      <c r="Y4" s="228"/>
      <c r="Z4" s="228"/>
      <c r="AA4" s="228"/>
      <c r="AB4" s="228"/>
    </row>
    <row r="5" spans="2:28" s="112" customFormat="1" ht="157.5" customHeight="1" x14ac:dyDescent="0.25">
      <c r="B5" s="216" t="s">
        <v>357</v>
      </c>
      <c r="C5" s="217"/>
      <c r="D5" s="217"/>
      <c r="E5" s="217"/>
      <c r="F5" s="217"/>
      <c r="G5" s="218"/>
      <c r="I5" s="216" t="s">
        <v>362</v>
      </c>
      <c r="J5" s="218"/>
      <c r="L5" s="216" t="s">
        <v>368</v>
      </c>
      <c r="M5" s="217"/>
      <c r="N5" s="218"/>
      <c r="P5" s="216" t="s">
        <v>356</v>
      </c>
      <c r="Q5" s="218"/>
      <c r="S5" s="216" t="s">
        <v>363</v>
      </c>
      <c r="T5" s="217"/>
      <c r="U5" s="218"/>
      <c r="W5" s="222" t="s">
        <v>364</v>
      </c>
      <c r="X5" s="223"/>
      <c r="Y5" s="223"/>
      <c r="Z5" s="223"/>
      <c r="AA5" s="223"/>
      <c r="AB5" s="224"/>
    </row>
    <row r="6" spans="2:28" s="113" customFormat="1" ht="80.25" customHeight="1" x14ac:dyDescent="0.25">
      <c r="B6" s="219"/>
      <c r="C6" s="220"/>
      <c r="D6" s="220"/>
      <c r="E6" s="220"/>
      <c r="F6" s="220"/>
      <c r="G6" s="221"/>
      <c r="I6" s="219"/>
      <c r="J6" s="221"/>
      <c r="L6" s="219"/>
      <c r="M6" s="220"/>
      <c r="N6" s="221"/>
      <c r="P6" s="219"/>
      <c r="Q6" s="221"/>
      <c r="S6" s="219"/>
      <c r="T6" s="220"/>
      <c r="U6" s="221"/>
      <c r="W6" s="213" t="s">
        <v>252</v>
      </c>
      <c r="X6" s="215"/>
      <c r="Y6" s="215"/>
      <c r="Z6" s="215"/>
      <c r="AA6" s="215"/>
      <c r="AB6" s="225"/>
    </row>
    <row r="7" spans="2:28" ht="82.5" customHeight="1" x14ac:dyDescent="0.25">
      <c r="B7" s="2" t="s">
        <v>0</v>
      </c>
      <c r="C7" s="2" t="s">
        <v>182</v>
      </c>
      <c r="D7" s="2" t="s">
        <v>135</v>
      </c>
      <c r="E7" s="3" t="s">
        <v>133</v>
      </c>
      <c r="F7" s="3" t="s">
        <v>360</v>
      </c>
      <c r="G7" s="3" t="s">
        <v>358</v>
      </c>
      <c r="I7" s="3" t="s">
        <v>28</v>
      </c>
      <c r="J7" s="3" t="s">
        <v>177</v>
      </c>
      <c r="L7" s="9" t="s">
        <v>234</v>
      </c>
      <c r="M7" s="9" t="s">
        <v>228</v>
      </c>
      <c r="N7" s="9" t="s">
        <v>226</v>
      </c>
      <c r="P7" s="213" t="s">
        <v>381</v>
      </c>
      <c r="Q7" s="214"/>
      <c r="S7" s="213" t="s">
        <v>382</v>
      </c>
      <c r="T7" s="215"/>
      <c r="U7" s="214"/>
      <c r="W7" s="2" t="s">
        <v>0</v>
      </c>
      <c r="X7" s="2" t="s">
        <v>182</v>
      </c>
      <c r="Y7" s="9" t="s">
        <v>337</v>
      </c>
      <c r="Z7" s="9" t="s">
        <v>338</v>
      </c>
      <c r="AA7" s="9" t="s">
        <v>367</v>
      </c>
      <c r="AB7" s="9" t="s">
        <v>339</v>
      </c>
    </row>
    <row r="8" spans="2:28" ht="15" customHeight="1" x14ac:dyDescent="0.25">
      <c r="B8" s="135" t="str">
        <f>Rates!C4</f>
        <v>Austria</v>
      </c>
      <c r="C8" s="135" t="str">
        <f>Rates!D4</f>
        <v>Programme Countries</v>
      </c>
      <c r="D8" s="99">
        <f>Rates!E4</f>
        <v>294</v>
      </c>
      <c r="E8" s="99">
        <f>Rates!F4</f>
        <v>241</v>
      </c>
      <c r="F8" s="99">
        <f>Rates!G4</f>
        <v>190</v>
      </c>
      <c r="G8" s="99">
        <f>Rates!H4</f>
        <v>157</v>
      </c>
      <c r="I8" s="98" t="str">
        <f>Rates!P4</f>
        <v>0 KM and 99 KM</v>
      </c>
      <c r="J8" s="98">
        <f>Rates!Q4</f>
        <v>0</v>
      </c>
      <c r="L8" s="13">
        <v>1</v>
      </c>
      <c r="M8" s="99">
        <f>L8*55</f>
        <v>55</v>
      </c>
      <c r="N8" s="99">
        <f>L8*120</f>
        <v>120</v>
      </c>
      <c r="P8" s="11"/>
      <c r="Q8" s="14"/>
      <c r="S8" s="11"/>
      <c r="T8" s="11"/>
      <c r="U8" s="14"/>
      <c r="W8" s="131" t="str">
        <f>Rates!N4</f>
        <v>Austria</v>
      </c>
      <c r="X8" s="131" t="str">
        <f>VLOOKUP(W8,Rates!$C$4:$L$182,2,FALSE)</f>
        <v>Programme Countries</v>
      </c>
      <c r="Y8" s="132">
        <f>VLOOKUP(W8,Rates!$C$4:$L$182,7,FALSE)</f>
        <v>850</v>
      </c>
      <c r="Z8" s="132">
        <f>VLOOKUP(W8,Rates!$C$4:$L$182,8,FALSE)</f>
        <v>0</v>
      </c>
      <c r="AA8" s="133">
        <f>VLOOKUP(W8,Rates!$C$4:$L$182,9,FALSE)</f>
        <v>140</v>
      </c>
      <c r="AB8" s="134">
        <f>VLOOKUP(W8,Rates!$C$4:$L$182,10,FALSE)</f>
        <v>0</v>
      </c>
    </row>
    <row r="9" spans="2:28" x14ac:dyDescent="0.25">
      <c r="B9" s="135" t="str">
        <f>Rates!C5</f>
        <v>Belgium</v>
      </c>
      <c r="C9" s="135" t="str">
        <f>Rates!D5</f>
        <v>Programme Countries</v>
      </c>
      <c r="D9" s="99">
        <f>Rates!E5</f>
        <v>280</v>
      </c>
      <c r="E9" s="99">
        <f>Rates!F5</f>
        <v>214</v>
      </c>
      <c r="F9" s="99">
        <f>Rates!G5</f>
        <v>162</v>
      </c>
      <c r="G9" s="99">
        <f>Rates!H5</f>
        <v>131</v>
      </c>
      <c r="I9" s="98" t="str">
        <f>Rates!P5</f>
        <v>100 KM and 499 KM</v>
      </c>
      <c r="J9" s="98">
        <f>Rates!Q5</f>
        <v>180</v>
      </c>
      <c r="L9" s="13">
        <v>2</v>
      </c>
      <c r="M9" s="99">
        <f t="shared" ref="M9:M21" si="0">L9*55</f>
        <v>110</v>
      </c>
      <c r="N9" s="99">
        <f t="shared" ref="N9:N21" si="1">L9*120</f>
        <v>240</v>
      </c>
      <c r="Q9" s="14"/>
      <c r="U9" s="14"/>
      <c r="W9" s="131" t="str">
        <f>Rates!N5</f>
        <v>Belgium</v>
      </c>
      <c r="X9" s="131" t="str">
        <f>VLOOKUP(W9,Rates!$C$4:$L$182,2,FALSE)</f>
        <v>Programme Countries</v>
      </c>
      <c r="Y9" s="132">
        <f>VLOOKUP(W9,Rates!$C$4:$L$182,7,FALSE)</f>
        <v>800</v>
      </c>
      <c r="Z9" s="132">
        <f>VLOOKUP(W9,Rates!$C$4:$L$182,8,FALSE)</f>
        <v>0</v>
      </c>
      <c r="AA9" s="133">
        <f>VLOOKUP(W9,Rates!$C$4:$L$182,9,FALSE)</f>
        <v>140</v>
      </c>
      <c r="AB9" s="134">
        <f>VLOOKUP(W9,Rates!$C$4:$L$182,10,FALSE)</f>
        <v>0</v>
      </c>
    </row>
    <row r="10" spans="2:28" x14ac:dyDescent="0.25">
      <c r="B10" s="135" t="str">
        <f>Rates!C6</f>
        <v>Bulgaria</v>
      </c>
      <c r="C10" s="135" t="str">
        <f>Rates!D6</f>
        <v>Programme Countries</v>
      </c>
      <c r="D10" s="99">
        <f>Rates!E6</f>
        <v>88</v>
      </c>
      <c r="E10" s="99">
        <f>Rates!F6</f>
        <v>74</v>
      </c>
      <c r="F10" s="99">
        <f>Rates!G6</f>
        <v>55</v>
      </c>
      <c r="G10" s="99">
        <f>Rates!H6</f>
        <v>39</v>
      </c>
      <c r="I10" s="98" t="str">
        <f>Rates!P6</f>
        <v>500 KM and 1999 KM</v>
      </c>
      <c r="J10" s="98">
        <f>Rates!Q6</f>
        <v>275</v>
      </c>
      <c r="L10" s="13">
        <v>3</v>
      </c>
      <c r="M10" s="99">
        <f t="shared" si="0"/>
        <v>165</v>
      </c>
      <c r="N10" s="99">
        <f t="shared" si="1"/>
        <v>360</v>
      </c>
      <c r="W10" s="131" t="str">
        <f>Rates!N6</f>
        <v>Bulgaria</v>
      </c>
      <c r="X10" s="131" t="str">
        <f>VLOOKUP(W10,Rates!$C$4:$L$182,2,FALSE)</f>
        <v>Programme Countries</v>
      </c>
      <c r="Y10" s="132">
        <f>VLOOKUP(W10,Rates!$C$4:$L$182,7,FALSE)</f>
        <v>750</v>
      </c>
      <c r="Z10" s="132">
        <f>VLOOKUP(W10,Rates!$C$4:$L$182,8,FALSE)</f>
        <v>0</v>
      </c>
      <c r="AA10" s="133">
        <f>VLOOKUP(W10,Rates!$C$4:$L$182,9,FALSE)</f>
        <v>140</v>
      </c>
      <c r="AB10" s="134">
        <f>VLOOKUP(W10,Rates!$C$4:$L$182,10,FALSE)</f>
        <v>0</v>
      </c>
    </row>
    <row r="11" spans="2:28" x14ac:dyDescent="0.25">
      <c r="B11" s="135" t="str">
        <f>Rates!C7</f>
        <v>Croatia</v>
      </c>
      <c r="C11" s="135" t="str">
        <f>Rates!D7</f>
        <v>Programme Countries</v>
      </c>
      <c r="D11" s="99">
        <f>Rates!E7</f>
        <v>88</v>
      </c>
      <c r="E11" s="99">
        <f>Rates!F7</f>
        <v>74</v>
      </c>
      <c r="F11" s="99">
        <f>Rates!G7</f>
        <v>55</v>
      </c>
      <c r="G11" s="99">
        <f>Rates!H7</f>
        <v>39</v>
      </c>
      <c r="I11" s="98" t="str">
        <f>Rates!P7</f>
        <v>2000 KM and 2999 KM</v>
      </c>
      <c r="J11" s="98">
        <f>Rates!Q7</f>
        <v>360</v>
      </c>
      <c r="L11" s="13">
        <v>4</v>
      </c>
      <c r="M11" s="99">
        <f t="shared" si="0"/>
        <v>220</v>
      </c>
      <c r="N11" s="99">
        <f t="shared" si="1"/>
        <v>480</v>
      </c>
      <c r="W11" s="131" t="str">
        <f>Rates!N7</f>
        <v>Croatia</v>
      </c>
      <c r="X11" s="131" t="str">
        <f>VLOOKUP(W11,Rates!$C$4:$L$182,2,FALSE)</f>
        <v>Programme Countries</v>
      </c>
      <c r="Y11" s="132">
        <f>VLOOKUP(W11,Rates!$C$4:$L$182,7,FALSE)</f>
        <v>800</v>
      </c>
      <c r="Z11" s="132">
        <f>VLOOKUP(W11,Rates!$C$4:$L$182,8,FALSE)</f>
        <v>0</v>
      </c>
      <c r="AA11" s="133">
        <f>VLOOKUP(W11,Rates!$C$4:$L$182,9,FALSE)</f>
        <v>100</v>
      </c>
      <c r="AB11" s="134">
        <f>VLOOKUP(W11,Rates!$C$4:$L$182,10,FALSE)</f>
        <v>0</v>
      </c>
    </row>
    <row r="12" spans="2:28" x14ac:dyDescent="0.25">
      <c r="B12" s="135" t="str">
        <f>Rates!C8</f>
        <v>Cyprus</v>
      </c>
      <c r="C12" s="135" t="str">
        <f>Rates!D8</f>
        <v>Programme Countries</v>
      </c>
      <c r="D12" s="99">
        <f>Rates!E8</f>
        <v>164</v>
      </c>
      <c r="E12" s="99">
        <f>Rates!F8</f>
        <v>137</v>
      </c>
      <c r="F12" s="99">
        <f>Rates!G8</f>
        <v>102</v>
      </c>
      <c r="G12" s="99">
        <f>Rates!H8</f>
        <v>78</v>
      </c>
      <c r="I12" s="98" t="str">
        <f>Rates!P8</f>
        <v>3000 KM and 3999 KM</v>
      </c>
      <c r="J12" s="98">
        <f>Rates!Q8</f>
        <v>530</v>
      </c>
      <c r="L12" s="13">
        <v>5</v>
      </c>
      <c r="M12" s="99">
        <f t="shared" si="0"/>
        <v>275</v>
      </c>
      <c r="N12" s="99">
        <f t="shared" si="1"/>
        <v>600</v>
      </c>
      <c r="W12" s="131" t="str">
        <f>Rates!N8</f>
        <v>Cyprus</v>
      </c>
      <c r="X12" s="131" t="str">
        <f>VLOOKUP(W12,Rates!$C$4:$L$182,2,FALSE)</f>
        <v>Programme Countries</v>
      </c>
      <c r="Y12" s="132">
        <f>VLOOKUP(W12,Rates!$C$4:$L$182,7,FALSE)</f>
        <v>800</v>
      </c>
      <c r="Z12" s="132">
        <f>VLOOKUP(W12,Rates!$C$4:$L$182,8,FALSE)</f>
        <v>0</v>
      </c>
      <c r="AA12" s="133">
        <f>VLOOKUP(W12,Rates!$C$4:$L$182,9,FALSE)</f>
        <v>140</v>
      </c>
      <c r="AB12" s="134">
        <f>VLOOKUP(W12,Rates!$C$4:$L$182,10,FALSE)</f>
        <v>0</v>
      </c>
    </row>
    <row r="13" spans="2:28" x14ac:dyDescent="0.25">
      <c r="B13" s="135" t="str">
        <f>Rates!C9</f>
        <v>Czech Republic</v>
      </c>
      <c r="C13" s="135" t="str">
        <f>Rates!D9</f>
        <v>Programme Countries</v>
      </c>
      <c r="D13" s="99">
        <f>Rates!E9</f>
        <v>164</v>
      </c>
      <c r="E13" s="99">
        <f>Rates!F9</f>
        <v>137</v>
      </c>
      <c r="F13" s="99">
        <f>Rates!G9</f>
        <v>102</v>
      </c>
      <c r="G13" s="99">
        <f>Rates!H9</f>
        <v>78</v>
      </c>
      <c r="I13" s="98" t="str">
        <f>Rates!P9</f>
        <v>4000 KM and 7999 KM</v>
      </c>
      <c r="J13" s="98">
        <f>Rates!Q9</f>
        <v>820</v>
      </c>
      <c r="L13" s="13">
        <v>6</v>
      </c>
      <c r="M13" s="99">
        <f t="shared" si="0"/>
        <v>330</v>
      </c>
      <c r="N13" s="99">
        <f t="shared" si="1"/>
        <v>720</v>
      </c>
      <c r="W13" s="131" t="str">
        <f>Rates!N9</f>
        <v>Czech Republic</v>
      </c>
      <c r="X13" s="131" t="str">
        <f>VLOOKUP(W13,Rates!$C$4:$L$182,2,FALSE)</f>
        <v>Programme Countries</v>
      </c>
      <c r="Y13" s="132">
        <f>VLOOKUP(W13,Rates!$C$4:$L$182,7,FALSE)</f>
        <v>800</v>
      </c>
      <c r="Z13" s="132">
        <f>VLOOKUP(W13,Rates!$C$4:$L$182,8,FALSE)</f>
        <v>0</v>
      </c>
      <c r="AA13" s="133">
        <f>VLOOKUP(W13,Rates!$C$4:$L$182,9,FALSE)</f>
        <v>140</v>
      </c>
      <c r="AB13" s="134">
        <f>VLOOKUP(W13,Rates!$C$4:$L$182,10,FALSE)</f>
        <v>0</v>
      </c>
    </row>
    <row r="14" spans="2:28" x14ac:dyDescent="0.25">
      <c r="B14" s="135" t="str">
        <f>Rates!C10</f>
        <v>Denmark</v>
      </c>
      <c r="C14" s="135" t="str">
        <f>Rates!D10</f>
        <v>Programme Countries</v>
      </c>
      <c r="D14" s="99">
        <f>Rates!E10</f>
        <v>294</v>
      </c>
      <c r="E14" s="99">
        <f>Rates!F10</f>
        <v>241</v>
      </c>
      <c r="F14" s="99">
        <f>Rates!G10</f>
        <v>190</v>
      </c>
      <c r="G14" s="99">
        <f>Rates!H10</f>
        <v>157</v>
      </c>
      <c r="I14" s="98" t="str">
        <f>Rates!P10</f>
        <v>8000 KM or more</v>
      </c>
      <c r="J14" s="98">
        <f>Rates!Q10</f>
        <v>1100</v>
      </c>
      <c r="L14" s="13">
        <v>7</v>
      </c>
      <c r="M14" s="99">
        <f t="shared" si="0"/>
        <v>385</v>
      </c>
      <c r="N14" s="99">
        <f t="shared" si="1"/>
        <v>840</v>
      </c>
      <c r="W14" s="131" t="str">
        <f>Rates!N10</f>
        <v>Denmark</v>
      </c>
      <c r="X14" s="131" t="str">
        <f>VLOOKUP(W14,Rates!$C$4:$L$182,2,FALSE)</f>
        <v>Programme Countries</v>
      </c>
      <c r="Y14" s="132">
        <f>VLOOKUP(W14,Rates!$C$4:$L$182,7,FALSE)</f>
        <v>850</v>
      </c>
      <c r="Z14" s="132">
        <f>VLOOKUP(W14,Rates!$C$4:$L$182,8,FALSE)</f>
        <v>0</v>
      </c>
      <c r="AA14" s="133">
        <f>VLOOKUP(W14,Rates!$C$4:$L$182,9,FALSE)</f>
        <v>160</v>
      </c>
      <c r="AB14" s="134">
        <f>VLOOKUP(W14,Rates!$C$4:$L$182,10,FALSE)</f>
        <v>0</v>
      </c>
    </row>
    <row r="15" spans="2:28" x14ac:dyDescent="0.25">
      <c r="B15" s="135" t="str">
        <f>Rates!C11</f>
        <v>Estonia</v>
      </c>
      <c r="C15" s="135" t="str">
        <f>Rates!D11</f>
        <v>Programme Countries</v>
      </c>
      <c r="D15" s="99">
        <f>Rates!E11</f>
        <v>88</v>
      </c>
      <c r="E15" s="99">
        <f>Rates!F11</f>
        <v>74</v>
      </c>
      <c r="F15" s="99">
        <f>Rates!G11</f>
        <v>55</v>
      </c>
      <c r="G15" s="99">
        <f>Rates!H11</f>
        <v>39</v>
      </c>
      <c r="I15" s="11"/>
      <c r="J15" s="14"/>
      <c r="L15" s="13">
        <v>8</v>
      </c>
      <c r="M15" s="99">
        <f t="shared" si="0"/>
        <v>440</v>
      </c>
      <c r="N15" s="99">
        <f t="shared" si="1"/>
        <v>960</v>
      </c>
      <c r="W15" s="131" t="str">
        <f>Rates!N11</f>
        <v>Estonia</v>
      </c>
      <c r="X15" s="131" t="str">
        <f>VLOOKUP(W15,Rates!$C$4:$L$182,2,FALSE)</f>
        <v>Programme Countries</v>
      </c>
      <c r="Y15" s="132">
        <f>VLOOKUP(W15,Rates!$C$4:$L$182,7,FALSE)</f>
        <v>750</v>
      </c>
      <c r="Z15" s="132">
        <f>VLOOKUP(W15,Rates!$C$4:$L$182,8,FALSE)</f>
        <v>0</v>
      </c>
      <c r="AA15" s="133">
        <f>VLOOKUP(W15,Rates!$C$4:$L$182,9,FALSE)</f>
        <v>100</v>
      </c>
      <c r="AB15" s="134">
        <f>VLOOKUP(W15,Rates!$C$4:$L$182,10,FALSE)</f>
        <v>0</v>
      </c>
    </row>
    <row r="16" spans="2:28" x14ac:dyDescent="0.25">
      <c r="B16" s="135" t="str">
        <f>Rates!C12</f>
        <v>Finland</v>
      </c>
      <c r="C16" s="135" t="str">
        <f>Rates!D12</f>
        <v>Programme Countries</v>
      </c>
      <c r="D16" s="99">
        <f>Rates!E12</f>
        <v>280</v>
      </c>
      <c r="E16" s="99">
        <f>Rates!F12</f>
        <v>214</v>
      </c>
      <c r="F16" s="99">
        <f>Rates!G12</f>
        <v>162</v>
      </c>
      <c r="G16" s="99">
        <f>Rates!H12</f>
        <v>131</v>
      </c>
      <c r="J16" s="14"/>
      <c r="L16" s="13">
        <v>9</v>
      </c>
      <c r="M16" s="99">
        <f t="shared" si="0"/>
        <v>495</v>
      </c>
      <c r="N16" s="99">
        <f t="shared" si="1"/>
        <v>1080</v>
      </c>
      <c r="W16" s="131" t="str">
        <f>Rates!N12</f>
        <v>Finland</v>
      </c>
      <c r="X16" s="131" t="str">
        <f>VLOOKUP(W16,Rates!$C$4:$L$182,2,FALSE)</f>
        <v>Programme Countries</v>
      </c>
      <c r="Y16" s="132">
        <f>VLOOKUP(W16,Rates!$C$4:$L$182,7,FALSE)</f>
        <v>850</v>
      </c>
      <c r="Z16" s="132">
        <f>VLOOKUP(W16,Rates!$C$4:$L$182,8,FALSE)</f>
        <v>0</v>
      </c>
      <c r="AA16" s="133">
        <f>VLOOKUP(W16,Rates!$C$4:$L$182,9,FALSE)</f>
        <v>140</v>
      </c>
      <c r="AB16" s="134">
        <f>VLOOKUP(W16,Rates!$C$4:$L$182,10,FALSE)</f>
        <v>0</v>
      </c>
    </row>
    <row r="17" spans="2:28" x14ac:dyDescent="0.25">
      <c r="B17" s="135" t="str">
        <f>Rates!C13</f>
        <v>former Yugoslav Republic of Macedonia</v>
      </c>
      <c r="C17" s="135" t="str">
        <f>Rates!D13</f>
        <v>Programme Countries</v>
      </c>
      <c r="D17" s="99">
        <f>Rates!E13</f>
        <v>88</v>
      </c>
      <c r="E17" s="99">
        <f>Rates!F13</f>
        <v>74</v>
      </c>
      <c r="F17" s="99">
        <f>Rates!G13</f>
        <v>55</v>
      </c>
      <c r="G17" s="99">
        <f>Rates!H13</f>
        <v>39</v>
      </c>
      <c r="L17" s="13">
        <v>10</v>
      </c>
      <c r="M17" s="99">
        <f t="shared" si="0"/>
        <v>550</v>
      </c>
      <c r="N17" s="99">
        <f t="shared" si="1"/>
        <v>1200</v>
      </c>
      <c r="W17" s="131" t="str">
        <f>Rates!N13</f>
        <v>former Yugoslav Republic of Macedonia</v>
      </c>
      <c r="X17" s="131" t="str">
        <f>VLOOKUP(W17,Rates!$C$4:$L$182,2,FALSE)</f>
        <v>Programme Countries</v>
      </c>
      <c r="Y17" s="132">
        <f>VLOOKUP(W17,Rates!$C$4:$L$182,7,FALSE)</f>
        <v>750</v>
      </c>
      <c r="Z17" s="132">
        <f>VLOOKUP(W17,Rates!$C$4:$L$182,8,FALSE)</f>
        <v>0</v>
      </c>
      <c r="AA17" s="133">
        <f>VLOOKUP(W17,Rates!$C$4:$L$182,9,FALSE)</f>
        <v>120</v>
      </c>
      <c r="AB17" s="134">
        <f>VLOOKUP(W17,Rates!$C$4:$L$182,10,FALSE)</f>
        <v>0</v>
      </c>
    </row>
    <row r="18" spans="2:28" ht="15" customHeight="1" x14ac:dyDescent="0.25">
      <c r="B18" s="135" t="str">
        <f>Rates!C14</f>
        <v>France</v>
      </c>
      <c r="C18" s="135" t="str">
        <f>Rates!D14</f>
        <v>Programme Countries</v>
      </c>
      <c r="D18" s="99">
        <f>Rates!E14</f>
        <v>280</v>
      </c>
      <c r="E18" s="99">
        <f>Rates!F14</f>
        <v>214</v>
      </c>
      <c r="F18" s="99">
        <f>Rates!G14</f>
        <v>162</v>
      </c>
      <c r="G18" s="99">
        <f>Rates!H14</f>
        <v>131</v>
      </c>
      <c r="L18" s="13">
        <v>11</v>
      </c>
      <c r="M18" s="99">
        <f t="shared" si="0"/>
        <v>605</v>
      </c>
      <c r="N18" s="99">
        <f t="shared" si="1"/>
        <v>1320</v>
      </c>
      <c r="W18" s="131" t="str">
        <f>Rates!N14</f>
        <v>France</v>
      </c>
      <c r="X18" s="131" t="str">
        <f>VLOOKUP(W18,Rates!$C$4:$L$182,2,FALSE)</f>
        <v>Programme Countries</v>
      </c>
      <c r="Y18" s="132">
        <f>VLOOKUP(W18,Rates!$C$4:$L$182,7,FALSE)</f>
        <v>850</v>
      </c>
      <c r="Z18" s="132">
        <f>VLOOKUP(W18,Rates!$C$4:$L$182,8,FALSE)</f>
        <v>0</v>
      </c>
      <c r="AA18" s="133">
        <f>VLOOKUP(W18,Rates!$C$4:$L$182,9,FALSE)</f>
        <v>140</v>
      </c>
      <c r="AB18" s="134">
        <f>VLOOKUP(W18,Rates!$C$4:$L$182,10,FALSE)</f>
        <v>0</v>
      </c>
    </row>
    <row r="19" spans="2:28" x14ac:dyDescent="0.25">
      <c r="B19" s="135" t="str">
        <f>Rates!C15</f>
        <v>Germany</v>
      </c>
      <c r="C19" s="135" t="str">
        <f>Rates!D15</f>
        <v>Programme Countries</v>
      </c>
      <c r="D19" s="99">
        <f>Rates!E15</f>
        <v>280</v>
      </c>
      <c r="E19" s="99">
        <f>Rates!F15</f>
        <v>214</v>
      </c>
      <c r="F19" s="99">
        <f>Rates!G15</f>
        <v>162</v>
      </c>
      <c r="G19" s="99">
        <f>Rates!H15</f>
        <v>131</v>
      </c>
      <c r="L19" s="13">
        <v>12</v>
      </c>
      <c r="M19" s="99">
        <f t="shared" si="0"/>
        <v>660</v>
      </c>
      <c r="N19" s="99">
        <f t="shared" si="1"/>
        <v>1440</v>
      </c>
      <c r="W19" s="131" t="str">
        <f>Rates!N15</f>
        <v>Germany</v>
      </c>
      <c r="X19" s="131" t="str">
        <f>VLOOKUP(W19,Rates!$C$4:$L$182,2,FALSE)</f>
        <v>Programme Countries</v>
      </c>
      <c r="Y19" s="132">
        <f>VLOOKUP(W19,Rates!$C$4:$L$182,7,FALSE)</f>
        <v>800</v>
      </c>
      <c r="Z19" s="132">
        <f>VLOOKUP(W19,Rates!$C$4:$L$182,8,FALSE)</f>
        <v>0</v>
      </c>
      <c r="AA19" s="133">
        <f>VLOOKUP(W19,Rates!$C$4:$L$182,9,FALSE)</f>
        <v>120</v>
      </c>
      <c r="AB19" s="134">
        <f>VLOOKUP(W19,Rates!$C$4:$L$182,10,FALSE)</f>
        <v>0</v>
      </c>
    </row>
    <row r="20" spans="2:28" x14ac:dyDescent="0.25">
      <c r="B20" s="135" t="str">
        <f>Rates!C16</f>
        <v>Greece</v>
      </c>
      <c r="C20" s="135" t="str">
        <f>Rates!D16</f>
        <v>Programme Countries</v>
      </c>
      <c r="D20" s="99">
        <f>Rates!E16</f>
        <v>164</v>
      </c>
      <c r="E20" s="99">
        <f>Rates!F16</f>
        <v>137</v>
      </c>
      <c r="F20" s="99">
        <f>Rates!G16</f>
        <v>102</v>
      </c>
      <c r="G20" s="99">
        <f>Rates!H16</f>
        <v>78</v>
      </c>
      <c r="L20" s="13">
        <v>13</v>
      </c>
      <c r="M20" s="99">
        <f t="shared" si="0"/>
        <v>715</v>
      </c>
      <c r="N20" s="99">
        <f t="shared" si="1"/>
        <v>1560</v>
      </c>
      <c r="W20" s="131" t="str">
        <f>Rates!N16</f>
        <v>Greece</v>
      </c>
      <c r="X20" s="131" t="str">
        <f>VLOOKUP(W20,Rates!$C$4:$L$182,2,FALSE)</f>
        <v>Programme Countries</v>
      </c>
      <c r="Y20" s="132">
        <f>VLOOKUP(W20,Rates!$C$4:$L$182,7,FALSE)</f>
        <v>800</v>
      </c>
      <c r="Z20" s="132">
        <f>VLOOKUP(W20,Rates!$C$4:$L$182,8,FALSE)</f>
        <v>0</v>
      </c>
      <c r="AA20" s="133">
        <f>VLOOKUP(W20,Rates!$C$4:$L$182,9,FALSE)</f>
        <v>140</v>
      </c>
      <c r="AB20" s="134">
        <f>VLOOKUP(W20,Rates!$C$4:$L$182,10,FALSE)</f>
        <v>0</v>
      </c>
    </row>
    <row r="21" spans="2:28" x14ac:dyDescent="0.25">
      <c r="B21" s="135" t="str">
        <f>Rates!C17</f>
        <v>Hungary</v>
      </c>
      <c r="C21" s="135" t="str">
        <f>Rates!D17</f>
        <v>Programme Countries</v>
      </c>
      <c r="D21" s="99">
        <f>Rates!E17</f>
        <v>88</v>
      </c>
      <c r="E21" s="99">
        <f>Rates!F17</f>
        <v>74</v>
      </c>
      <c r="F21" s="99">
        <f>Rates!G17</f>
        <v>55</v>
      </c>
      <c r="G21" s="99">
        <f>Rates!H17</f>
        <v>39</v>
      </c>
      <c r="L21" s="13">
        <v>14</v>
      </c>
      <c r="M21" s="99">
        <f t="shared" si="0"/>
        <v>770</v>
      </c>
      <c r="N21" s="99">
        <f t="shared" si="1"/>
        <v>1680</v>
      </c>
      <c r="W21" s="131" t="str">
        <f>Rates!N17</f>
        <v>Hungary</v>
      </c>
      <c r="X21" s="131" t="str">
        <f>VLOOKUP(W21,Rates!$C$4:$L$182,2,FALSE)</f>
        <v>Programme Countries</v>
      </c>
      <c r="Y21" s="132">
        <f>VLOOKUP(W21,Rates!$C$4:$L$182,7,FALSE)</f>
        <v>750</v>
      </c>
      <c r="Z21" s="132">
        <f>VLOOKUP(W21,Rates!$C$4:$L$182,8,FALSE)</f>
        <v>0</v>
      </c>
      <c r="AA21" s="133">
        <f>VLOOKUP(W21,Rates!$C$4:$L$182,9,FALSE)</f>
        <v>140</v>
      </c>
      <c r="AB21" s="134">
        <f>VLOOKUP(W21,Rates!$C$4:$L$182,10,FALSE)</f>
        <v>0</v>
      </c>
    </row>
    <row r="22" spans="2:28" x14ac:dyDescent="0.25">
      <c r="B22" s="135" t="str">
        <f>Rates!C18</f>
        <v>Iceland</v>
      </c>
      <c r="C22" s="135" t="str">
        <f>Rates!D18</f>
        <v>Programme Countries</v>
      </c>
      <c r="D22" s="99">
        <f>Rates!E18</f>
        <v>280</v>
      </c>
      <c r="E22" s="99">
        <f>Rates!F18</f>
        <v>214</v>
      </c>
      <c r="F22" s="99">
        <f>Rates!G18</f>
        <v>162</v>
      </c>
      <c r="G22" s="99">
        <f>Rates!H18</f>
        <v>131</v>
      </c>
      <c r="L22" s="13">
        <v>15</v>
      </c>
      <c r="M22" s="100">
        <f>((L22-$L$21)*40)+770</f>
        <v>810</v>
      </c>
      <c r="N22" s="121">
        <f>((L22-$L$21)*70)+1680</f>
        <v>1750</v>
      </c>
      <c r="W22" s="131" t="str">
        <f>Rates!N18</f>
        <v>Iceland</v>
      </c>
      <c r="X22" s="131" t="str">
        <f>VLOOKUP(W22,Rates!$C$4:$L$182,2,FALSE)</f>
        <v>Programme Countries</v>
      </c>
      <c r="Y22" s="132">
        <f>VLOOKUP(W22,Rates!$C$4:$L$182,7,FALSE)</f>
        <v>800</v>
      </c>
      <c r="Z22" s="132">
        <f>VLOOKUP(W22,Rates!$C$4:$L$182,8,FALSE)</f>
        <v>0</v>
      </c>
      <c r="AA22" s="133">
        <f>VLOOKUP(W22,Rates!$C$4:$L$182,9,FALSE)</f>
        <v>140</v>
      </c>
      <c r="AB22" s="134">
        <f>VLOOKUP(W22,Rates!$C$4:$L$182,10,FALSE)</f>
        <v>0</v>
      </c>
    </row>
    <row r="23" spans="2:28" x14ac:dyDescent="0.25">
      <c r="B23" s="135" t="str">
        <f>Rates!C19</f>
        <v>Ireland</v>
      </c>
      <c r="C23" s="135" t="str">
        <f>Rates!D19</f>
        <v>Programme Countries</v>
      </c>
      <c r="D23" s="99">
        <f>Rates!E19</f>
        <v>294</v>
      </c>
      <c r="E23" s="99">
        <f>Rates!F19</f>
        <v>241</v>
      </c>
      <c r="F23" s="99">
        <f>Rates!G19</f>
        <v>190</v>
      </c>
      <c r="G23" s="99">
        <f>Rates!H19</f>
        <v>157</v>
      </c>
      <c r="L23" s="13">
        <v>16</v>
      </c>
      <c r="M23" s="100">
        <f t="shared" ref="M23:M86" si="2">((L23-$L$21)*40)+770</f>
        <v>850</v>
      </c>
      <c r="N23" s="121">
        <f t="shared" ref="N23:N67" si="3">((L23-$L$21)*70)+1680</f>
        <v>1820</v>
      </c>
      <c r="W23" s="131" t="str">
        <f>Rates!N19</f>
        <v>Ireland</v>
      </c>
      <c r="X23" s="131" t="str">
        <f>VLOOKUP(W23,Rates!$C$4:$L$182,2,FALSE)</f>
        <v>Programme Countries</v>
      </c>
      <c r="Y23" s="132">
        <f>VLOOKUP(W23,Rates!$C$4:$L$182,7,FALSE)</f>
        <v>850</v>
      </c>
      <c r="Z23" s="132">
        <f>VLOOKUP(W23,Rates!$C$4:$L$182,8,FALSE)</f>
        <v>0</v>
      </c>
      <c r="AA23" s="133">
        <f>VLOOKUP(W23,Rates!$C$4:$L$182,9,FALSE)</f>
        <v>160</v>
      </c>
      <c r="AB23" s="134">
        <f>VLOOKUP(W23,Rates!$C$4:$L$182,10,FALSE)</f>
        <v>0</v>
      </c>
    </row>
    <row r="24" spans="2:28" x14ac:dyDescent="0.25">
      <c r="B24" s="135" t="str">
        <f>Rates!C20</f>
        <v>Italy</v>
      </c>
      <c r="C24" s="135" t="str">
        <f>Rates!D20</f>
        <v>Programme Countries</v>
      </c>
      <c r="D24" s="99">
        <f>Rates!E20</f>
        <v>280</v>
      </c>
      <c r="E24" s="99">
        <f>Rates!F20</f>
        <v>214</v>
      </c>
      <c r="F24" s="99">
        <f>Rates!G20</f>
        <v>162</v>
      </c>
      <c r="G24" s="99">
        <f>Rates!H20</f>
        <v>131</v>
      </c>
      <c r="L24" s="13">
        <v>17</v>
      </c>
      <c r="M24" s="100">
        <f t="shared" si="2"/>
        <v>890</v>
      </c>
      <c r="N24" s="121">
        <f t="shared" si="3"/>
        <v>1890</v>
      </c>
      <c r="W24" s="131" t="str">
        <f>Rates!N20</f>
        <v>Italy</v>
      </c>
      <c r="X24" s="131" t="str">
        <f>VLOOKUP(W24,Rates!$C$4:$L$182,2,FALSE)</f>
        <v>Programme Countries</v>
      </c>
      <c r="Y24" s="132">
        <f>VLOOKUP(W24,Rates!$C$4:$L$182,7,FALSE)</f>
        <v>850</v>
      </c>
      <c r="Z24" s="132">
        <f>VLOOKUP(W24,Rates!$C$4:$L$182,8,FALSE)</f>
        <v>0</v>
      </c>
      <c r="AA24" s="133">
        <f>VLOOKUP(W24,Rates!$C$4:$L$182,9,FALSE)</f>
        <v>140</v>
      </c>
      <c r="AB24" s="134">
        <f>VLOOKUP(W24,Rates!$C$4:$L$182,10,FALSE)</f>
        <v>0</v>
      </c>
    </row>
    <row r="25" spans="2:28" x14ac:dyDescent="0.25">
      <c r="B25" s="135" t="str">
        <f>Rates!C21</f>
        <v>Latvia</v>
      </c>
      <c r="C25" s="135" t="str">
        <f>Rates!D21</f>
        <v>Programme Countries</v>
      </c>
      <c r="D25" s="99">
        <f>Rates!E21</f>
        <v>88</v>
      </c>
      <c r="E25" s="99">
        <f>Rates!F21</f>
        <v>74</v>
      </c>
      <c r="F25" s="99">
        <f>Rates!G21</f>
        <v>55</v>
      </c>
      <c r="G25" s="99">
        <f>Rates!H21</f>
        <v>39</v>
      </c>
      <c r="L25" s="13">
        <v>18</v>
      </c>
      <c r="M25" s="100">
        <f t="shared" si="2"/>
        <v>930</v>
      </c>
      <c r="N25" s="121">
        <f t="shared" si="3"/>
        <v>1960</v>
      </c>
      <c r="W25" s="131" t="str">
        <f>Rates!N21</f>
        <v>Latvia</v>
      </c>
      <c r="X25" s="131" t="str">
        <f>VLOOKUP(W25,Rates!$C$4:$L$182,2,FALSE)</f>
        <v>Programme Countries</v>
      </c>
      <c r="Y25" s="132">
        <f>VLOOKUP(W25,Rates!$C$4:$L$182,7,FALSE)</f>
        <v>750</v>
      </c>
      <c r="Z25" s="132">
        <f>VLOOKUP(W25,Rates!$C$4:$L$182,8,FALSE)</f>
        <v>0</v>
      </c>
      <c r="AA25" s="133">
        <f>VLOOKUP(W25,Rates!$C$4:$L$182,9,FALSE)</f>
        <v>120</v>
      </c>
      <c r="AB25" s="134">
        <f>VLOOKUP(W25,Rates!$C$4:$L$182,10,FALSE)</f>
        <v>0</v>
      </c>
    </row>
    <row r="26" spans="2:28" x14ac:dyDescent="0.25">
      <c r="B26" s="135" t="str">
        <f>Rates!C22</f>
        <v>Liechtenstein</v>
      </c>
      <c r="C26" s="135" t="str">
        <f>Rates!D22</f>
        <v>Programme Countries</v>
      </c>
      <c r="D26" s="99">
        <f>Rates!E22</f>
        <v>294</v>
      </c>
      <c r="E26" s="99">
        <f>Rates!F22</f>
        <v>241</v>
      </c>
      <c r="F26" s="99">
        <f>Rates!G22</f>
        <v>190</v>
      </c>
      <c r="G26" s="99">
        <f>Rates!H22</f>
        <v>157</v>
      </c>
      <c r="L26" s="13">
        <v>19</v>
      </c>
      <c r="M26" s="100">
        <f t="shared" si="2"/>
        <v>970</v>
      </c>
      <c r="N26" s="121">
        <f t="shared" si="3"/>
        <v>2030</v>
      </c>
      <c r="W26" s="131" t="str">
        <f>Rates!N22</f>
        <v>Liechtenstein</v>
      </c>
      <c r="X26" s="131" t="str">
        <f>VLOOKUP(W26,Rates!$C$4:$L$182,2,FALSE)</f>
        <v>Programme Countries</v>
      </c>
      <c r="Y26" s="132">
        <f>VLOOKUP(W26,Rates!$C$4:$L$182,7,FALSE)</f>
        <v>850</v>
      </c>
      <c r="Z26" s="132">
        <f>VLOOKUP(W26,Rates!$C$4:$L$182,8,FALSE)</f>
        <v>0</v>
      </c>
      <c r="AA26" s="133">
        <f>VLOOKUP(W26,Rates!$C$4:$L$182,9,FALSE)</f>
        <v>140</v>
      </c>
      <c r="AB26" s="134">
        <f>VLOOKUP(W26,Rates!$C$4:$L$182,10,FALSE)</f>
        <v>0</v>
      </c>
    </row>
    <row r="27" spans="2:28" x14ac:dyDescent="0.25">
      <c r="B27" s="135" t="str">
        <f>Rates!C23</f>
        <v>Lithuania</v>
      </c>
      <c r="C27" s="135" t="str">
        <f>Rates!D23</f>
        <v>Programme Countries</v>
      </c>
      <c r="D27" s="99">
        <f>Rates!E23</f>
        <v>88</v>
      </c>
      <c r="E27" s="99">
        <f>Rates!F23</f>
        <v>74</v>
      </c>
      <c r="F27" s="99">
        <f>Rates!G23</f>
        <v>55</v>
      </c>
      <c r="G27" s="99">
        <f>Rates!H23</f>
        <v>39</v>
      </c>
      <c r="L27" s="13">
        <v>20</v>
      </c>
      <c r="M27" s="100">
        <f t="shared" si="2"/>
        <v>1010</v>
      </c>
      <c r="N27" s="121">
        <f t="shared" si="3"/>
        <v>2100</v>
      </c>
      <c r="W27" s="131" t="str">
        <f>Rates!N23</f>
        <v>Lithuania</v>
      </c>
      <c r="X27" s="131" t="str">
        <f>VLOOKUP(W27,Rates!$C$4:$L$182,2,FALSE)</f>
        <v>Programme Countries</v>
      </c>
      <c r="Y27" s="132">
        <f>VLOOKUP(W27,Rates!$C$4:$L$182,7,FALSE)</f>
        <v>750</v>
      </c>
      <c r="Z27" s="132">
        <f>VLOOKUP(W27,Rates!$C$4:$L$182,8,FALSE)</f>
        <v>0</v>
      </c>
      <c r="AA27" s="133">
        <f>VLOOKUP(W27,Rates!$C$4:$L$182,9,FALSE)</f>
        <v>100</v>
      </c>
      <c r="AB27" s="134">
        <f>VLOOKUP(W27,Rates!$C$4:$L$182,10,FALSE)</f>
        <v>0</v>
      </c>
    </row>
    <row r="28" spans="2:28" x14ac:dyDescent="0.25">
      <c r="B28" s="135" t="str">
        <f>Rates!C24</f>
        <v>Luxembourg</v>
      </c>
      <c r="C28" s="135" t="str">
        <f>Rates!D24</f>
        <v>Programme Countries</v>
      </c>
      <c r="D28" s="99">
        <f>Rates!E24</f>
        <v>294</v>
      </c>
      <c r="E28" s="99">
        <f>Rates!F24</f>
        <v>241</v>
      </c>
      <c r="F28" s="99">
        <f>Rates!G24</f>
        <v>190</v>
      </c>
      <c r="G28" s="99">
        <f>Rates!H24</f>
        <v>157</v>
      </c>
      <c r="L28" s="13">
        <v>21</v>
      </c>
      <c r="M28" s="100">
        <f t="shared" si="2"/>
        <v>1050</v>
      </c>
      <c r="N28" s="121">
        <f t="shared" si="3"/>
        <v>2170</v>
      </c>
      <c r="W28" s="131" t="str">
        <f>Rates!N24</f>
        <v>Luxembourg</v>
      </c>
      <c r="X28" s="131" t="str">
        <f>VLOOKUP(W28,Rates!$C$4:$L$182,2,FALSE)</f>
        <v>Programme Countries</v>
      </c>
      <c r="Y28" s="132">
        <f>VLOOKUP(W28,Rates!$C$4:$L$182,7,FALSE)</f>
        <v>800</v>
      </c>
      <c r="Z28" s="132">
        <f>VLOOKUP(W28,Rates!$C$4:$L$182,8,FALSE)</f>
        <v>0</v>
      </c>
      <c r="AA28" s="133">
        <f>VLOOKUP(W28,Rates!$C$4:$L$182,9,FALSE)</f>
        <v>140</v>
      </c>
      <c r="AB28" s="134">
        <f>VLOOKUP(W28,Rates!$C$4:$L$182,10,FALSE)</f>
        <v>0</v>
      </c>
    </row>
    <row r="29" spans="2:28" x14ac:dyDescent="0.25">
      <c r="B29" s="135" t="str">
        <f>Rates!C25</f>
        <v>Malta</v>
      </c>
      <c r="C29" s="135" t="str">
        <f>Rates!D25</f>
        <v>Programme Countries</v>
      </c>
      <c r="D29" s="99">
        <f>Rates!E25</f>
        <v>164</v>
      </c>
      <c r="E29" s="99">
        <f>Rates!F25</f>
        <v>137</v>
      </c>
      <c r="F29" s="99">
        <f>Rates!G25</f>
        <v>102</v>
      </c>
      <c r="G29" s="99">
        <f>Rates!H25</f>
        <v>78</v>
      </c>
      <c r="L29" s="13">
        <v>22</v>
      </c>
      <c r="M29" s="100">
        <f t="shared" si="2"/>
        <v>1090</v>
      </c>
      <c r="N29" s="121">
        <f t="shared" si="3"/>
        <v>2240</v>
      </c>
      <c r="W29" s="131" t="str">
        <f>Rates!N25</f>
        <v>Malta</v>
      </c>
      <c r="X29" s="131" t="str">
        <f>VLOOKUP(W29,Rates!$C$4:$L$182,2,FALSE)</f>
        <v>Programme Countries</v>
      </c>
      <c r="Y29" s="132">
        <f>VLOOKUP(W29,Rates!$C$4:$L$182,7,FALSE)</f>
        <v>750</v>
      </c>
      <c r="Z29" s="132">
        <f>VLOOKUP(W29,Rates!$C$4:$L$182,8,FALSE)</f>
        <v>0</v>
      </c>
      <c r="AA29" s="133">
        <f>VLOOKUP(W29,Rates!$C$4:$L$182,9,FALSE)</f>
        <v>120</v>
      </c>
      <c r="AB29" s="134">
        <f>VLOOKUP(W29,Rates!$C$4:$L$182,10,FALSE)</f>
        <v>0</v>
      </c>
    </row>
    <row r="30" spans="2:28" x14ac:dyDescent="0.25">
      <c r="B30" s="135" t="str">
        <f>Rates!C26</f>
        <v>Netherlands</v>
      </c>
      <c r="C30" s="135" t="str">
        <f>Rates!D26</f>
        <v>Programme Countries</v>
      </c>
      <c r="D30" s="99">
        <f>Rates!E26</f>
        <v>294</v>
      </c>
      <c r="E30" s="99">
        <f>Rates!F26</f>
        <v>241</v>
      </c>
      <c r="F30" s="99">
        <f>Rates!G26</f>
        <v>190</v>
      </c>
      <c r="G30" s="99">
        <f>Rates!H26</f>
        <v>157</v>
      </c>
      <c r="L30" s="13">
        <v>23</v>
      </c>
      <c r="M30" s="100">
        <f t="shared" si="2"/>
        <v>1130</v>
      </c>
      <c r="N30" s="121">
        <f t="shared" si="3"/>
        <v>2310</v>
      </c>
      <c r="W30" s="131" t="str">
        <f>Rates!N26</f>
        <v>Netherlands</v>
      </c>
      <c r="X30" s="131" t="str">
        <f>VLOOKUP(W30,Rates!$C$4:$L$182,2,FALSE)</f>
        <v>Programme Countries</v>
      </c>
      <c r="Y30" s="132">
        <f>VLOOKUP(W30,Rates!$C$4:$L$182,7,FALSE)</f>
        <v>800</v>
      </c>
      <c r="Z30" s="132">
        <f>VLOOKUP(W30,Rates!$C$4:$L$182,8,FALSE)</f>
        <v>0</v>
      </c>
      <c r="AA30" s="133">
        <f>VLOOKUP(W30,Rates!$C$4:$L$182,9,FALSE)</f>
        <v>160</v>
      </c>
      <c r="AB30" s="134">
        <f>VLOOKUP(W30,Rates!$C$4:$L$182,10,FALSE)</f>
        <v>0</v>
      </c>
    </row>
    <row r="31" spans="2:28" x14ac:dyDescent="0.25">
      <c r="B31" s="135" t="str">
        <f>Rates!C27</f>
        <v>Norway</v>
      </c>
      <c r="C31" s="135" t="str">
        <f>Rates!D27</f>
        <v>Programme Countries</v>
      </c>
      <c r="D31" s="99">
        <f>Rates!E27</f>
        <v>294</v>
      </c>
      <c r="E31" s="99">
        <f>Rates!F27</f>
        <v>241</v>
      </c>
      <c r="F31" s="99">
        <f>Rates!G27</f>
        <v>190</v>
      </c>
      <c r="G31" s="99">
        <f>Rates!H27</f>
        <v>157</v>
      </c>
      <c r="L31" s="13">
        <v>24</v>
      </c>
      <c r="M31" s="100">
        <f t="shared" si="2"/>
        <v>1170</v>
      </c>
      <c r="N31" s="121">
        <f t="shared" si="3"/>
        <v>2380</v>
      </c>
      <c r="W31" s="131" t="str">
        <f>Rates!N27</f>
        <v>Norway</v>
      </c>
      <c r="X31" s="131" t="str">
        <f>VLOOKUP(W31,Rates!$C$4:$L$182,2,FALSE)</f>
        <v>Programme Countries</v>
      </c>
      <c r="Y31" s="132">
        <f>VLOOKUP(W31,Rates!$C$4:$L$182,7,FALSE)</f>
        <v>850</v>
      </c>
      <c r="Z31" s="132">
        <f>VLOOKUP(W31,Rates!$C$4:$L$182,8,FALSE)</f>
        <v>0</v>
      </c>
      <c r="AA31" s="133">
        <f>VLOOKUP(W31,Rates!$C$4:$L$182,9,FALSE)</f>
        <v>140</v>
      </c>
      <c r="AB31" s="134">
        <f>VLOOKUP(W31,Rates!$C$4:$L$182,10,FALSE)</f>
        <v>0</v>
      </c>
    </row>
    <row r="32" spans="2:28" x14ac:dyDescent="0.25">
      <c r="B32" s="135" t="str">
        <f>Rates!C28</f>
        <v>Poland</v>
      </c>
      <c r="C32" s="135" t="str">
        <f>Rates!D28</f>
        <v>Programme Countries</v>
      </c>
      <c r="D32" s="99">
        <f>Rates!E28</f>
        <v>88</v>
      </c>
      <c r="E32" s="99">
        <f>Rates!F28</f>
        <v>74</v>
      </c>
      <c r="F32" s="99">
        <f>Rates!G28</f>
        <v>55</v>
      </c>
      <c r="G32" s="99">
        <f>Rates!H28</f>
        <v>39</v>
      </c>
      <c r="L32" s="13">
        <v>25</v>
      </c>
      <c r="M32" s="100">
        <f t="shared" si="2"/>
        <v>1210</v>
      </c>
      <c r="N32" s="121">
        <f t="shared" si="3"/>
        <v>2450</v>
      </c>
      <c r="W32" s="131" t="str">
        <f>Rates!N28</f>
        <v>Poland</v>
      </c>
      <c r="X32" s="131" t="str">
        <f>VLOOKUP(W32,Rates!$C$4:$L$182,2,FALSE)</f>
        <v>Programme Countries</v>
      </c>
      <c r="Y32" s="132">
        <f>VLOOKUP(W32,Rates!$C$4:$L$182,7,FALSE)</f>
        <v>750</v>
      </c>
      <c r="Z32" s="132">
        <f>VLOOKUP(W32,Rates!$C$4:$L$182,8,FALSE)</f>
        <v>0</v>
      </c>
      <c r="AA32" s="133">
        <f>VLOOKUP(W32,Rates!$C$4:$L$182,9,FALSE)</f>
        <v>140</v>
      </c>
      <c r="AB32" s="134">
        <f>VLOOKUP(W32,Rates!$C$4:$L$182,10,FALSE)</f>
        <v>0</v>
      </c>
    </row>
    <row r="33" spans="2:28" x14ac:dyDescent="0.25">
      <c r="B33" s="135" t="str">
        <f>Rates!C29</f>
        <v>Portugal</v>
      </c>
      <c r="C33" s="135" t="str">
        <f>Rates!D29</f>
        <v>Programme Countries</v>
      </c>
      <c r="D33" s="99">
        <f>Rates!E29</f>
        <v>164</v>
      </c>
      <c r="E33" s="99">
        <f>Rates!F29</f>
        <v>137</v>
      </c>
      <c r="F33" s="99">
        <f>Rates!G29</f>
        <v>102</v>
      </c>
      <c r="G33" s="99">
        <f>Rates!H29</f>
        <v>78</v>
      </c>
      <c r="L33" s="13">
        <v>26</v>
      </c>
      <c r="M33" s="100">
        <f t="shared" si="2"/>
        <v>1250</v>
      </c>
      <c r="N33" s="121">
        <f t="shared" si="3"/>
        <v>2520</v>
      </c>
      <c r="W33" s="131" t="str">
        <f>Rates!N29</f>
        <v>Portugal</v>
      </c>
      <c r="X33" s="131" t="str">
        <f>VLOOKUP(W33,Rates!$C$4:$L$182,2,FALSE)</f>
        <v>Programme Countries</v>
      </c>
      <c r="Y33" s="132">
        <f>VLOOKUP(W33,Rates!$C$4:$L$182,7,FALSE)</f>
        <v>800</v>
      </c>
      <c r="Z33" s="132">
        <f>VLOOKUP(W33,Rates!$C$4:$L$182,8,FALSE)</f>
        <v>0</v>
      </c>
      <c r="AA33" s="133">
        <f>VLOOKUP(W33,Rates!$C$4:$L$182,9,FALSE)</f>
        <v>120</v>
      </c>
      <c r="AB33" s="134">
        <f>VLOOKUP(W33,Rates!$C$4:$L$182,10,FALSE)</f>
        <v>0</v>
      </c>
    </row>
    <row r="34" spans="2:28" x14ac:dyDescent="0.25">
      <c r="B34" s="135" t="str">
        <f>Rates!C30</f>
        <v>Romania</v>
      </c>
      <c r="C34" s="135" t="str">
        <f>Rates!D30</f>
        <v>Programme Countries</v>
      </c>
      <c r="D34" s="99">
        <f>Rates!E30</f>
        <v>88</v>
      </c>
      <c r="E34" s="99">
        <f>Rates!F30</f>
        <v>74</v>
      </c>
      <c r="F34" s="99">
        <f>Rates!G30</f>
        <v>55</v>
      </c>
      <c r="G34" s="99">
        <f>Rates!H30</f>
        <v>39</v>
      </c>
      <c r="L34" s="13">
        <v>27</v>
      </c>
      <c r="M34" s="100">
        <f t="shared" si="2"/>
        <v>1290</v>
      </c>
      <c r="N34" s="121">
        <f t="shared" si="3"/>
        <v>2590</v>
      </c>
      <c r="W34" s="131" t="str">
        <f>Rates!N30</f>
        <v>Romania</v>
      </c>
      <c r="X34" s="131" t="str">
        <f>VLOOKUP(W34,Rates!$C$4:$L$182,2,FALSE)</f>
        <v>Programme Countries</v>
      </c>
      <c r="Y34" s="132">
        <f>VLOOKUP(W34,Rates!$C$4:$L$182,7,FALSE)</f>
        <v>750</v>
      </c>
      <c r="Z34" s="132">
        <f>VLOOKUP(W34,Rates!$C$4:$L$182,8,FALSE)</f>
        <v>0</v>
      </c>
      <c r="AA34" s="133">
        <f>VLOOKUP(W34,Rates!$C$4:$L$182,9,FALSE)</f>
        <v>140</v>
      </c>
      <c r="AB34" s="134">
        <f>VLOOKUP(W34,Rates!$C$4:$L$182,10,FALSE)</f>
        <v>0</v>
      </c>
    </row>
    <row r="35" spans="2:28" x14ac:dyDescent="0.25">
      <c r="B35" s="135" t="str">
        <f>Rates!C31</f>
        <v>Slovakia</v>
      </c>
      <c r="C35" s="135" t="str">
        <f>Rates!D31</f>
        <v>Programme Countries</v>
      </c>
      <c r="D35" s="99">
        <f>Rates!E31</f>
        <v>88</v>
      </c>
      <c r="E35" s="99">
        <f>Rates!F31</f>
        <v>74</v>
      </c>
      <c r="F35" s="99">
        <f>Rates!G31</f>
        <v>55</v>
      </c>
      <c r="G35" s="99">
        <f>Rates!H31</f>
        <v>39</v>
      </c>
      <c r="L35" s="13">
        <v>28</v>
      </c>
      <c r="M35" s="100">
        <f t="shared" si="2"/>
        <v>1330</v>
      </c>
      <c r="N35" s="121">
        <f t="shared" si="3"/>
        <v>2660</v>
      </c>
      <c r="W35" s="131" t="str">
        <f>Rates!N31</f>
        <v>Slovakia</v>
      </c>
      <c r="X35" s="131" t="str">
        <f>VLOOKUP(W35,Rates!$C$4:$L$182,2,FALSE)</f>
        <v>Programme Countries</v>
      </c>
      <c r="Y35" s="132">
        <f>VLOOKUP(W35,Rates!$C$4:$L$182,7,FALSE)</f>
        <v>750</v>
      </c>
      <c r="Z35" s="132">
        <f>VLOOKUP(W35,Rates!$C$4:$L$182,8,FALSE)</f>
        <v>0</v>
      </c>
      <c r="AA35" s="133">
        <f>VLOOKUP(W35,Rates!$C$4:$L$182,9,FALSE)</f>
        <v>120</v>
      </c>
      <c r="AB35" s="134">
        <f>VLOOKUP(W35,Rates!$C$4:$L$182,10,FALSE)</f>
        <v>0</v>
      </c>
    </row>
    <row r="36" spans="2:28" x14ac:dyDescent="0.25">
      <c r="B36" s="135" t="str">
        <f>Rates!C32</f>
        <v>Slovenia</v>
      </c>
      <c r="C36" s="135" t="str">
        <f>Rates!D32</f>
        <v>Programme Countries</v>
      </c>
      <c r="D36" s="99">
        <f>Rates!E32</f>
        <v>164</v>
      </c>
      <c r="E36" s="99">
        <f>Rates!F32</f>
        <v>137</v>
      </c>
      <c r="F36" s="99">
        <f>Rates!G32</f>
        <v>102</v>
      </c>
      <c r="G36" s="99">
        <f>Rates!H32</f>
        <v>78</v>
      </c>
      <c r="L36" s="13">
        <v>29</v>
      </c>
      <c r="M36" s="100">
        <f t="shared" si="2"/>
        <v>1370</v>
      </c>
      <c r="N36" s="121">
        <f t="shared" si="3"/>
        <v>2730</v>
      </c>
      <c r="W36" s="131" t="str">
        <f>Rates!N32</f>
        <v>Slovenia</v>
      </c>
      <c r="X36" s="131" t="str">
        <f>VLOOKUP(W36,Rates!$C$4:$L$182,2,FALSE)</f>
        <v>Programme Countries</v>
      </c>
      <c r="Y36" s="132">
        <f>VLOOKUP(W36,Rates!$C$4:$L$182,7,FALSE)</f>
        <v>800</v>
      </c>
      <c r="Z36" s="132">
        <f>VLOOKUP(W36,Rates!$C$4:$L$182,8,FALSE)</f>
        <v>0</v>
      </c>
      <c r="AA36" s="133">
        <f>VLOOKUP(W36,Rates!$C$4:$L$182,9,FALSE)</f>
        <v>100</v>
      </c>
      <c r="AB36" s="134">
        <f>VLOOKUP(W36,Rates!$C$4:$L$182,10,FALSE)</f>
        <v>0</v>
      </c>
    </row>
    <row r="37" spans="2:28" x14ac:dyDescent="0.25">
      <c r="B37" s="135" t="str">
        <f>Rates!C33</f>
        <v>Spain</v>
      </c>
      <c r="C37" s="135" t="str">
        <f>Rates!D33</f>
        <v>Programme Countries</v>
      </c>
      <c r="D37" s="99">
        <f>Rates!E33</f>
        <v>164</v>
      </c>
      <c r="E37" s="99">
        <f>Rates!F33</f>
        <v>137</v>
      </c>
      <c r="F37" s="99">
        <f>Rates!G33</f>
        <v>102</v>
      </c>
      <c r="G37" s="99">
        <f>Rates!H33</f>
        <v>78</v>
      </c>
      <c r="L37" s="13">
        <v>30</v>
      </c>
      <c r="M37" s="100">
        <f t="shared" si="2"/>
        <v>1410</v>
      </c>
      <c r="N37" s="121">
        <f t="shared" si="3"/>
        <v>2800</v>
      </c>
      <c r="W37" s="131" t="str">
        <f>Rates!N33</f>
        <v>Spain</v>
      </c>
      <c r="X37" s="131" t="str">
        <f>VLOOKUP(W37,Rates!$C$4:$L$182,2,FALSE)</f>
        <v>Programme Countries</v>
      </c>
      <c r="Y37" s="132">
        <f>VLOOKUP(W37,Rates!$C$4:$L$182,7,FALSE)</f>
        <v>800</v>
      </c>
      <c r="Z37" s="132">
        <f>VLOOKUP(W37,Rates!$C$4:$L$182,8,FALSE)</f>
        <v>0</v>
      </c>
      <c r="AA37" s="133">
        <f>VLOOKUP(W37,Rates!$C$4:$L$182,9,FALSE)</f>
        <v>120</v>
      </c>
      <c r="AB37" s="134">
        <f>VLOOKUP(W37,Rates!$C$4:$L$182,10,FALSE)</f>
        <v>0</v>
      </c>
    </row>
    <row r="38" spans="2:28" x14ac:dyDescent="0.25">
      <c r="B38" s="135" t="str">
        <f>Rates!C34</f>
        <v>Sweden</v>
      </c>
      <c r="C38" s="135" t="str">
        <f>Rates!D34</f>
        <v>Programme Countries</v>
      </c>
      <c r="D38" s="99">
        <f>Rates!E34</f>
        <v>294</v>
      </c>
      <c r="E38" s="99">
        <f>Rates!F34</f>
        <v>241</v>
      </c>
      <c r="F38" s="99">
        <f>Rates!G34</f>
        <v>190</v>
      </c>
      <c r="G38" s="99">
        <f>Rates!H34</f>
        <v>157</v>
      </c>
      <c r="L38" s="13">
        <v>31</v>
      </c>
      <c r="M38" s="100">
        <f t="shared" si="2"/>
        <v>1450</v>
      </c>
      <c r="N38" s="121">
        <f t="shared" si="3"/>
        <v>2870</v>
      </c>
      <c r="W38" s="131" t="str">
        <f>Rates!N34</f>
        <v>Sweden</v>
      </c>
      <c r="X38" s="131" t="str">
        <f>VLOOKUP(W38,Rates!$C$4:$L$182,2,FALSE)</f>
        <v>Programme Countries</v>
      </c>
      <c r="Y38" s="132">
        <f>VLOOKUP(W38,Rates!$C$4:$L$182,7,FALSE)</f>
        <v>850</v>
      </c>
      <c r="Z38" s="132">
        <f>VLOOKUP(W38,Rates!$C$4:$L$182,8,FALSE)</f>
        <v>0</v>
      </c>
      <c r="AA38" s="133">
        <f>VLOOKUP(W38,Rates!$C$4:$L$182,9,FALSE)</f>
        <v>160</v>
      </c>
      <c r="AB38" s="134">
        <f>VLOOKUP(W38,Rates!$C$4:$L$182,10,FALSE)</f>
        <v>0</v>
      </c>
    </row>
    <row r="39" spans="2:28" x14ac:dyDescent="0.25">
      <c r="B39" s="135" t="str">
        <f>Rates!C35</f>
        <v>Turkey</v>
      </c>
      <c r="C39" s="135" t="str">
        <f>Rates!D35</f>
        <v>Programme Countries</v>
      </c>
      <c r="D39" s="99">
        <f>Rates!E35</f>
        <v>88</v>
      </c>
      <c r="E39" s="99">
        <f>Rates!F35</f>
        <v>74</v>
      </c>
      <c r="F39" s="99">
        <f>Rates!G35</f>
        <v>55</v>
      </c>
      <c r="G39" s="99">
        <f>Rates!H35</f>
        <v>39</v>
      </c>
      <c r="L39" s="13">
        <v>32</v>
      </c>
      <c r="M39" s="100">
        <f t="shared" si="2"/>
        <v>1490</v>
      </c>
      <c r="N39" s="121">
        <f t="shared" si="3"/>
        <v>2940</v>
      </c>
      <c r="W39" s="131" t="str">
        <f>Rates!N35</f>
        <v>Turkey</v>
      </c>
      <c r="X39" s="131" t="str">
        <f>VLOOKUP(W39,Rates!$C$4:$L$182,2,FALSE)</f>
        <v>Programme Countries</v>
      </c>
      <c r="Y39" s="132">
        <f>VLOOKUP(W39,Rates!$C$4:$L$182,7,FALSE)</f>
        <v>800</v>
      </c>
      <c r="Z39" s="132">
        <f>VLOOKUP(W39,Rates!$C$4:$L$182,8,FALSE)</f>
        <v>0</v>
      </c>
      <c r="AA39" s="133">
        <f>VLOOKUP(W39,Rates!$C$4:$L$182,9,FALSE)</f>
        <v>140</v>
      </c>
      <c r="AB39" s="134">
        <f>VLOOKUP(W39,Rates!$C$4:$L$182,10,FALSE)</f>
        <v>0</v>
      </c>
    </row>
    <row r="40" spans="2:28" x14ac:dyDescent="0.25">
      <c r="B40" s="135" t="str">
        <f>Rates!C36</f>
        <v>United Kingdom</v>
      </c>
      <c r="C40" s="135" t="str">
        <f>Rates!D36</f>
        <v>Programme Countries</v>
      </c>
      <c r="D40" s="99">
        <f>Rates!E36</f>
        <v>280</v>
      </c>
      <c r="E40" s="99">
        <f>Rates!F36</f>
        <v>214</v>
      </c>
      <c r="F40" s="99">
        <f>Rates!G36</f>
        <v>162</v>
      </c>
      <c r="G40" s="99">
        <f>Rates!H36</f>
        <v>131</v>
      </c>
      <c r="L40" s="13">
        <v>33</v>
      </c>
      <c r="M40" s="100">
        <f t="shared" si="2"/>
        <v>1530</v>
      </c>
      <c r="N40" s="121">
        <f t="shared" si="3"/>
        <v>3010</v>
      </c>
      <c r="W40" s="131" t="str">
        <f>Rates!N36</f>
        <v>United Kingdom</v>
      </c>
      <c r="X40" s="131" t="str">
        <f>VLOOKUP(W40,Rates!$C$4:$L$182,2,FALSE)</f>
        <v>Programme Countries</v>
      </c>
      <c r="Y40" s="132">
        <f>VLOOKUP(W40,Rates!$C$4:$L$182,7,FALSE)</f>
        <v>850</v>
      </c>
      <c r="Z40" s="132">
        <f>VLOOKUP(W40,Rates!$C$4:$L$182,8,FALSE)</f>
        <v>0</v>
      </c>
      <c r="AA40" s="133">
        <f>VLOOKUP(W40,Rates!$C$4:$L$182,9,FALSE)</f>
        <v>160</v>
      </c>
      <c r="AB40" s="134">
        <f>VLOOKUP(W40,Rates!$C$4:$L$182,10,FALSE)</f>
        <v>0</v>
      </c>
    </row>
    <row r="41" spans="2:28" x14ac:dyDescent="0.25">
      <c r="B41" s="98" t="str">
        <f>Rates!C37</f>
        <v>Afghanistan</v>
      </c>
      <c r="C41" s="98" t="str">
        <f>Rates!D37</f>
        <v>Partner Countries</v>
      </c>
      <c r="D41" s="136">
        <f>Rates!E37</f>
        <v>77</v>
      </c>
      <c r="E41" s="136">
        <f>Rates!F37</f>
        <v>57</v>
      </c>
      <c r="F41" s="136">
        <f>Rates!G37</f>
        <v>40</v>
      </c>
      <c r="G41" s="136">
        <f>Rates!H37</f>
        <v>32</v>
      </c>
      <c r="L41" s="13">
        <v>34</v>
      </c>
      <c r="M41" s="100">
        <f t="shared" si="2"/>
        <v>1570</v>
      </c>
      <c r="N41" s="121">
        <f t="shared" si="3"/>
        <v>3080</v>
      </c>
      <c r="W41" s="127" t="str">
        <f>Rates!N37</f>
        <v>Albania</v>
      </c>
      <c r="X41" s="127" t="str">
        <f>VLOOKUP(W41,Rates!$C$4:$L$182,2,FALSE)</f>
        <v>Partner Countries</v>
      </c>
      <c r="Y41" s="128">
        <f>VLOOKUP(W41,Rates!$C$4:$L$182,7,FALSE)</f>
        <v>750</v>
      </c>
      <c r="Z41" s="128">
        <f>VLOOKUP(W41,Rates!$C$4:$L$182,8,FALSE)</f>
        <v>650</v>
      </c>
      <c r="AA41" s="129">
        <f>VLOOKUP(W41,Rates!$C$4:$L$182,9,FALSE)</f>
        <v>100</v>
      </c>
      <c r="AB41" s="130">
        <f>VLOOKUP(W41,Rates!$C$4:$L$182,10,FALSE)</f>
        <v>160</v>
      </c>
    </row>
    <row r="42" spans="2:28" x14ac:dyDescent="0.25">
      <c r="B42" s="98" t="str">
        <f>Rates!C38</f>
        <v>Albania</v>
      </c>
      <c r="C42" s="98" t="str">
        <f>Rates!D38</f>
        <v>Partner Countries</v>
      </c>
      <c r="D42" s="136">
        <f>Rates!E38</f>
        <v>108</v>
      </c>
      <c r="E42" s="136">
        <f>Rates!F38</f>
        <v>80</v>
      </c>
      <c r="F42" s="136">
        <f>Rates!G38</f>
        <v>57</v>
      </c>
      <c r="G42" s="136">
        <f>Rates!H38</f>
        <v>45</v>
      </c>
      <c r="L42" s="13">
        <v>35</v>
      </c>
      <c r="M42" s="100">
        <f t="shared" si="2"/>
        <v>1610</v>
      </c>
      <c r="N42" s="121">
        <f t="shared" si="3"/>
        <v>3150</v>
      </c>
      <c r="W42" s="127" t="str">
        <f>Rates!N38</f>
        <v>Algeria</v>
      </c>
      <c r="X42" s="127" t="str">
        <f>VLOOKUP(W42,Rates!$C$4:$L$182,2,FALSE)</f>
        <v>Partner Countries</v>
      </c>
      <c r="Y42" s="128">
        <f>VLOOKUP(W42,Rates!$C$4:$L$182,7,FALSE)</f>
        <v>750</v>
      </c>
      <c r="Z42" s="128">
        <f>VLOOKUP(W42,Rates!$C$4:$L$182,8,FALSE)</f>
        <v>650</v>
      </c>
      <c r="AA42" s="129">
        <f>VLOOKUP(W42,Rates!$C$4:$L$182,9,FALSE)</f>
        <v>100</v>
      </c>
      <c r="AB42" s="130">
        <f>VLOOKUP(W42,Rates!$C$4:$L$182,10,FALSE)</f>
        <v>160</v>
      </c>
    </row>
    <row r="43" spans="2:28" x14ac:dyDescent="0.25">
      <c r="B43" s="98" t="str">
        <f>Rates!C39</f>
        <v>Algeria</v>
      </c>
      <c r="C43" s="98" t="str">
        <f>Rates!D39</f>
        <v>Partner Countries</v>
      </c>
      <c r="D43" s="136">
        <f>Rates!E39</f>
        <v>47</v>
      </c>
      <c r="E43" s="136">
        <f>Rates!F39</f>
        <v>33</v>
      </c>
      <c r="F43" s="136">
        <f>Rates!G39</f>
        <v>22</v>
      </c>
      <c r="G43" s="136">
        <f>Rates!H39</f>
        <v>17</v>
      </c>
      <c r="L43" s="13">
        <v>36</v>
      </c>
      <c r="M43" s="100">
        <f t="shared" si="2"/>
        <v>1650</v>
      </c>
      <c r="N43" s="121">
        <f t="shared" si="3"/>
        <v>3220</v>
      </c>
      <c r="W43" s="127" t="str">
        <f>Rates!N39</f>
        <v>Armenia</v>
      </c>
      <c r="X43" s="127" t="str">
        <f>VLOOKUP(W43,Rates!$C$4:$L$182,2,FALSE)</f>
        <v>Partner Countries</v>
      </c>
      <c r="Y43" s="128">
        <f>VLOOKUP(W43,Rates!$C$4:$L$182,7,FALSE)</f>
        <v>750</v>
      </c>
      <c r="Z43" s="128">
        <f>VLOOKUP(W43,Rates!$C$4:$L$182,8,FALSE)</f>
        <v>650</v>
      </c>
      <c r="AA43" s="129">
        <f>VLOOKUP(W43,Rates!$C$4:$L$182,9,FALSE)</f>
        <v>100</v>
      </c>
      <c r="AB43" s="130">
        <f>VLOOKUP(W43,Rates!$C$4:$L$182,10,FALSE)</f>
        <v>160</v>
      </c>
    </row>
    <row r="44" spans="2:28" x14ac:dyDescent="0.25">
      <c r="B44" s="98" t="str">
        <f>Rates!C40</f>
        <v>Angola</v>
      </c>
      <c r="C44" s="98" t="str">
        <f>Rates!D40</f>
        <v>Partner Countries</v>
      </c>
      <c r="D44" s="136">
        <f>Rates!E40</f>
        <v>108</v>
      </c>
      <c r="E44" s="136">
        <f>Rates!F40</f>
        <v>80</v>
      </c>
      <c r="F44" s="136">
        <f>Rates!G40</f>
        <v>57</v>
      </c>
      <c r="G44" s="136">
        <f>Rates!H40</f>
        <v>45</v>
      </c>
      <c r="L44" s="13">
        <v>37</v>
      </c>
      <c r="M44" s="100">
        <f t="shared" si="2"/>
        <v>1690</v>
      </c>
      <c r="N44" s="121">
        <f t="shared" si="3"/>
        <v>3290</v>
      </c>
      <c r="W44" s="127" t="str">
        <f>Rates!N40</f>
        <v>Azerbaijan</v>
      </c>
      <c r="X44" s="127" t="str">
        <f>VLOOKUP(W44,Rates!$C$4:$L$182,2,FALSE)</f>
        <v>Partner Countries</v>
      </c>
      <c r="Y44" s="128">
        <f>VLOOKUP(W44,Rates!$C$4:$L$182,7,FALSE)</f>
        <v>750</v>
      </c>
      <c r="Z44" s="128">
        <f>VLOOKUP(W44,Rates!$C$4:$L$182,8,FALSE)</f>
        <v>650</v>
      </c>
      <c r="AA44" s="129">
        <f>VLOOKUP(W44,Rates!$C$4:$L$182,9,FALSE)</f>
        <v>100</v>
      </c>
      <c r="AB44" s="130">
        <f>VLOOKUP(W44,Rates!$C$4:$L$182,10,FALSE)</f>
        <v>160</v>
      </c>
    </row>
    <row r="45" spans="2:28" x14ac:dyDescent="0.25">
      <c r="B45" s="98" t="str">
        <f>Rates!C41</f>
        <v>Antigua and Barbuda</v>
      </c>
      <c r="C45" s="98" t="str">
        <f>Rates!D41</f>
        <v>Partner Countries</v>
      </c>
      <c r="D45" s="136">
        <f>Rates!E41</f>
        <v>108</v>
      </c>
      <c r="E45" s="136">
        <f>Rates!F41</f>
        <v>80</v>
      </c>
      <c r="F45" s="136">
        <f>Rates!G41</f>
        <v>57</v>
      </c>
      <c r="G45" s="136">
        <f>Rates!H41</f>
        <v>45</v>
      </c>
      <c r="L45" s="13">
        <v>38</v>
      </c>
      <c r="M45" s="100">
        <f t="shared" si="2"/>
        <v>1730</v>
      </c>
      <c r="N45" s="121">
        <f t="shared" si="3"/>
        <v>3360</v>
      </c>
      <c r="W45" s="127" t="str">
        <f>Rates!N41</f>
        <v>Belarus</v>
      </c>
      <c r="X45" s="127" t="str">
        <f>VLOOKUP(W45,Rates!$C$4:$L$182,2,FALSE)</f>
        <v>Partner Countries</v>
      </c>
      <c r="Y45" s="128">
        <f>VLOOKUP(W45,Rates!$C$4:$L$182,7,FALSE)</f>
        <v>750</v>
      </c>
      <c r="Z45" s="128">
        <f>VLOOKUP(W45,Rates!$C$4:$L$182,8,FALSE)</f>
        <v>650</v>
      </c>
      <c r="AA45" s="129">
        <f>VLOOKUP(W45,Rates!$C$4:$L$182,9,FALSE)</f>
        <v>100</v>
      </c>
      <c r="AB45" s="130">
        <f>VLOOKUP(W45,Rates!$C$4:$L$182,10,FALSE)</f>
        <v>160</v>
      </c>
    </row>
    <row r="46" spans="2:28" x14ac:dyDescent="0.25">
      <c r="B46" s="98" t="str">
        <f>Rates!C42</f>
        <v>Argentina</v>
      </c>
      <c r="C46" s="98" t="str">
        <f>Rates!D42</f>
        <v>Partner Countries</v>
      </c>
      <c r="D46" s="136">
        <f>Rates!E42</f>
        <v>108</v>
      </c>
      <c r="E46" s="136">
        <f>Rates!F42</f>
        <v>80</v>
      </c>
      <c r="F46" s="136">
        <f>Rates!G42</f>
        <v>57</v>
      </c>
      <c r="G46" s="136">
        <f>Rates!H42</f>
        <v>45</v>
      </c>
      <c r="L46" s="13">
        <v>39</v>
      </c>
      <c r="M46" s="100">
        <f t="shared" si="2"/>
        <v>1770</v>
      </c>
      <c r="N46" s="121">
        <f t="shared" si="3"/>
        <v>3430</v>
      </c>
      <c r="W46" s="127" t="str">
        <f>Rates!N42</f>
        <v>Bosnia and Herzegovina</v>
      </c>
      <c r="X46" s="127" t="str">
        <f>VLOOKUP(W46,Rates!$C$4:$L$182,2,FALSE)</f>
        <v>Partner Countries</v>
      </c>
      <c r="Y46" s="128">
        <f>VLOOKUP(W46,Rates!$C$4:$L$182,7,FALSE)</f>
        <v>750</v>
      </c>
      <c r="Z46" s="128">
        <f>VLOOKUP(W46,Rates!$C$4:$L$182,8,FALSE)</f>
        <v>650</v>
      </c>
      <c r="AA46" s="129">
        <f>VLOOKUP(W46,Rates!$C$4:$L$182,9,FALSE)</f>
        <v>100</v>
      </c>
      <c r="AB46" s="130">
        <f>VLOOKUP(W46,Rates!$C$4:$L$182,10,FALSE)</f>
        <v>160</v>
      </c>
    </row>
    <row r="47" spans="2:28" x14ac:dyDescent="0.25">
      <c r="B47" s="98" t="str">
        <f>Rates!C43</f>
        <v>Armenia</v>
      </c>
      <c r="C47" s="98" t="str">
        <f>Rates!D43</f>
        <v>Partner Countries</v>
      </c>
      <c r="D47" s="136">
        <f>Rates!E43</f>
        <v>47</v>
      </c>
      <c r="E47" s="136">
        <f>Rates!F43</f>
        <v>33</v>
      </c>
      <c r="F47" s="136">
        <f>Rates!G43</f>
        <v>22</v>
      </c>
      <c r="G47" s="136">
        <f>Rates!H43</f>
        <v>17</v>
      </c>
      <c r="L47" s="13">
        <v>40</v>
      </c>
      <c r="M47" s="100">
        <f t="shared" si="2"/>
        <v>1810</v>
      </c>
      <c r="N47" s="121">
        <f t="shared" si="3"/>
        <v>3500</v>
      </c>
      <c r="W47" s="127" t="str">
        <f>Rates!N43</f>
        <v>Egypt</v>
      </c>
      <c r="X47" s="127" t="str">
        <f>VLOOKUP(W47,Rates!$C$4:$L$182,2,FALSE)</f>
        <v>Partner Countries</v>
      </c>
      <c r="Y47" s="128">
        <f>VLOOKUP(W47,Rates!$C$4:$L$182,7,FALSE)</f>
        <v>750</v>
      </c>
      <c r="Z47" s="128">
        <f>VLOOKUP(W47,Rates!$C$4:$L$182,8,FALSE)</f>
        <v>650</v>
      </c>
      <c r="AA47" s="129">
        <f>VLOOKUP(W47,Rates!$C$4:$L$182,9,FALSE)</f>
        <v>100</v>
      </c>
      <c r="AB47" s="130">
        <f>VLOOKUP(W47,Rates!$C$4:$L$182,10,FALSE)</f>
        <v>160</v>
      </c>
    </row>
    <row r="48" spans="2:28" x14ac:dyDescent="0.25">
      <c r="B48" s="98" t="str">
        <f>Rates!C44</f>
        <v>Azerbaijan</v>
      </c>
      <c r="C48" s="98" t="str">
        <f>Rates!D44</f>
        <v>Partner Countries</v>
      </c>
      <c r="D48" s="136">
        <f>Rates!E44</f>
        <v>77</v>
      </c>
      <c r="E48" s="136">
        <f>Rates!F44</f>
        <v>57</v>
      </c>
      <c r="F48" s="136">
        <f>Rates!G44</f>
        <v>40</v>
      </c>
      <c r="G48" s="136">
        <f>Rates!H44</f>
        <v>32</v>
      </c>
      <c r="L48" s="13">
        <v>41</v>
      </c>
      <c r="M48" s="100">
        <f t="shared" si="2"/>
        <v>1850</v>
      </c>
      <c r="N48" s="121">
        <f t="shared" si="3"/>
        <v>3570</v>
      </c>
      <c r="W48" s="127" t="str">
        <f>Rates!N44</f>
        <v>Georgia</v>
      </c>
      <c r="X48" s="127" t="str">
        <f>VLOOKUP(W48,Rates!$C$4:$L$182,2,FALSE)</f>
        <v>Partner Countries</v>
      </c>
      <c r="Y48" s="128">
        <f>VLOOKUP(W48,Rates!$C$4:$L$182,7,FALSE)</f>
        <v>750</v>
      </c>
      <c r="Z48" s="128">
        <f>VLOOKUP(W48,Rates!$C$4:$L$182,8,FALSE)</f>
        <v>650</v>
      </c>
      <c r="AA48" s="129">
        <f>VLOOKUP(W48,Rates!$C$4:$L$182,9,FALSE)</f>
        <v>100</v>
      </c>
      <c r="AB48" s="130">
        <f>VLOOKUP(W48,Rates!$C$4:$L$182,10,FALSE)</f>
        <v>160</v>
      </c>
    </row>
    <row r="49" spans="2:28" x14ac:dyDescent="0.25">
      <c r="B49" s="98" t="str">
        <f>Rates!C45</f>
        <v>Bahamas</v>
      </c>
      <c r="C49" s="98" t="str">
        <f>Rates!D45</f>
        <v>Partner Countries</v>
      </c>
      <c r="D49" s="136">
        <f>Rates!E45</f>
        <v>77</v>
      </c>
      <c r="E49" s="136">
        <f>Rates!F45</f>
        <v>57</v>
      </c>
      <c r="F49" s="136">
        <f>Rates!G45</f>
        <v>40</v>
      </c>
      <c r="G49" s="136">
        <f>Rates!H45</f>
        <v>32</v>
      </c>
      <c r="L49" s="13">
        <v>42</v>
      </c>
      <c r="M49" s="100">
        <f t="shared" si="2"/>
        <v>1890</v>
      </c>
      <c r="N49" s="121">
        <f t="shared" si="3"/>
        <v>3640</v>
      </c>
      <c r="W49" s="127" t="str">
        <f>Rates!N45</f>
        <v>Israel</v>
      </c>
      <c r="X49" s="127" t="str">
        <f>VLOOKUP(W49,Rates!$C$4:$L$182,2,FALSE)</f>
        <v>Partner Countries</v>
      </c>
      <c r="Y49" s="128">
        <f>VLOOKUP(W49,Rates!$C$4:$L$182,7,FALSE)</f>
        <v>750</v>
      </c>
      <c r="Z49" s="128">
        <f>VLOOKUP(W49,Rates!$C$4:$L$182,8,FALSE)</f>
        <v>650</v>
      </c>
      <c r="AA49" s="129">
        <f>VLOOKUP(W49,Rates!$C$4:$L$182,9,FALSE)</f>
        <v>100</v>
      </c>
      <c r="AB49" s="130">
        <f>VLOOKUP(W49,Rates!$C$4:$L$182,10,FALSE)</f>
        <v>160</v>
      </c>
    </row>
    <row r="50" spans="2:28" x14ac:dyDescent="0.25">
      <c r="B50" s="98" t="str">
        <f>Rates!C46</f>
        <v>Bangladesh</v>
      </c>
      <c r="C50" s="98" t="str">
        <f>Rates!D46</f>
        <v>Partner Countries</v>
      </c>
      <c r="D50" s="136">
        <f>Rates!E46</f>
        <v>47</v>
      </c>
      <c r="E50" s="136">
        <f>Rates!F46</f>
        <v>33</v>
      </c>
      <c r="F50" s="136">
        <f>Rates!G46</f>
        <v>22</v>
      </c>
      <c r="G50" s="136">
        <f>Rates!H46</f>
        <v>17</v>
      </c>
      <c r="L50" s="13">
        <v>43</v>
      </c>
      <c r="M50" s="100">
        <f t="shared" si="2"/>
        <v>1930</v>
      </c>
      <c r="N50" s="121">
        <f t="shared" si="3"/>
        <v>3710</v>
      </c>
      <c r="W50" s="127" t="str">
        <f>Rates!N46</f>
        <v>Jordan</v>
      </c>
      <c r="X50" s="127" t="str">
        <f>VLOOKUP(W50,Rates!$C$4:$L$182,2,FALSE)</f>
        <v>Partner Countries</v>
      </c>
      <c r="Y50" s="128">
        <f>VLOOKUP(W50,Rates!$C$4:$L$182,7,FALSE)</f>
        <v>750</v>
      </c>
      <c r="Z50" s="128">
        <f>VLOOKUP(W50,Rates!$C$4:$L$182,8,FALSE)</f>
        <v>650</v>
      </c>
      <c r="AA50" s="129">
        <f>VLOOKUP(W50,Rates!$C$4:$L$182,9,FALSE)</f>
        <v>100</v>
      </c>
      <c r="AB50" s="130">
        <f>VLOOKUP(W50,Rates!$C$4:$L$182,10,FALSE)</f>
        <v>160</v>
      </c>
    </row>
    <row r="51" spans="2:28" x14ac:dyDescent="0.25">
      <c r="B51" s="98" t="str">
        <f>Rates!C47</f>
        <v>Barbados</v>
      </c>
      <c r="C51" s="98" t="str">
        <f>Rates!D47</f>
        <v>Partner Countries</v>
      </c>
      <c r="D51" s="136">
        <f>Rates!E47</f>
        <v>108</v>
      </c>
      <c r="E51" s="136">
        <f>Rates!F47</f>
        <v>80</v>
      </c>
      <c r="F51" s="136">
        <f>Rates!G47</f>
        <v>57</v>
      </c>
      <c r="G51" s="136">
        <f>Rates!H47</f>
        <v>45</v>
      </c>
      <c r="L51" s="13">
        <v>44</v>
      </c>
      <c r="M51" s="100">
        <f t="shared" si="2"/>
        <v>1970</v>
      </c>
      <c r="N51" s="121">
        <f t="shared" si="3"/>
        <v>3780</v>
      </c>
      <c r="W51" s="127" t="str">
        <f>Rates!N47</f>
        <v>Kosovo</v>
      </c>
      <c r="X51" s="127" t="str">
        <f>VLOOKUP(W51,Rates!$C$4:$L$182,2,FALSE)</f>
        <v>Partner Countries</v>
      </c>
      <c r="Y51" s="128">
        <f>VLOOKUP(W51,Rates!$C$4:$L$182,7,FALSE)</f>
        <v>750</v>
      </c>
      <c r="Z51" s="128">
        <f>VLOOKUP(W51,Rates!$C$4:$L$182,8,FALSE)</f>
        <v>650</v>
      </c>
      <c r="AA51" s="129">
        <f>VLOOKUP(W51,Rates!$C$4:$L$182,9,FALSE)</f>
        <v>100</v>
      </c>
      <c r="AB51" s="130">
        <f>VLOOKUP(W51,Rates!$C$4:$L$182,10,FALSE)</f>
        <v>160</v>
      </c>
    </row>
    <row r="52" spans="2:28" x14ac:dyDescent="0.25">
      <c r="B52" s="98" t="str">
        <f>Rates!C48</f>
        <v>Belarus</v>
      </c>
      <c r="C52" s="98" t="str">
        <f>Rates!D48</f>
        <v>Partner Countries</v>
      </c>
      <c r="D52" s="136">
        <f>Rates!E48</f>
        <v>47</v>
      </c>
      <c r="E52" s="136">
        <f>Rates!F48</f>
        <v>33</v>
      </c>
      <c r="F52" s="136">
        <f>Rates!G48</f>
        <v>22</v>
      </c>
      <c r="G52" s="136">
        <f>Rates!H48</f>
        <v>17</v>
      </c>
      <c r="L52" s="13">
        <v>45</v>
      </c>
      <c r="M52" s="100">
        <f t="shared" si="2"/>
        <v>2010</v>
      </c>
      <c r="N52" s="121">
        <f t="shared" si="3"/>
        <v>3850</v>
      </c>
      <c r="W52" s="127" t="str">
        <f>Rates!N48</f>
        <v>Lebanon</v>
      </c>
      <c r="X52" s="127" t="str">
        <f>VLOOKUP(W52,Rates!$C$4:$L$182,2,FALSE)</f>
        <v>Partner Countries</v>
      </c>
      <c r="Y52" s="128">
        <f>VLOOKUP(W52,Rates!$C$4:$L$182,7,FALSE)</f>
        <v>750</v>
      </c>
      <c r="Z52" s="128">
        <f>VLOOKUP(W52,Rates!$C$4:$L$182,8,FALSE)</f>
        <v>650</v>
      </c>
      <c r="AA52" s="129">
        <f>VLOOKUP(W52,Rates!$C$4:$L$182,9,FALSE)</f>
        <v>100</v>
      </c>
      <c r="AB52" s="130">
        <f>VLOOKUP(W52,Rates!$C$4:$L$182,10,FALSE)</f>
        <v>160</v>
      </c>
    </row>
    <row r="53" spans="2:28" x14ac:dyDescent="0.25">
      <c r="B53" s="98" t="str">
        <f>Rates!C49</f>
        <v>Belize</v>
      </c>
      <c r="C53" s="98" t="str">
        <f>Rates!D49</f>
        <v>Partner Countries</v>
      </c>
      <c r="D53" s="136">
        <f>Rates!E49</f>
        <v>47</v>
      </c>
      <c r="E53" s="136">
        <f>Rates!F49</f>
        <v>33</v>
      </c>
      <c r="F53" s="136">
        <f>Rates!G49</f>
        <v>22</v>
      </c>
      <c r="G53" s="136">
        <f>Rates!H49</f>
        <v>17</v>
      </c>
      <c r="L53" s="13">
        <v>46</v>
      </c>
      <c r="M53" s="100">
        <f t="shared" si="2"/>
        <v>2050</v>
      </c>
      <c r="N53" s="121">
        <f t="shared" si="3"/>
        <v>3920</v>
      </c>
      <c r="W53" s="127" t="str">
        <f>Rates!N49</f>
        <v>Libya</v>
      </c>
      <c r="X53" s="127" t="str">
        <f>VLOOKUP(W53,Rates!$C$4:$L$182,2,FALSE)</f>
        <v>Partner Countries</v>
      </c>
      <c r="Y53" s="128">
        <f>VLOOKUP(W53,Rates!$C$4:$L$182,7,FALSE)</f>
        <v>750</v>
      </c>
      <c r="Z53" s="128">
        <f>VLOOKUP(W53,Rates!$C$4:$L$182,8,FALSE)</f>
        <v>650</v>
      </c>
      <c r="AA53" s="129">
        <f>VLOOKUP(W53,Rates!$C$4:$L$182,9,FALSE)</f>
        <v>100</v>
      </c>
      <c r="AB53" s="130">
        <f>VLOOKUP(W53,Rates!$C$4:$L$182,10,FALSE)</f>
        <v>160</v>
      </c>
    </row>
    <row r="54" spans="2:28" x14ac:dyDescent="0.25">
      <c r="B54" s="98" t="str">
        <f>Rates!C50</f>
        <v>Benin</v>
      </c>
      <c r="C54" s="98" t="str">
        <f>Rates!D50</f>
        <v>Partner Countries</v>
      </c>
      <c r="D54" s="136">
        <f>Rates!E50</f>
        <v>47</v>
      </c>
      <c r="E54" s="136">
        <f>Rates!F50</f>
        <v>33</v>
      </c>
      <c r="F54" s="136">
        <f>Rates!G50</f>
        <v>22</v>
      </c>
      <c r="G54" s="136">
        <f>Rates!H50</f>
        <v>17</v>
      </c>
      <c r="L54" s="13">
        <v>47</v>
      </c>
      <c r="M54" s="100">
        <f t="shared" si="2"/>
        <v>2090</v>
      </c>
      <c r="N54" s="121">
        <f t="shared" si="3"/>
        <v>3990</v>
      </c>
      <c r="W54" s="127" t="str">
        <f>Rates!N50</f>
        <v>Moldova</v>
      </c>
      <c r="X54" s="127" t="str">
        <f>VLOOKUP(W54,Rates!$C$4:$L$182,2,FALSE)</f>
        <v>Partner Countries</v>
      </c>
      <c r="Y54" s="128">
        <f>VLOOKUP(W54,Rates!$C$4:$L$182,7,FALSE)</f>
        <v>750</v>
      </c>
      <c r="Z54" s="128">
        <f>VLOOKUP(W54,Rates!$C$4:$L$182,8,FALSE)</f>
        <v>650</v>
      </c>
      <c r="AA54" s="129">
        <f>VLOOKUP(W54,Rates!$C$4:$L$182,9,FALSE)</f>
        <v>100</v>
      </c>
      <c r="AB54" s="130">
        <f>VLOOKUP(W54,Rates!$C$4:$L$182,10,FALSE)</f>
        <v>160</v>
      </c>
    </row>
    <row r="55" spans="2:28" x14ac:dyDescent="0.25">
      <c r="B55" s="98" t="str">
        <f>Rates!C51</f>
        <v>Bhutan</v>
      </c>
      <c r="C55" s="98" t="str">
        <f>Rates!D51</f>
        <v>Partner Countries</v>
      </c>
      <c r="D55" s="136">
        <f>Rates!E51</f>
        <v>47</v>
      </c>
      <c r="E55" s="136">
        <f>Rates!F51</f>
        <v>33</v>
      </c>
      <c r="F55" s="136">
        <f>Rates!G51</f>
        <v>22</v>
      </c>
      <c r="G55" s="136">
        <f>Rates!H51</f>
        <v>17</v>
      </c>
      <c r="L55" s="13">
        <v>48</v>
      </c>
      <c r="M55" s="100">
        <f t="shared" si="2"/>
        <v>2130</v>
      </c>
      <c r="N55" s="121">
        <f t="shared" si="3"/>
        <v>4060</v>
      </c>
      <c r="W55" s="127" t="str">
        <f>Rates!N51</f>
        <v>Montenegro</v>
      </c>
      <c r="X55" s="127" t="str">
        <f>VLOOKUP(W55,Rates!$C$4:$L$182,2,FALSE)</f>
        <v>Partner Countries</v>
      </c>
      <c r="Y55" s="128">
        <f>VLOOKUP(W55,Rates!$C$4:$L$182,7,FALSE)</f>
        <v>750</v>
      </c>
      <c r="Z55" s="128">
        <f>VLOOKUP(W55,Rates!$C$4:$L$182,8,FALSE)</f>
        <v>650</v>
      </c>
      <c r="AA55" s="129">
        <f>VLOOKUP(W55,Rates!$C$4:$L$182,9,FALSE)</f>
        <v>100</v>
      </c>
      <c r="AB55" s="130">
        <f>VLOOKUP(W55,Rates!$C$4:$L$182,10,FALSE)</f>
        <v>160</v>
      </c>
    </row>
    <row r="56" spans="2:28" x14ac:dyDescent="0.25">
      <c r="B56" s="98" t="str">
        <f>Rates!C52</f>
        <v>Bolivia</v>
      </c>
      <c r="C56" s="98" t="str">
        <f>Rates!D52</f>
        <v>Partner Countries</v>
      </c>
      <c r="D56" s="136">
        <f>Rates!E52</f>
        <v>77</v>
      </c>
      <c r="E56" s="136">
        <f>Rates!F52</f>
        <v>57</v>
      </c>
      <c r="F56" s="136">
        <f>Rates!G52</f>
        <v>40</v>
      </c>
      <c r="G56" s="136">
        <f>Rates!H52</f>
        <v>32</v>
      </c>
      <c r="L56" s="13">
        <v>49</v>
      </c>
      <c r="M56" s="100">
        <f t="shared" si="2"/>
        <v>2170</v>
      </c>
      <c r="N56" s="121">
        <f t="shared" si="3"/>
        <v>4130</v>
      </c>
      <c r="W56" s="127" t="str">
        <f>Rates!N52</f>
        <v>Morocco</v>
      </c>
      <c r="X56" s="127" t="str">
        <f>VLOOKUP(W56,Rates!$C$4:$L$182,2,FALSE)</f>
        <v>Partner Countries</v>
      </c>
      <c r="Y56" s="128">
        <f>VLOOKUP(W56,Rates!$C$4:$L$182,7,FALSE)</f>
        <v>750</v>
      </c>
      <c r="Z56" s="128">
        <f>VLOOKUP(W56,Rates!$C$4:$L$182,8,FALSE)</f>
        <v>650</v>
      </c>
      <c r="AA56" s="129">
        <f>VLOOKUP(W56,Rates!$C$4:$L$182,9,FALSE)</f>
        <v>100</v>
      </c>
      <c r="AB56" s="130">
        <f>VLOOKUP(W56,Rates!$C$4:$L$182,10,FALSE)</f>
        <v>160</v>
      </c>
    </row>
    <row r="57" spans="2:28" x14ac:dyDescent="0.25">
      <c r="B57" s="98" t="str">
        <f>Rates!C53</f>
        <v>Bosnia and Herzegovina</v>
      </c>
      <c r="C57" s="98" t="str">
        <f>Rates!D53</f>
        <v>Partner Countries</v>
      </c>
      <c r="D57" s="136">
        <f>Rates!E53</f>
        <v>108</v>
      </c>
      <c r="E57" s="136">
        <f>Rates!F53</f>
        <v>80</v>
      </c>
      <c r="F57" s="136">
        <f>Rates!G53</f>
        <v>57</v>
      </c>
      <c r="G57" s="136">
        <f>Rates!H53</f>
        <v>45</v>
      </c>
      <c r="L57" s="13">
        <v>50</v>
      </c>
      <c r="M57" s="100">
        <f t="shared" si="2"/>
        <v>2210</v>
      </c>
      <c r="N57" s="121">
        <f t="shared" si="3"/>
        <v>4200</v>
      </c>
      <c r="W57" s="127" t="str">
        <f>Rates!N53</f>
        <v>Palestine</v>
      </c>
      <c r="X57" s="127" t="str">
        <f>VLOOKUP(W57,Rates!$C$4:$L$182,2,FALSE)</f>
        <v>Partner Countries</v>
      </c>
      <c r="Y57" s="128">
        <f>VLOOKUP(W57,Rates!$C$4:$L$182,7,FALSE)</f>
        <v>750</v>
      </c>
      <c r="Z57" s="128">
        <f>VLOOKUP(W57,Rates!$C$4:$L$182,8,FALSE)</f>
        <v>650</v>
      </c>
      <c r="AA57" s="129">
        <f>VLOOKUP(W57,Rates!$C$4:$L$182,9,FALSE)</f>
        <v>100</v>
      </c>
      <c r="AB57" s="130">
        <f>VLOOKUP(W57,Rates!$C$4:$L$182,10,FALSE)</f>
        <v>160</v>
      </c>
    </row>
    <row r="58" spans="2:28" x14ac:dyDescent="0.25">
      <c r="B58" s="98" t="str">
        <f>Rates!C54</f>
        <v>Botswana</v>
      </c>
      <c r="C58" s="98" t="str">
        <f>Rates!D54</f>
        <v>Partner Countries</v>
      </c>
      <c r="D58" s="136">
        <f>Rates!E54</f>
        <v>47</v>
      </c>
      <c r="E58" s="136">
        <f>Rates!F54</f>
        <v>33</v>
      </c>
      <c r="F58" s="136">
        <f>Rates!G54</f>
        <v>22</v>
      </c>
      <c r="G58" s="136">
        <f>Rates!H54</f>
        <v>17</v>
      </c>
      <c r="L58" s="13">
        <v>51</v>
      </c>
      <c r="M58" s="100">
        <f t="shared" si="2"/>
        <v>2250</v>
      </c>
      <c r="N58" s="121">
        <f t="shared" si="3"/>
        <v>4270</v>
      </c>
      <c r="W58" s="127" t="str">
        <f>Rates!N54</f>
        <v>Serbia</v>
      </c>
      <c r="X58" s="127" t="str">
        <f>VLOOKUP(W58,Rates!$C$4:$L$182,2,FALSE)</f>
        <v>Partner Countries</v>
      </c>
      <c r="Y58" s="128">
        <f>VLOOKUP(W58,Rates!$C$4:$L$182,7,FALSE)</f>
        <v>750</v>
      </c>
      <c r="Z58" s="128">
        <f>VLOOKUP(W58,Rates!$C$4:$L$182,8,FALSE)</f>
        <v>650</v>
      </c>
      <c r="AA58" s="129">
        <f>VLOOKUP(W58,Rates!$C$4:$L$182,9,FALSE)</f>
        <v>100</v>
      </c>
      <c r="AB58" s="130">
        <f>VLOOKUP(W58,Rates!$C$4:$L$182,10,FALSE)</f>
        <v>160</v>
      </c>
    </row>
    <row r="59" spans="2:28" x14ac:dyDescent="0.25">
      <c r="B59" s="98" t="str">
        <f>Rates!C55</f>
        <v>Brazil</v>
      </c>
      <c r="C59" s="98" t="str">
        <f>Rates!D55</f>
        <v>Partner Countries</v>
      </c>
      <c r="D59" s="136">
        <f>Rates!E55</f>
        <v>108</v>
      </c>
      <c r="E59" s="136">
        <f>Rates!F55</f>
        <v>80</v>
      </c>
      <c r="F59" s="136">
        <f>Rates!G55</f>
        <v>57</v>
      </c>
      <c r="G59" s="136">
        <f>Rates!H55</f>
        <v>45</v>
      </c>
      <c r="L59" s="13">
        <v>52</v>
      </c>
      <c r="M59" s="100">
        <f t="shared" si="2"/>
        <v>2290</v>
      </c>
      <c r="N59" s="121">
        <f t="shared" si="3"/>
        <v>4340</v>
      </c>
      <c r="W59" s="127" t="str">
        <f>Rates!N55</f>
        <v>Syria</v>
      </c>
      <c r="X59" s="127" t="str">
        <f>VLOOKUP(W59,Rates!$C$4:$L$182,2,FALSE)</f>
        <v>Partner Countries</v>
      </c>
      <c r="Y59" s="128">
        <f>VLOOKUP(W59,Rates!$C$4:$L$182,7,FALSE)</f>
        <v>750</v>
      </c>
      <c r="Z59" s="128">
        <f>VLOOKUP(W59,Rates!$C$4:$L$182,8,FALSE)</f>
        <v>650</v>
      </c>
      <c r="AA59" s="129">
        <f>VLOOKUP(W59,Rates!$C$4:$L$182,9,FALSE)</f>
        <v>100</v>
      </c>
      <c r="AB59" s="130">
        <f>VLOOKUP(W59,Rates!$C$4:$L$182,10,FALSE)</f>
        <v>160</v>
      </c>
    </row>
    <row r="60" spans="2:28" x14ac:dyDescent="0.25">
      <c r="B60" s="98" t="str">
        <f>Rates!C56</f>
        <v>Burkina Faso</v>
      </c>
      <c r="C60" s="98" t="str">
        <f>Rates!D56</f>
        <v>Partner Countries</v>
      </c>
      <c r="D60" s="136">
        <f>Rates!E56</f>
        <v>77</v>
      </c>
      <c r="E60" s="136">
        <f>Rates!F56</f>
        <v>57</v>
      </c>
      <c r="F60" s="136">
        <f>Rates!G56</f>
        <v>40</v>
      </c>
      <c r="G60" s="136">
        <f>Rates!H56</f>
        <v>32</v>
      </c>
      <c r="L60" s="13">
        <v>53</v>
      </c>
      <c r="M60" s="100">
        <f t="shared" si="2"/>
        <v>2330</v>
      </c>
      <c r="N60" s="121">
        <f t="shared" si="3"/>
        <v>4410</v>
      </c>
      <c r="W60" s="127" t="str">
        <f>Rates!N56</f>
        <v>Tunisia</v>
      </c>
      <c r="X60" s="127" t="str">
        <f>VLOOKUP(W60,Rates!$C$4:$L$182,2,FALSE)</f>
        <v>Partner Countries</v>
      </c>
      <c r="Y60" s="128">
        <f>VLOOKUP(W60,Rates!$C$4:$L$182,7,FALSE)</f>
        <v>750</v>
      </c>
      <c r="Z60" s="128">
        <f>VLOOKUP(W60,Rates!$C$4:$L$182,8,FALSE)</f>
        <v>650</v>
      </c>
      <c r="AA60" s="129">
        <f>VLOOKUP(W60,Rates!$C$4:$L$182,9,FALSE)</f>
        <v>100</v>
      </c>
      <c r="AB60" s="130">
        <f>VLOOKUP(W60,Rates!$C$4:$L$182,10,FALSE)</f>
        <v>160</v>
      </c>
    </row>
    <row r="61" spans="2:28" x14ac:dyDescent="0.25">
      <c r="B61" s="98" t="str">
        <f>Rates!C57</f>
        <v>Burundi</v>
      </c>
      <c r="C61" s="98" t="str">
        <f>Rates!D57</f>
        <v>Partner Countries</v>
      </c>
      <c r="D61" s="136">
        <f>Rates!E57</f>
        <v>47</v>
      </c>
      <c r="E61" s="136">
        <f>Rates!F57</f>
        <v>33</v>
      </c>
      <c r="F61" s="136">
        <f>Rates!G57</f>
        <v>22</v>
      </c>
      <c r="G61" s="136">
        <f>Rates!H57</f>
        <v>17</v>
      </c>
      <c r="L61" s="13">
        <v>54</v>
      </c>
      <c r="M61" s="100">
        <f t="shared" si="2"/>
        <v>2370</v>
      </c>
      <c r="N61" s="121">
        <f t="shared" si="3"/>
        <v>4480</v>
      </c>
      <c r="W61" s="127" t="str">
        <f>Rates!N57</f>
        <v>Ukraine</v>
      </c>
      <c r="X61" s="127" t="str">
        <f>VLOOKUP(W61,Rates!$C$4:$L$182,2,FALSE)</f>
        <v>Partner Countries</v>
      </c>
      <c r="Y61" s="128">
        <f>VLOOKUP(W61,Rates!$C$4:$L$182,7,FALSE)</f>
        <v>750</v>
      </c>
      <c r="Z61" s="128">
        <f>VLOOKUP(W61,Rates!$C$4:$L$182,8,FALSE)</f>
        <v>650</v>
      </c>
      <c r="AA61" s="129">
        <f>VLOOKUP(W61,Rates!$C$4:$L$182,9,FALSE)</f>
        <v>100</v>
      </c>
      <c r="AB61" s="130">
        <f>VLOOKUP(W61,Rates!$C$4:$L$182,10,FALSE)</f>
        <v>160</v>
      </c>
    </row>
    <row r="62" spans="2:28" x14ac:dyDescent="0.25">
      <c r="B62" s="98" t="str">
        <f>Rates!C58</f>
        <v>Cambodia</v>
      </c>
      <c r="C62" s="98" t="str">
        <f>Rates!D58</f>
        <v>Partner Countries</v>
      </c>
      <c r="D62" s="136">
        <f>Rates!E58</f>
        <v>47</v>
      </c>
      <c r="E62" s="136">
        <f>Rates!F58</f>
        <v>33</v>
      </c>
      <c r="F62" s="136">
        <f>Rates!G58</f>
        <v>22</v>
      </c>
      <c r="G62" s="136">
        <f>Rates!H58</f>
        <v>17</v>
      </c>
      <c r="L62" s="13">
        <v>55</v>
      </c>
      <c r="M62" s="100">
        <f t="shared" si="2"/>
        <v>2410</v>
      </c>
      <c r="N62" s="121">
        <f t="shared" si="3"/>
        <v>4550</v>
      </c>
    </row>
    <row r="63" spans="2:28" x14ac:dyDescent="0.25">
      <c r="B63" s="98" t="str">
        <f>Rates!C59</f>
        <v>Cameroon</v>
      </c>
      <c r="C63" s="98" t="str">
        <f>Rates!D59</f>
        <v>Partner Countries</v>
      </c>
      <c r="D63" s="136">
        <f>Rates!E59</f>
        <v>77</v>
      </c>
      <c r="E63" s="136">
        <f>Rates!F59</f>
        <v>57</v>
      </c>
      <c r="F63" s="136">
        <f>Rates!G59</f>
        <v>40</v>
      </c>
      <c r="G63" s="136">
        <f>Rates!H59</f>
        <v>32</v>
      </c>
      <c r="L63" s="13">
        <v>56</v>
      </c>
      <c r="M63" s="100">
        <f t="shared" si="2"/>
        <v>2450</v>
      </c>
      <c r="N63" s="121">
        <f t="shared" si="3"/>
        <v>4620</v>
      </c>
    </row>
    <row r="64" spans="2:28" x14ac:dyDescent="0.25">
      <c r="B64" s="98" t="str">
        <f>Rates!C60</f>
        <v>Cape Verde</v>
      </c>
      <c r="C64" s="98" t="str">
        <f>Rates!D60</f>
        <v>Partner Countries</v>
      </c>
      <c r="D64" s="136">
        <f>Rates!E60</f>
        <v>47</v>
      </c>
      <c r="E64" s="136">
        <f>Rates!F60</f>
        <v>33</v>
      </c>
      <c r="F64" s="136">
        <f>Rates!G60</f>
        <v>22</v>
      </c>
      <c r="G64" s="136">
        <f>Rates!H60</f>
        <v>17</v>
      </c>
      <c r="L64" s="13">
        <v>57</v>
      </c>
      <c r="M64" s="100">
        <f t="shared" si="2"/>
        <v>2490</v>
      </c>
      <c r="N64" s="121">
        <f t="shared" si="3"/>
        <v>4690</v>
      </c>
    </row>
    <row r="65" spans="2:14" x14ac:dyDescent="0.25">
      <c r="B65" s="98" t="str">
        <f>Rates!C61</f>
        <v>Central African Republic</v>
      </c>
      <c r="C65" s="98" t="str">
        <f>Rates!D61</f>
        <v>Partner Countries</v>
      </c>
      <c r="D65" s="136">
        <f>Rates!E61</f>
        <v>47</v>
      </c>
      <c r="E65" s="136">
        <f>Rates!F61</f>
        <v>33</v>
      </c>
      <c r="F65" s="136">
        <f>Rates!G61</f>
        <v>22</v>
      </c>
      <c r="G65" s="136">
        <f>Rates!H61</f>
        <v>17</v>
      </c>
      <c r="L65" s="13">
        <v>58</v>
      </c>
      <c r="M65" s="100">
        <f t="shared" si="2"/>
        <v>2530</v>
      </c>
      <c r="N65" s="121">
        <f t="shared" si="3"/>
        <v>4760</v>
      </c>
    </row>
    <row r="66" spans="2:14" x14ac:dyDescent="0.25">
      <c r="B66" s="98" t="str">
        <f>Rates!C62</f>
        <v>Chad</v>
      </c>
      <c r="C66" s="98" t="str">
        <f>Rates!D62</f>
        <v>Partner Countries</v>
      </c>
      <c r="D66" s="136">
        <f>Rates!E62</f>
        <v>47</v>
      </c>
      <c r="E66" s="136">
        <f>Rates!F62</f>
        <v>33</v>
      </c>
      <c r="F66" s="136">
        <f>Rates!G62</f>
        <v>22</v>
      </c>
      <c r="G66" s="136">
        <f>Rates!H62</f>
        <v>17</v>
      </c>
      <c r="L66" s="13">
        <v>59</v>
      </c>
      <c r="M66" s="100">
        <f t="shared" si="2"/>
        <v>2570</v>
      </c>
      <c r="N66" s="121">
        <f t="shared" si="3"/>
        <v>4830</v>
      </c>
    </row>
    <row r="67" spans="2:14" x14ac:dyDescent="0.25">
      <c r="B67" s="98" t="str">
        <f>Rates!C63</f>
        <v>Chile</v>
      </c>
      <c r="C67" s="98" t="str">
        <f>Rates!D63</f>
        <v>Partner Countries</v>
      </c>
      <c r="D67" s="136">
        <f>Rates!E63</f>
        <v>108</v>
      </c>
      <c r="E67" s="136">
        <f>Rates!F63</f>
        <v>80</v>
      </c>
      <c r="F67" s="136">
        <f>Rates!G63</f>
        <v>57</v>
      </c>
      <c r="G67" s="136">
        <f>Rates!H63</f>
        <v>45</v>
      </c>
      <c r="L67" s="13">
        <v>60</v>
      </c>
      <c r="M67" s="100">
        <f t="shared" si="2"/>
        <v>2610</v>
      </c>
      <c r="N67" s="121">
        <f t="shared" si="3"/>
        <v>4900</v>
      </c>
    </row>
    <row r="68" spans="2:14" x14ac:dyDescent="0.25">
      <c r="B68" s="98" t="str">
        <f>Rates!C64</f>
        <v>China</v>
      </c>
      <c r="C68" s="98" t="str">
        <f>Rates!D64</f>
        <v>Partner Countries</v>
      </c>
      <c r="D68" s="136">
        <f>Rates!E64</f>
        <v>77</v>
      </c>
      <c r="E68" s="136">
        <f>Rates!F64</f>
        <v>57</v>
      </c>
      <c r="F68" s="136">
        <f>Rates!G64</f>
        <v>40</v>
      </c>
      <c r="G68" s="136">
        <f>Rates!H64</f>
        <v>32</v>
      </c>
      <c r="L68" s="102">
        <v>61</v>
      </c>
      <c r="M68" s="100">
        <f t="shared" si="2"/>
        <v>2650</v>
      </c>
      <c r="N68" s="101">
        <f>((L68-$L$67)*50)+4900</f>
        <v>4950</v>
      </c>
    </row>
    <row r="69" spans="2:14" x14ac:dyDescent="0.25">
      <c r="B69" s="98" t="str">
        <f>Rates!C65</f>
        <v>Colombia</v>
      </c>
      <c r="C69" s="98" t="str">
        <f>Rates!D65</f>
        <v>Partner Countries</v>
      </c>
      <c r="D69" s="136">
        <f>Rates!E65</f>
        <v>108</v>
      </c>
      <c r="E69" s="136">
        <f>Rates!F65</f>
        <v>80</v>
      </c>
      <c r="F69" s="136">
        <f>Rates!G65</f>
        <v>57</v>
      </c>
      <c r="G69" s="136">
        <f>Rates!H65</f>
        <v>45</v>
      </c>
      <c r="L69" s="13">
        <v>62</v>
      </c>
      <c r="M69" s="100">
        <f t="shared" si="2"/>
        <v>2690</v>
      </c>
      <c r="N69" s="101">
        <f t="shared" ref="N69:N97" si="4">((L69-$L$67)*50)+4900</f>
        <v>5000</v>
      </c>
    </row>
    <row r="70" spans="2:14" x14ac:dyDescent="0.25">
      <c r="B70" s="98" t="str">
        <f>Rates!C66</f>
        <v>Comoros</v>
      </c>
      <c r="C70" s="98" t="str">
        <f>Rates!D66</f>
        <v>Partner Countries</v>
      </c>
      <c r="D70" s="136">
        <f>Rates!E66</f>
        <v>108</v>
      </c>
      <c r="E70" s="136">
        <f>Rates!F66</f>
        <v>80</v>
      </c>
      <c r="F70" s="136">
        <f>Rates!G66</f>
        <v>57</v>
      </c>
      <c r="G70" s="136">
        <f>Rates!H66</f>
        <v>45</v>
      </c>
      <c r="L70" s="13">
        <v>63</v>
      </c>
      <c r="M70" s="100">
        <f t="shared" si="2"/>
        <v>2730</v>
      </c>
      <c r="N70" s="101">
        <f t="shared" si="4"/>
        <v>5050</v>
      </c>
    </row>
    <row r="71" spans="2:14" x14ac:dyDescent="0.25">
      <c r="B71" s="98" t="str">
        <f>Rates!C67</f>
        <v>Congo</v>
      </c>
      <c r="C71" s="98" t="str">
        <f>Rates!D67</f>
        <v>Partner Countries</v>
      </c>
      <c r="D71" s="136">
        <f>Rates!E67</f>
        <v>77</v>
      </c>
      <c r="E71" s="136">
        <f>Rates!F67</f>
        <v>57</v>
      </c>
      <c r="F71" s="136">
        <f>Rates!G67</f>
        <v>40</v>
      </c>
      <c r="G71" s="136">
        <f>Rates!H67</f>
        <v>32</v>
      </c>
      <c r="L71" s="13">
        <v>64</v>
      </c>
      <c r="M71" s="100">
        <f t="shared" si="2"/>
        <v>2770</v>
      </c>
      <c r="N71" s="101">
        <f t="shared" si="4"/>
        <v>5100</v>
      </c>
    </row>
    <row r="72" spans="2:14" x14ac:dyDescent="0.25">
      <c r="B72" s="98" t="str">
        <f>Rates!C68</f>
        <v>Congo - Republic of the-</v>
      </c>
      <c r="C72" s="98" t="str">
        <f>Rates!D68</f>
        <v>Partner Countries</v>
      </c>
      <c r="D72" s="136">
        <f>Rates!E68</f>
        <v>47</v>
      </c>
      <c r="E72" s="136">
        <f>Rates!F68</f>
        <v>33</v>
      </c>
      <c r="F72" s="136">
        <f>Rates!G68</f>
        <v>22</v>
      </c>
      <c r="G72" s="136">
        <f>Rates!H68</f>
        <v>17</v>
      </c>
      <c r="L72" s="13">
        <v>65</v>
      </c>
      <c r="M72" s="100">
        <f t="shared" si="2"/>
        <v>2810</v>
      </c>
      <c r="N72" s="101">
        <f t="shared" si="4"/>
        <v>5150</v>
      </c>
    </row>
    <row r="73" spans="2:14" x14ac:dyDescent="0.25">
      <c r="B73" s="98" t="str">
        <f>Rates!C69</f>
        <v>Cook Islands</v>
      </c>
      <c r="C73" s="98" t="str">
        <f>Rates!D69</f>
        <v>Partner Countries</v>
      </c>
      <c r="D73" s="136">
        <f>Rates!E69</f>
        <v>108</v>
      </c>
      <c r="E73" s="136">
        <f>Rates!F69</f>
        <v>80</v>
      </c>
      <c r="F73" s="136">
        <f>Rates!G69</f>
        <v>57</v>
      </c>
      <c r="G73" s="136">
        <f>Rates!H69</f>
        <v>45</v>
      </c>
      <c r="L73" s="13">
        <v>66</v>
      </c>
      <c r="M73" s="100">
        <f t="shared" si="2"/>
        <v>2850</v>
      </c>
      <c r="N73" s="101">
        <f t="shared" si="4"/>
        <v>5200</v>
      </c>
    </row>
    <row r="74" spans="2:14" x14ac:dyDescent="0.25">
      <c r="B74" s="98" t="str">
        <f>Rates!C70</f>
        <v>Costa Rica</v>
      </c>
      <c r="C74" s="98" t="str">
        <f>Rates!D70</f>
        <v>Partner Countries</v>
      </c>
      <c r="D74" s="136">
        <f>Rates!E70</f>
        <v>77</v>
      </c>
      <c r="E74" s="136">
        <f>Rates!F70</f>
        <v>57</v>
      </c>
      <c r="F74" s="136">
        <f>Rates!G70</f>
        <v>40</v>
      </c>
      <c r="G74" s="136">
        <f>Rates!H70</f>
        <v>32</v>
      </c>
      <c r="L74" s="13">
        <v>67</v>
      </c>
      <c r="M74" s="100">
        <f t="shared" si="2"/>
        <v>2890</v>
      </c>
      <c r="N74" s="101">
        <f t="shared" si="4"/>
        <v>5250</v>
      </c>
    </row>
    <row r="75" spans="2:14" x14ac:dyDescent="0.25">
      <c r="B75" s="98" t="str">
        <f>Rates!C71</f>
        <v>Cuba</v>
      </c>
      <c r="C75" s="98" t="str">
        <f>Rates!D71</f>
        <v>Partner Countries</v>
      </c>
      <c r="D75" s="136">
        <f>Rates!E71</f>
        <v>47</v>
      </c>
      <c r="E75" s="136">
        <f>Rates!F71</f>
        <v>33</v>
      </c>
      <c r="F75" s="136">
        <f>Rates!G71</f>
        <v>22</v>
      </c>
      <c r="G75" s="136">
        <f>Rates!H71</f>
        <v>17</v>
      </c>
      <c r="L75" s="13">
        <v>68</v>
      </c>
      <c r="M75" s="100">
        <f t="shared" si="2"/>
        <v>2930</v>
      </c>
      <c r="N75" s="101">
        <f t="shared" si="4"/>
        <v>5300</v>
      </c>
    </row>
    <row r="76" spans="2:14" x14ac:dyDescent="0.25">
      <c r="B76" s="98" t="str">
        <f>Rates!C72</f>
        <v>Djibouti</v>
      </c>
      <c r="C76" s="98" t="str">
        <f>Rates!D72</f>
        <v>Partner Countries</v>
      </c>
      <c r="D76" s="136">
        <f>Rates!E72</f>
        <v>77</v>
      </c>
      <c r="E76" s="136">
        <f>Rates!F72</f>
        <v>57</v>
      </c>
      <c r="F76" s="136">
        <f>Rates!G72</f>
        <v>40</v>
      </c>
      <c r="G76" s="136">
        <f>Rates!H72</f>
        <v>32</v>
      </c>
      <c r="L76" s="13">
        <v>69</v>
      </c>
      <c r="M76" s="100">
        <f t="shared" si="2"/>
        <v>2970</v>
      </c>
      <c r="N76" s="101">
        <f t="shared" si="4"/>
        <v>5350</v>
      </c>
    </row>
    <row r="77" spans="2:14" x14ac:dyDescent="0.25">
      <c r="B77" s="98" t="str">
        <f>Rates!C73</f>
        <v>Dominica</v>
      </c>
      <c r="C77" s="98" t="str">
        <f>Rates!D73</f>
        <v>Partner Countries</v>
      </c>
      <c r="D77" s="136">
        <f>Rates!E73</f>
        <v>108</v>
      </c>
      <c r="E77" s="136">
        <f>Rates!F73</f>
        <v>80</v>
      </c>
      <c r="F77" s="136">
        <f>Rates!G73</f>
        <v>57</v>
      </c>
      <c r="G77" s="136">
        <f>Rates!H73</f>
        <v>45</v>
      </c>
      <c r="L77" s="13">
        <v>70</v>
      </c>
      <c r="M77" s="100">
        <f t="shared" si="2"/>
        <v>3010</v>
      </c>
      <c r="N77" s="101">
        <f t="shared" si="4"/>
        <v>5400</v>
      </c>
    </row>
    <row r="78" spans="2:14" x14ac:dyDescent="0.25">
      <c r="B78" s="98" t="str">
        <f>Rates!C74</f>
        <v>Dominican Republic</v>
      </c>
      <c r="C78" s="98" t="str">
        <f>Rates!D74</f>
        <v>Partner Countries</v>
      </c>
      <c r="D78" s="136">
        <f>Rates!E74</f>
        <v>77</v>
      </c>
      <c r="E78" s="136">
        <f>Rates!F74</f>
        <v>57</v>
      </c>
      <c r="F78" s="136">
        <f>Rates!G74</f>
        <v>40</v>
      </c>
      <c r="G78" s="136">
        <f>Rates!H74</f>
        <v>32</v>
      </c>
      <c r="L78" s="13">
        <v>71</v>
      </c>
      <c r="M78" s="100">
        <f t="shared" si="2"/>
        <v>3050</v>
      </c>
      <c r="N78" s="101">
        <f t="shared" si="4"/>
        <v>5450</v>
      </c>
    </row>
    <row r="79" spans="2:14" x14ac:dyDescent="0.25">
      <c r="B79" s="98" t="str">
        <f>Rates!C75</f>
        <v>DPR Korea</v>
      </c>
      <c r="C79" s="98" t="str">
        <f>Rates!D75</f>
        <v>Partner Countries</v>
      </c>
      <c r="D79" s="136">
        <f>Rates!E75</f>
        <v>47</v>
      </c>
      <c r="E79" s="136">
        <f>Rates!F75</f>
        <v>33</v>
      </c>
      <c r="F79" s="136">
        <f>Rates!G75</f>
        <v>22</v>
      </c>
      <c r="G79" s="136">
        <f>Rates!H75</f>
        <v>17</v>
      </c>
      <c r="L79" s="13">
        <v>72</v>
      </c>
      <c r="M79" s="100">
        <f t="shared" si="2"/>
        <v>3090</v>
      </c>
      <c r="N79" s="101">
        <f t="shared" si="4"/>
        <v>5500</v>
      </c>
    </row>
    <row r="80" spans="2:14" x14ac:dyDescent="0.25">
      <c r="B80" s="98" t="str">
        <f>Rates!C76</f>
        <v>Ecuador</v>
      </c>
      <c r="C80" s="98" t="str">
        <f>Rates!D76</f>
        <v>Partner Countries</v>
      </c>
      <c r="D80" s="136">
        <f>Rates!E76</f>
        <v>77</v>
      </c>
      <c r="E80" s="136">
        <f>Rates!F76</f>
        <v>57</v>
      </c>
      <c r="F80" s="136">
        <f>Rates!G76</f>
        <v>40</v>
      </c>
      <c r="G80" s="136">
        <f>Rates!H76</f>
        <v>32</v>
      </c>
      <c r="L80" s="13">
        <v>73</v>
      </c>
      <c r="M80" s="100">
        <f t="shared" si="2"/>
        <v>3130</v>
      </c>
      <c r="N80" s="101">
        <f t="shared" si="4"/>
        <v>5550</v>
      </c>
    </row>
    <row r="81" spans="2:14" x14ac:dyDescent="0.25">
      <c r="B81" s="98" t="str">
        <f>Rates!C77</f>
        <v>Egypt</v>
      </c>
      <c r="C81" s="98" t="str">
        <f>Rates!D77</f>
        <v>Partner Countries</v>
      </c>
      <c r="D81" s="136">
        <f>Rates!E77</f>
        <v>47</v>
      </c>
      <c r="E81" s="136">
        <f>Rates!F77</f>
        <v>33</v>
      </c>
      <c r="F81" s="136">
        <f>Rates!G77</f>
        <v>22</v>
      </c>
      <c r="G81" s="136">
        <f>Rates!H77</f>
        <v>17</v>
      </c>
      <c r="L81" s="13">
        <v>74</v>
      </c>
      <c r="M81" s="100">
        <f t="shared" si="2"/>
        <v>3170</v>
      </c>
      <c r="N81" s="101">
        <f t="shared" si="4"/>
        <v>5600</v>
      </c>
    </row>
    <row r="82" spans="2:14" x14ac:dyDescent="0.25">
      <c r="B82" s="98" t="str">
        <f>Rates!C78</f>
        <v>El Salvador</v>
      </c>
      <c r="C82" s="98" t="str">
        <f>Rates!D78</f>
        <v>Partner Countries</v>
      </c>
      <c r="D82" s="136">
        <f>Rates!E78</f>
        <v>77</v>
      </c>
      <c r="E82" s="136">
        <f>Rates!F78</f>
        <v>57</v>
      </c>
      <c r="F82" s="136">
        <f>Rates!G78</f>
        <v>40</v>
      </c>
      <c r="G82" s="136">
        <f>Rates!H78</f>
        <v>32</v>
      </c>
      <c r="L82" s="13">
        <v>75</v>
      </c>
      <c r="M82" s="100">
        <f t="shared" si="2"/>
        <v>3210</v>
      </c>
      <c r="N82" s="101">
        <f t="shared" si="4"/>
        <v>5650</v>
      </c>
    </row>
    <row r="83" spans="2:14" x14ac:dyDescent="0.25">
      <c r="B83" s="98" t="str">
        <f>Rates!C79</f>
        <v>Equatorial Guinea</v>
      </c>
      <c r="C83" s="98" t="str">
        <f>Rates!D79</f>
        <v>Partner Countries</v>
      </c>
      <c r="D83" s="136">
        <f>Rates!E79</f>
        <v>47</v>
      </c>
      <c r="E83" s="136">
        <f>Rates!F79</f>
        <v>33</v>
      </c>
      <c r="F83" s="136">
        <f>Rates!G79</f>
        <v>22</v>
      </c>
      <c r="G83" s="136">
        <f>Rates!H79</f>
        <v>17</v>
      </c>
      <c r="L83" s="13">
        <v>76</v>
      </c>
      <c r="M83" s="100">
        <f t="shared" si="2"/>
        <v>3250</v>
      </c>
      <c r="N83" s="101">
        <f t="shared" si="4"/>
        <v>5700</v>
      </c>
    </row>
    <row r="84" spans="2:14" x14ac:dyDescent="0.25">
      <c r="B84" s="98" t="str">
        <f>Rates!C80</f>
        <v>Eritrea</v>
      </c>
      <c r="C84" s="98" t="str">
        <f>Rates!D80</f>
        <v>Partner Countries</v>
      </c>
      <c r="D84" s="136">
        <f>Rates!E80</f>
        <v>47</v>
      </c>
      <c r="E84" s="136">
        <f>Rates!F80</f>
        <v>33</v>
      </c>
      <c r="F84" s="136">
        <f>Rates!G80</f>
        <v>22</v>
      </c>
      <c r="G84" s="136">
        <f>Rates!H80</f>
        <v>17</v>
      </c>
      <c r="L84" s="13">
        <v>77</v>
      </c>
      <c r="M84" s="100">
        <f t="shared" si="2"/>
        <v>3290</v>
      </c>
      <c r="N84" s="101">
        <f t="shared" si="4"/>
        <v>5750</v>
      </c>
    </row>
    <row r="85" spans="2:14" x14ac:dyDescent="0.25">
      <c r="B85" s="98" t="str">
        <f>Rates!C81</f>
        <v>Ethiopia</v>
      </c>
      <c r="C85" s="98" t="str">
        <f>Rates!D81</f>
        <v>Partner Countries</v>
      </c>
      <c r="D85" s="136">
        <f>Rates!E81</f>
        <v>47</v>
      </c>
      <c r="E85" s="136">
        <f>Rates!F81</f>
        <v>33</v>
      </c>
      <c r="F85" s="136">
        <f>Rates!G81</f>
        <v>22</v>
      </c>
      <c r="G85" s="136">
        <f>Rates!H81</f>
        <v>17</v>
      </c>
      <c r="L85" s="13">
        <v>78</v>
      </c>
      <c r="M85" s="100">
        <f t="shared" si="2"/>
        <v>3330</v>
      </c>
      <c r="N85" s="101">
        <f t="shared" si="4"/>
        <v>5800</v>
      </c>
    </row>
    <row r="86" spans="2:14" x14ac:dyDescent="0.25">
      <c r="B86" s="98" t="str">
        <f>Rates!C82</f>
        <v>Fiji</v>
      </c>
      <c r="C86" s="98" t="str">
        <f>Rates!D82</f>
        <v>Partner Countries</v>
      </c>
      <c r="D86" s="136">
        <f>Rates!E82</f>
        <v>47</v>
      </c>
      <c r="E86" s="136">
        <f>Rates!F82</f>
        <v>33</v>
      </c>
      <c r="F86" s="136">
        <f>Rates!G82</f>
        <v>22</v>
      </c>
      <c r="G86" s="136">
        <f>Rates!H82</f>
        <v>17</v>
      </c>
      <c r="L86" s="13">
        <v>79</v>
      </c>
      <c r="M86" s="100">
        <f t="shared" si="2"/>
        <v>3370</v>
      </c>
      <c r="N86" s="101">
        <f t="shared" si="4"/>
        <v>5850</v>
      </c>
    </row>
    <row r="87" spans="2:14" x14ac:dyDescent="0.25">
      <c r="B87" s="98" t="str">
        <f>Rates!C83</f>
        <v>Gabon</v>
      </c>
      <c r="C87" s="98" t="str">
        <f>Rates!D83</f>
        <v>Partner Countries</v>
      </c>
      <c r="D87" s="136">
        <f>Rates!E83</f>
        <v>108</v>
      </c>
      <c r="E87" s="136">
        <f>Rates!F83</f>
        <v>80</v>
      </c>
      <c r="F87" s="136">
        <f>Rates!G83</f>
        <v>57</v>
      </c>
      <c r="G87" s="136">
        <f>Rates!H83</f>
        <v>45</v>
      </c>
      <c r="L87" s="13">
        <v>80</v>
      </c>
      <c r="M87" s="100">
        <f t="shared" ref="M87:M97" si="5">((L87-$L$21)*40)+770</f>
        <v>3410</v>
      </c>
      <c r="N87" s="101">
        <f t="shared" si="4"/>
        <v>5900</v>
      </c>
    </row>
    <row r="88" spans="2:14" x14ac:dyDescent="0.25">
      <c r="B88" s="98" t="str">
        <f>Rates!C84</f>
        <v>Gambia</v>
      </c>
      <c r="C88" s="98" t="str">
        <f>Rates!D84</f>
        <v>Partner Countries</v>
      </c>
      <c r="D88" s="136">
        <f>Rates!E84</f>
        <v>47</v>
      </c>
      <c r="E88" s="136">
        <f>Rates!F84</f>
        <v>33</v>
      </c>
      <c r="F88" s="136">
        <f>Rates!G84</f>
        <v>22</v>
      </c>
      <c r="G88" s="136">
        <f>Rates!H84</f>
        <v>17</v>
      </c>
      <c r="L88" s="13">
        <v>81</v>
      </c>
      <c r="M88" s="100">
        <f t="shared" si="5"/>
        <v>3450</v>
      </c>
      <c r="N88" s="101">
        <f t="shared" si="4"/>
        <v>5950</v>
      </c>
    </row>
    <row r="89" spans="2:14" x14ac:dyDescent="0.25">
      <c r="B89" s="98" t="str">
        <f>Rates!C85</f>
        <v>Georgia</v>
      </c>
      <c r="C89" s="98" t="str">
        <f>Rates!D85</f>
        <v>Partner Countries</v>
      </c>
      <c r="D89" s="136">
        <f>Rates!E85</f>
        <v>77</v>
      </c>
      <c r="E89" s="136">
        <f>Rates!F85</f>
        <v>57</v>
      </c>
      <c r="F89" s="136">
        <f>Rates!G85</f>
        <v>40</v>
      </c>
      <c r="G89" s="136">
        <f>Rates!H85</f>
        <v>32</v>
      </c>
      <c r="L89" s="13">
        <v>82</v>
      </c>
      <c r="M89" s="100">
        <f t="shared" si="5"/>
        <v>3490</v>
      </c>
      <c r="N89" s="101">
        <f t="shared" si="4"/>
        <v>6000</v>
      </c>
    </row>
    <row r="90" spans="2:14" x14ac:dyDescent="0.25">
      <c r="B90" s="98" t="str">
        <f>Rates!C86</f>
        <v>Ghana</v>
      </c>
      <c r="C90" s="98" t="str">
        <f>Rates!D86</f>
        <v>Partner Countries</v>
      </c>
      <c r="D90" s="136">
        <f>Rates!E86</f>
        <v>47</v>
      </c>
      <c r="E90" s="136">
        <f>Rates!F86</f>
        <v>33</v>
      </c>
      <c r="F90" s="136">
        <f>Rates!G86</f>
        <v>22</v>
      </c>
      <c r="G90" s="136">
        <f>Rates!H86</f>
        <v>17</v>
      </c>
      <c r="L90" s="13">
        <v>83</v>
      </c>
      <c r="M90" s="100">
        <f t="shared" si="5"/>
        <v>3530</v>
      </c>
      <c r="N90" s="101">
        <f t="shared" si="4"/>
        <v>6050</v>
      </c>
    </row>
    <row r="91" spans="2:14" x14ac:dyDescent="0.25">
      <c r="B91" s="98" t="str">
        <f>Rates!C87</f>
        <v>Grenada</v>
      </c>
      <c r="C91" s="98" t="str">
        <f>Rates!D87</f>
        <v>Partner Countries</v>
      </c>
      <c r="D91" s="136">
        <f>Rates!E87</f>
        <v>108</v>
      </c>
      <c r="E91" s="136">
        <f>Rates!F87</f>
        <v>80</v>
      </c>
      <c r="F91" s="136">
        <f>Rates!G87</f>
        <v>57</v>
      </c>
      <c r="G91" s="136">
        <f>Rates!H87</f>
        <v>45</v>
      </c>
      <c r="L91" s="13">
        <v>84</v>
      </c>
      <c r="M91" s="100">
        <f t="shared" si="5"/>
        <v>3570</v>
      </c>
      <c r="N91" s="101">
        <f t="shared" si="4"/>
        <v>6100</v>
      </c>
    </row>
    <row r="92" spans="2:14" x14ac:dyDescent="0.25">
      <c r="B92" s="98" t="str">
        <f>Rates!C88</f>
        <v>Guatemala</v>
      </c>
      <c r="C92" s="98" t="str">
        <f>Rates!D88</f>
        <v>Partner Countries</v>
      </c>
      <c r="D92" s="136">
        <f>Rates!E88</f>
        <v>77</v>
      </c>
      <c r="E92" s="136">
        <f>Rates!F88</f>
        <v>57</v>
      </c>
      <c r="F92" s="136">
        <f>Rates!G88</f>
        <v>40</v>
      </c>
      <c r="G92" s="136">
        <f>Rates!H88</f>
        <v>32</v>
      </c>
      <c r="L92" s="13">
        <v>85</v>
      </c>
      <c r="M92" s="100">
        <f t="shared" si="5"/>
        <v>3610</v>
      </c>
      <c r="N92" s="101">
        <f t="shared" si="4"/>
        <v>6150</v>
      </c>
    </row>
    <row r="93" spans="2:14" x14ac:dyDescent="0.25">
      <c r="B93" s="98" t="str">
        <f>Rates!C89</f>
        <v>Guinea</v>
      </c>
      <c r="C93" s="98" t="str">
        <f>Rates!D89</f>
        <v>Partner Countries</v>
      </c>
      <c r="D93" s="136">
        <f>Rates!E89</f>
        <v>47</v>
      </c>
      <c r="E93" s="136">
        <f>Rates!F89</f>
        <v>33</v>
      </c>
      <c r="F93" s="136">
        <f>Rates!G89</f>
        <v>22</v>
      </c>
      <c r="G93" s="136">
        <f>Rates!H89</f>
        <v>17</v>
      </c>
      <c r="L93" s="13">
        <v>86</v>
      </c>
      <c r="M93" s="100">
        <f t="shared" si="5"/>
        <v>3650</v>
      </c>
      <c r="N93" s="101">
        <f t="shared" si="4"/>
        <v>6200</v>
      </c>
    </row>
    <row r="94" spans="2:14" x14ac:dyDescent="0.25">
      <c r="B94" s="98" t="str">
        <f>Rates!C90</f>
        <v>Guinea-Bissau</v>
      </c>
      <c r="C94" s="98" t="str">
        <f>Rates!D90</f>
        <v>Partner Countries</v>
      </c>
      <c r="D94" s="136">
        <f>Rates!E90</f>
        <v>77</v>
      </c>
      <c r="E94" s="136">
        <f>Rates!F90</f>
        <v>57</v>
      </c>
      <c r="F94" s="136">
        <f>Rates!G90</f>
        <v>40</v>
      </c>
      <c r="G94" s="136">
        <f>Rates!H90</f>
        <v>32</v>
      </c>
      <c r="L94" s="13">
        <v>87</v>
      </c>
      <c r="M94" s="100">
        <f t="shared" si="5"/>
        <v>3690</v>
      </c>
      <c r="N94" s="101">
        <f t="shared" si="4"/>
        <v>6250</v>
      </c>
    </row>
    <row r="95" spans="2:14" x14ac:dyDescent="0.25">
      <c r="B95" s="98" t="str">
        <f>Rates!C91</f>
        <v>Guyana</v>
      </c>
      <c r="C95" s="98" t="str">
        <f>Rates!D91</f>
        <v>Partner Countries</v>
      </c>
      <c r="D95" s="136">
        <f>Rates!E91</f>
        <v>47</v>
      </c>
      <c r="E95" s="136">
        <f>Rates!F91</f>
        <v>33</v>
      </c>
      <c r="F95" s="136">
        <f>Rates!G91</f>
        <v>22</v>
      </c>
      <c r="G95" s="136">
        <f>Rates!H91</f>
        <v>17</v>
      </c>
      <c r="L95" s="13">
        <v>88</v>
      </c>
      <c r="M95" s="100">
        <f t="shared" si="5"/>
        <v>3730</v>
      </c>
      <c r="N95" s="101">
        <f t="shared" si="4"/>
        <v>6300</v>
      </c>
    </row>
    <row r="96" spans="2:14" x14ac:dyDescent="0.25">
      <c r="B96" s="98" t="str">
        <f>Rates!C92</f>
        <v>Haiti</v>
      </c>
      <c r="C96" s="98" t="str">
        <f>Rates!D92</f>
        <v>Partner Countries</v>
      </c>
      <c r="D96" s="136">
        <f>Rates!E92</f>
        <v>77</v>
      </c>
      <c r="E96" s="136">
        <f>Rates!F92</f>
        <v>57</v>
      </c>
      <c r="F96" s="136">
        <f>Rates!G92</f>
        <v>40</v>
      </c>
      <c r="G96" s="136">
        <f>Rates!H92</f>
        <v>32</v>
      </c>
      <c r="L96" s="13">
        <v>89</v>
      </c>
      <c r="M96" s="100">
        <f t="shared" si="5"/>
        <v>3770</v>
      </c>
      <c r="N96" s="101">
        <f t="shared" si="4"/>
        <v>6350</v>
      </c>
    </row>
    <row r="97" spans="2:14" x14ac:dyDescent="0.25">
      <c r="B97" s="98" t="str">
        <f>Rates!C93</f>
        <v>Honduras</v>
      </c>
      <c r="C97" s="98" t="str">
        <f>Rates!D93</f>
        <v>Partner Countries</v>
      </c>
      <c r="D97" s="136">
        <f>Rates!E93</f>
        <v>47</v>
      </c>
      <c r="E97" s="136">
        <f>Rates!F93</f>
        <v>33</v>
      </c>
      <c r="F97" s="136">
        <f>Rates!G93</f>
        <v>22</v>
      </c>
      <c r="G97" s="136">
        <f>Rates!H93</f>
        <v>17</v>
      </c>
      <c r="L97" s="13">
        <v>90</v>
      </c>
      <c r="M97" s="100">
        <f t="shared" si="5"/>
        <v>3810</v>
      </c>
      <c r="N97" s="101">
        <f t="shared" si="4"/>
        <v>6400</v>
      </c>
    </row>
    <row r="98" spans="2:14" x14ac:dyDescent="0.25">
      <c r="B98" s="98" t="str">
        <f>Rates!C94</f>
        <v>India</v>
      </c>
      <c r="C98" s="98" t="str">
        <f>Rates!D94</f>
        <v>Partner Countries</v>
      </c>
      <c r="D98" s="136">
        <f>Rates!E94</f>
        <v>47</v>
      </c>
      <c r="E98" s="136">
        <f>Rates!F94</f>
        <v>33</v>
      </c>
      <c r="F98" s="136">
        <f>Rates!G94</f>
        <v>22</v>
      </c>
      <c r="G98" s="136">
        <f>Rates!H94</f>
        <v>17</v>
      </c>
    </row>
    <row r="99" spans="2:14" x14ac:dyDescent="0.25">
      <c r="B99" s="98" t="str">
        <f>Rates!C95</f>
        <v>Indonesia</v>
      </c>
      <c r="C99" s="98" t="str">
        <f>Rates!D95</f>
        <v>Partner Countries</v>
      </c>
      <c r="D99" s="136">
        <f>Rates!E95</f>
        <v>47</v>
      </c>
      <c r="E99" s="136">
        <f>Rates!F95</f>
        <v>33</v>
      </c>
      <c r="F99" s="136">
        <f>Rates!G95</f>
        <v>22</v>
      </c>
      <c r="G99" s="136">
        <f>Rates!H95</f>
        <v>17</v>
      </c>
    </row>
    <row r="100" spans="2:14" x14ac:dyDescent="0.25">
      <c r="B100" s="98" t="str">
        <f>Rates!C96</f>
        <v>Iran</v>
      </c>
      <c r="C100" s="98" t="str">
        <f>Rates!D96</f>
        <v>Partner Countries</v>
      </c>
      <c r="D100" s="136">
        <f>Rates!E96</f>
        <v>77</v>
      </c>
      <c r="E100" s="136">
        <f>Rates!F96</f>
        <v>57</v>
      </c>
      <c r="F100" s="136">
        <f>Rates!G96</f>
        <v>40</v>
      </c>
      <c r="G100" s="136">
        <f>Rates!H96</f>
        <v>32</v>
      </c>
    </row>
    <row r="101" spans="2:14" x14ac:dyDescent="0.25">
      <c r="B101" s="98" t="str">
        <f>Rates!C97</f>
        <v>Iraq</v>
      </c>
      <c r="C101" s="98" t="str">
        <f>Rates!D97</f>
        <v>Partner Countries</v>
      </c>
      <c r="D101" s="136">
        <f>Rates!E97</f>
        <v>77</v>
      </c>
      <c r="E101" s="136">
        <f>Rates!F97</f>
        <v>57</v>
      </c>
      <c r="F101" s="136">
        <f>Rates!G97</f>
        <v>40</v>
      </c>
      <c r="G101" s="136">
        <f>Rates!H97</f>
        <v>32</v>
      </c>
    </row>
    <row r="102" spans="2:14" x14ac:dyDescent="0.25">
      <c r="B102" s="98" t="str">
        <f>Rates!C98</f>
        <v>Israel</v>
      </c>
      <c r="C102" s="98" t="str">
        <f>Rates!D98</f>
        <v>Partner Countries</v>
      </c>
      <c r="D102" s="136">
        <f>Rates!E98</f>
        <v>166</v>
      </c>
      <c r="E102" s="136">
        <f>Rates!F98</f>
        <v>132</v>
      </c>
      <c r="F102" s="136">
        <f>Rates!G98</f>
        <v>102</v>
      </c>
      <c r="G102" s="136">
        <f>Rates!H98</f>
        <v>92</v>
      </c>
    </row>
    <row r="103" spans="2:14" x14ac:dyDescent="0.25">
      <c r="B103" s="98" t="str">
        <f>Rates!C99</f>
        <v>Ivory Coast</v>
      </c>
      <c r="C103" s="98" t="str">
        <f>Rates!D99</f>
        <v>Partner Countries</v>
      </c>
      <c r="D103" s="136">
        <f>Rates!E99</f>
        <v>108</v>
      </c>
      <c r="E103" s="136">
        <f>Rates!F99</f>
        <v>80</v>
      </c>
      <c r="F103" s="136">
        <f>Rates!G99</f>
        <v>57</v>
      </c>
      <c r="G103" s="136">
        <f>Rates!H99</f>
        <v>45</v>
      </c>
    </row>
    <row r="104" spans="2:14" x14ac:dyDescent="0.25">
      <c r="B104" s="98" t="str">
        <f>Rates!C100</f>
        <v>Jamaica</v>
      </c>
      <c r="C104" s="98" t="str">
        <f>Rates!D100</f>
        <v>Partner Countries</v>
      </c>
      <c r="D104" s="136">
        <f>Rates!E100</f>
        <v>77</v>
      </c>
      <c r="E104" s="136">
        <f>Rates!F100</f>
        <v>57</v>
      </c>
      <c r="F104" s="136">
        <f>Rates!G100</f>
        <v>40</v>
      </c>
      <c r="G104" s="136">
        <f>Rates!H100</f>
        <v>32</v>
      </c>
    </row>
    <row r="105" spans="2:14" x14ac:dyDescent="0.25">
      <c r="B105" s="98" t="str">
        <f>Rates!C101</f>
        <v>Jordan</v>
      </c>
      <c r="C105" s="98" t="str">
        <f>Rates!D101</f>
        <v>Partner Countries</v>
      </c>
      <c r="D105" s="136">
        <f>Rates!E101</f>
        <v>77</v>
      </c>
      <c r="E105" s="136">
        <f>Rates!F101</f>
        <v>57</v>
      </c>
      <c r="F105" s="136">
        <f>Rates!G101</f>
        <v>40</v>
      </c>
      <c r="G105" s="136">
        <f>Rates!H101</f>
        <v>32</v>
      </c>
    </row>
    <row r="106" spans="2:14" x14ac:dyDescent="0.25">
      <c r="B106" s="98" t="str">
        <f>Rates!C102</f>
        <v>Kazakstan</v>
      </c>
      <c r="C106" s="98" t="str">
        <f>Rates!D102</f>
        <v>Partner Countries</v>
      </c>
      <c r="D106" s="136">
        <f>Rates!E102</f>
        <v>77</v>
      </c>
      <c r="E106" s="136">
        <f>Rates!F102</f>
        <v>57</v>
      </c>
      <c r="F106" s="136">
        <f>Rates!G102</f>
        <v>40</v>
      </c>
      <c r="G106" s="136">
        <f>Rates!H102</f>
        <v>32</v>
      </c>
    </row>
    <row r="107" spans="2:14" x14ac:dyDescent="0.25">
      <c r="B107" s="98" t="str">
        <f>Rates!C103</f>
        <v>Kenya</v>
      </c>
      <c r="C107" s="98" t="str">
        <f>Rates!D103</f>
        <v>Partner Countries</v>
      </c>
      <c r="D107" s="136">
        <f>Rates!E103</f>
        <v>77</v>
      </c>
      <c r="E107" s="136">
        <f>Rates!F103</f>
        <v>57</v>
      </c>
      <c r="F107" s="136">
        <f>Rates!G103</f>
        <v>40</v>
      </c>
      <c r="G107" s="136">
        <f>Rates!H103</f>
        <v>32</v>
      </c>
    </row>
    <row r="108" spans="2:14" x14ac:dyDescent="0.25">
      <c r="B108" s="98" t="str">
        <f>Rates!C104</f>
        <v>Kiribati</v>
      </c>
      <c r="C108" s="98" t="str">
        <f>Rates!D104</f>
        <v>Partner Countries</v>
      </c>
      <c r="D108" s="136">
        <f>Rates!E104</f>
        <v>47</v>
      </c>
      <c r="E108" s="136">
        <f>Rates!F104</f>
        <v>33</v>
      </c>
      <c r="F108" s="136">
        <f>Rates!G104</f>
        <v>22</v>
      </c>
      <c r="G108" s="136">
        <f>Rates!H104</f>
        <v>17</v>
      </c>
    </row>
    <row r="109" spans="2:14" x14ac:dyDescent="0.25">
      <c r="B109" s="98" t="str">
        <f>Rates!C105</f>
        <v>Kosovo</v>
      </c>
      <c r="C109" s="98" t="str">
        <f>Rates!D105</f>
        <v>Partner Countries</v>
      </c>
      <c r="D109" s="136">
        <f>Rates!E105</f>
        <v>108</v>
      </c>
      <c r="E109" s="136">
        <f>Rates!F105</f>
        <v>80</v>
      </c>
      <c r="F109" s="136">
        <f>Rates!G105</f>
        <v>57</v>
      </c>
      <c r="G109" s="136">
        <f>Rates!H105</f>
        <v>45</v>
      </c>
    </row>
    <row r="110" spans="2:14" x14ac:dyDescent="0.25">
      <c r="B110" s="98" t="str">
        <f>Rates!C106</f>
        <v>Kyrgyzstan</v>
      </c>
      <c r="C110" s="98" t="str">
        <f>Rates!D106</f>
        <v>Partner Countries</v>
      </c>
      <c r="D110" s="136">
        <f>Rates!E106</f>
        <v>47</v>
      </c>
      <c r="E110" s="136">
        <f>Rates!F106</f>
        <v>33</v>
      </c>
      <c r="F110" s="136">
        <f>Rates!G106</f>
        <v>22</v>
      </c>
      <c r="G110" s="136">
        <f>Rates!H106</f>
        <v>17</v>
      </c>
    </row>
    <row r="111" spans="2:14" x14ac:dyDescent="0.25">
      <c r="B111" s="98" t="str">
        <f>Rates!C107</f>
        <v>Laos</v>
      </c>
      <c r="C111" s="98" t="str">
        <f>Rates!D107</f>
        <v>Partner Countries</v>
      </c>
      <c r="D111" s="136">
        <f>Rates!E107</f>
        <v>47</v>
      </c>
      <c r="E111" s="136">
        <f>Rates!F107</f>
        <v>33</v>
      </c>
      <c r="F111" s="136">
        <f>Rates!G107</f>
        <v>22</v>
      </c>
      <c r="G111" s="136">
        <f>Rates!H107</f>
        <v>17</v>
      </c>
    </row>
    <row r="112" spans="2:14" x14ac:dyDescent="0.25">
      <c r="B112" s="98" t="str">
        <f>Rates!C108</f>
        <v>Lebanon</v>
      </c>
      <c r="C112" s="98" t="str">
        <f>Rates!D108</f>
        <v>Partner Countries</v>
      </c>
      <c r="D112" s="136">
        <f>Rates!E108</f>
        <v>108</v>
      </c>
      <c r="E112" s="136">
        <f>Rates!F108</f>
        <v>80</v>
      </c>
      <c r="F112" s="136">
        <f>Rates!G108</f>
        <v>57</v>
      </c>
      <c r="G112" s="136">
        <f>Rates!H108</f>
        <v>45</v>
      </c>
    </row>
    <row r="113" spans="2:7" x14ac:dyDescent="0.25">
      <c r="B113" s="98" t="str">
        <f>Rates!C109</f>
        <v>Lesotho</v>
      </c>
      <c r="C113" s="98" t="str">
        <f>Rates!D109</f>
        <v>Partner Countries</v>
      </c>
      <c r="D113" s="136">
        <f>Rates!E109</f>
        <v>47</v>
      </c>
      <c r="E113" s="136">
        <f>Rates!F109</f>
        <v>33</v>
      </c>
      <c r="F113" s="136">
        <f>Rates!G109</f>
        <v>22</v>
      </c>
      <c r="G113" s="136">
        <f>Rates!H109</f>
        <v>17</v>
      </c>
    </row>
    <row r="114" spans="2:7" x14ac:dyDescent="0.25">
      <c r="B114" s="98" t="str">
        <f>Rates!C110</f>
        <v>Liberia</v>
      </c>
      <c r="C114" s="98" t="str">
        <f>Rates!D110</f>
        <v>Partner Countries</v>
      </c>
      <c r="D114" s="136">
        <f>Rates!E110</f>
        <v>47</v>
      </c>
      <c r="E114" s="136">
        <f>Rates!F110</f>
        <v>33</v>
      </c>
      <c r="F114" s="136">
        <f>Rates!G110</f>
        <v>22</v>
      </c>
      <c r="G114" s="136">
        <f>Rates!H110</f>
        <v>17</v>
      </c>
    </row>
    <row r="115" spans="2:7" x14ac:dyDescent="0.25">
      <c r="B115" s="98" t="str">
        <f>Rates!C111</f>
        <v>Libya</v>
      </c>
      <c r="C115" s="98" t="str">
        <f>Rates!D111</f>
        <v>Partner Countries</v>
      </c>
      <c r="D115" s="136">
        <f>Rates!E111</f>
        <v>108</v>
      </c>
      <c r="E115" s="136">
        <f>Rates!F111</f>
        <v>80</v>
      </c>
      <c r="F115" s="136">
        <f>Rates!G111</f>
        <v>57</v>
      </c>
      <c r="G115" s="136">
        <f>Rates!H111</f>
        <v>45</v>
      </c>
    </row>
    <row r="116" spans="2:7" x14ac:dyDescent="0.25">
      <c r="B116" s="98" t="str">
        <f>Rates!C112</f>
        <v>Madagascar</v>
      </c>
      <c r="C116" s="98" t="str">
        <f>Rates!D112</f>
        <v>Partner Countries</v>
      </c>
      <c r="D116" s="136">
        <f>Rates!E112</f>
        <v>47</v>
      </c>
      <c r="E116" s="136">
        <f>Rates!F112</f>
        <v>33</v>
      </c>
      <c r="F116" s="136">
        <f>Rates!G112</f>
        <v>22</v>
      </c>
      <c r="G116" s="136">
        <f>Rates!H112</f>
        <v>17</v>
      </c>
    </row>
    <row r="117" spans="2:7" x14ac:dyDescent="0.25">
      <c r="B117" s="98" t="str">
        <f>Rates!C113</f>
        <v>Malawi</v>
      </c>
      <c r="C117" s="98" t="str">
        <f>Rates!D113</f>
        <v>Partner Countries</v>
      </c>
      <c r="D117" s="136">
        <f>Rates!E113</f>
        <v>47</v>
      </c>
      <c r="E117" s="136">
        <f>Rates!F113</f>
        <v>33</v>
      </c>
      <c r="F117" s="136">
        <f>Rates!G113</f>
        <v>22</v>
      </c>
      <c r="G117" s="136">
        <f>Rates!H113</f>
        <v>17</v>
      </c>
    </row>
    <row r="118" spans="2:7" x14ac:dyDescent="0.25">
      <c r="B118" s="98" t="str">
        <f>Rates!C114</f>
        <v>Malaysia</v>
      </c>
      <c r="C118" s="98" t="str">
        <f>Rates!D114</f>
        <v>Partner Countries</v>
      </c>
      <c r="D118" s="136">
        <f>Rates!E114</f>
        <v>47</v>
      </c>
      <c r="E118" s="136">
        <f>Rates!F114</f>
        <v>33</v>
      </c>
      <c r="F118" s="136">
        <f>Rates!G114</f>
        <v>22</v>
      </c>
      <c r="G118" s="136">
        <f>Rates!H114</f>
        <v>17</v>
      </c>
    </row>
    <row r="119" spans="2:7" x14ac:dyDescent="0.25">
      <c r="B119" s="98" t="str">
        <f>Rates!C115</f>
        <v>Maldives</v>
      </c>
      <c r="C119" s="98" t="str">
        <f>Rates!D115</f>
        <v>Partner Countries</v>
      </c>
      <c r="D119" s="136">
        <f>Rates!E115</f>
        <v>47</v>
      </c>
      <c r="E119" s="136">
        <f>Rates!F115</f>
        <v>33</v>
      </c>
      <c r="F119" s="136">
        <f>Rates!G115</f>
        <v>22</v>
      </c>
      <c r="G119" s="136">
        <f>Rates!H115</f>
        <v>17</v>
      </c>
    </row>
    <row r="120" spans="2:7" x14ac:dyDescent="0.25">
      <c r="B120" s="98" t="str">
        <f>Rates!C116</f>
        <v>Mali</v>
      </c>
      <c r="C120" s="98" t="str">
        <f>Rates!D116</f>
        <v>Partner Countries</v>
      </c>
      <c r="D120" s="136">
        <f>Rates!E116</f>
        <v>47</v>
      </c>
      <c r="E120" s="136">
        <f>Rates!F116</f>
        <v>33</v>
      </c>
      <c r="F120" s="136">
        <f>Rates!G116</f>
        <v>22</v>
      </c>
      <c r="G120" s="136">
        <f>Rates!H116</f>
        <v>17</v>
      </c>
    </row>
    <row r="121" spans="2:7" x14ac:dyDescent="0.25">
      <c r="B121" s="98" t="str">
        <f>Rates!C117</f>
        <v>Marshall Islands</v>
      </c>
      <c r="C121" s="98" t="str">
        <f>Rates!D117</f>
        <v>Partner Countries</v>
      </c>
      <c r="D121" s="136">
        <f>Rates!E117</f>
        <v>47</v>
      </c>
      <c r="E121" s="136">
        <f>Rates!F117</f>
        <v>33</v>
      </c>
      <c r="F121" s="136">
        <f>Rates!G117</f>
        <v>22</v>
      </c>
      <c r="G121" s="136">
        <f>Rates!H117</f>
        <v>17</v>
      </c>
    </row>
    <row r="122" spans="2:7" x14ac:dyDescent="0.25">
      <c r="B122" s="98" t="str">
        <f>Rates!C118</f>
        <v>Mauritania</v>
      </c>
      <c r="C122" s="98" t="str">
        <f>Rates!D118</f>
        <v>Partner Countries</v>
      </c>
      <c r="D122" s="136">
        <f>Rates!E118</f>
        <v>47</v>
      </c>
      <c r="E122" s="136">
        <f>Rates!F118</f>
        <v>33</v>
      </c>
      <c r="F122" s="136">
        <f>Rates!G118</f>
        <v>22</v>
      </c>
      <c r="G122" s="136">
        <f>Rates!H118</f>
        <v>17</v>
      </c>
    </row>
    <row r="123" spans="2:7" x14ac:dyDescent="0.25">
      <c r="B123" s="98" t="str">
        <f>Rates!C119</f>
        <v>Mauritius</v>
      </c>
      <c r="C123" s="98" t="str">
        <f>Rates!D119</f>
        <v>Partner Countries</v>
      </c>
      <c r="D123" s="136">
        <f>Rates!E119</f>
        <v>47</v>
      </c>
      <c r="E123" s="136">
        <f>Rates!F119</f>
        <v>33</v>
      </c>
      <c r="F123" s="136">
        <f>Rates!G119</f>
        <v>22</v>
      </c>
      <c r="G123" s="136">
        <f>Rates!H119</f>
        <v>17</v>
      </c>
    </row>
    <row r="124" spans="2:7" x14ac:dyDescent="0.25">
      <c r="B124" s="98" t="str">
        <f>Rates!C120</f>
        <v>Mexico</v>
      </c>
      <c r="C124" s="98" t="str">
        <f>Rates!D120</f>
        <v>Partner Countries</v>
      </c>
      <c r="D124" s="136">
        <f>Rates!E120</f>
        <v>108</v>
      </c>
      <c r="E124" s="136">
        <f>Rates!F120</f>
        <v>80</v>
      </c>
      <c r="F124" s="136">
        <f>Rates!G120</f>
        <v>57</v>
      </c>
      <c r="G124" s="136">
        <f>Rates!H120</f>
        <v>45</v>
      </c>
    </row>
    <row r="125" spans="2:7" x14ac:dyDescent="0.25">
      <c r="B125" s="98" t="str">
        <f>Rates!C121</f>
        <v>Micronesia - Federated States of-</v>
      </c>
      <c r="C125" s="98" t="str">
        <f>Rates!D121</f>
        <v>Partner Countries</v>
      </c>
      <c r="D125" s="136">
        <f>Rates!E121</f>
        <v>77</v>
      </c>
      <c r="E125" s="136">
        <f>Rates!F121</f>
        <v>57</v>
      </c>
      <c r="F125" s="136">
        <f>Rates!G121</f>
        <v>40</v>
      </c>
      <c r="G125" s="136">
        <f>Rates!H121</f>
        <v>32</v>
      </c>
    </row>
    <row r="126" spans="2:7" x14ac:dyDescent="0.25">
      <c r="B126" s="98" t="str">
        <f>Rates!C122</f>
        <v>Moldova</v>
      </c>
      <c r="C126" s="98" t="str">
        <f>Rates!D122</f>
        <v>Partner Countries</v>
      </c>
      <c r="D126" s="136">
        <f>Rates!E122</f>
        <v>47</v>
      </c>
      <c r="E126" s="136">
        <f>Rates!F122</f>
        <v>33</v>
      </c>
      <c r="F126" s="136">
        <f>Rates!G122</f>
        <v>22</v>
      </c>
      <c r="G126" s="136">
        <f>Rates!H122</f>
        <v>17</v>
      </c>
    </row>
    <row r="127" spans="2:7" x14ac:dyDescent="0.25">
      <c r="B127" s="98" t="str">
        <f>Rates!C123</f>
        <v>Mongolia</v>
      </c>
      <c r="C127" s="98" t="str">
        <f>Rates!D123</f>
        <v>Partner Countries</v>
      </c>
      <c r="D127" s="136">
        <f>Rates!E123</f>
        <v>47</v>
      </c>
      <c r="E127" s="136">
        <f>Rates!F123</f>
        <v>33</v>
      </c>
      <c r="F127" s="136">
        <f>Rates!G123</f>
        <v>22</v>
      </c>
      <c r="G127" s="136">
        <f>Rates!H123</f>
        <v>17</v>
      </c>
    </row>
    <row r="128" spans="2:7" x14ac:dyDescent="0.25">
      <c r="B128" s="98" t="str">
        <f>Rates!C124</f>
        <v>Montenegro</v>
      </c>
      <c r="C128" s="98" t="str">
        <f>Rates!D124</f>
        <v>Partner Countries</v>
      </c>
      <c r="D128" s="136">
        <f>Rates!E124</f>
        <v>108</v>
      </c>
      <c r="E128" s="136">
        <f>Rates!F124</f>
        <v>80</v>
      </c>
      <c r="F128" s="136">
        <f>Rates!G124</f>
        <v>57</v>
      </c>
      <c r="G128" s="136">
        <f>Rates!H124</f>
        <v>45</v>
      </c>
    </row>
    <row r="129" spans="2:7" x14ac:dyDescent="0.25">
      <c r="B129" s="98" t="str">
        <f>Rates!C125</f>
        <v>Morocco</v>
      </c>
      <c r="C129" s="98" t="str">
        <f>Rates!D125</f>
        <v>Partner Countries</v>
      </c>
      <c r="D129" s="136">
        <f>Rates!E125</f>
        <v>77</v>
      </c>
      <c r="E129" s="136">
        <f>Rates!F125</f>
        <v>57</v>
      </c>
      <c r="F129" s="136">
        <f>Rates!G125</f>
        <v>40</v>
      </c>
      <c r="G129" s="136">
        <f>Rates!H125</f>
        <v>32</v>
      </c>
    </row>
    <row r="130" spans="2:7" x14ac:dyDescent="0.25">
      <c r="B130" s="98" t="str">
        <f>Rates!C126</f>
        <v>Mozambique</v>
      </c>
      <c r="C130" s="98" t="str">
        <f>Rates!D126</f>
        <v>Partner Countries</v>
      </c>
      <c r="D130" s="136">
        <f>Rates!E126</f>
        <v>77</v>
      </c>
      <c r="E130" s="136">
        <f>Rates!F126</f>
        <v>57</v>
      </c>
      <c r="F130" s="136">
        <f>Rates!G126</f>
        <v>40</v>
      </c>
      <c r="G130" s="136">
        <f>Rates!H126</f>
        <v>32</v>
      </c>
    </row>
    <row r="131" spans="2:7" x14ac:dyDescent="0.25">
      <c r="B131" s="98" t="str">
        <f>Rates!C127</f>
        <v>Myanmar</v>
      </c>
      <c r="C131" s="98" t="str">
        <f>Rates!D127</f>
        <v>Partner Countries</v>
      </c>
      <c r="D131" s="136">
        <f>Rates!E127</f>
        <v>47</v>
      </c>
      <c r="E131" s="136">
        <f>Rates!F127</f>
        <v>33</v>
      </c>
      <c r="F131" s="136">
        <f>Rates!G127</f>
        <v>22</v>
      </c>
      <c r="G131" s="136">
        <f>Rates!H127</f>
        <v>17</v>
      </c>
    </row>
    <row r="132" spans="2:7" x14ac:dyDescent="0.25">
      <c r="B132" s="98" t="str">
        <f>Rates!C128</f>
        <v>Namibia</v>
      </c>
      <c r="C132" s="98" t="str">
        <f>Rates!D128</f>
        <v>Partner Countries</v>
      </c>
      <c r="D132" s="136">
        <f>Rates!E128</f>
        <v>77</v>
      </c>
      <c r="E132" s="136">
        <f>Rates!F128</f>
        <v>57</v>
      </c>
      <c r="F132" s="136">
        <f>Rates!G128</f>
        <v>40</v>
      </c>
      <c r="G132" s="136">
        <f>Rates!H128</f>
        <v>32</v>
      </c>
    </row>
    <row r="133" spans="2:7" x14ac:dyDescent="0.25">
      <c r="B133" s="98" t="str">
        <f>Rates!C129</f>
        <v>Nauru</v>
      </c>
      <c r="C133" s="98" t="str">
        <f>Rates!D129</f>
        <v>Partner Countries</v>
      </c>
      <c r="D133" s="136">
        <f>Rates!E129</f>
        <v>47</v>
      </c>
      <c r="E133" s="136">
        <f>Rates!F129</f>
        <v>33</v>
      </c>
      <c r="F133" s="136">
        <f>Rates!G129</f>
        <v>22</v>
      </c>
      <c r="G133" s="136">
        <f>Rates!H129</f>
        <v>17</v>
      </c>
    </row>
    <row r="134" spans="2:7" x14ac:dyDescent="0.25">
      <c r="B134" s="98" t="str">
        <f>Rates!C130</f>
        <v>Nepal</v>
      </c>
      <c r="C134" s="98" t="str">
        <f>Rates!D130</f>
        <v>Partner Countries</v>
      </c>
      <c r="D134" s="136">
        <f>Rates!E130</f>
        <v>47</v>
      </c>
      <c r="E134" s="136">
        <f>Rates!F130</f>
        <v>33</v>
      </c>
      <c r="F134" s="136">
        <f>Rates!G130</f>
        <v>22</v>
      </c>
      <c r="G134" s="136">
        <f>Rates!H130</f>
        <v>17</v>
      </c>
    </row>
    <row r="135" spans="2:7" x14ac:dyDescent="0.25">
      <c r="B135" s="98" t="str">
        <f>Rates!C131</f>
        <v>Nicaragua</v>
      </c>
      <c r="C135" s="98" t="str">
        <f>Rates!D131</f>
        <v>Partner Countries</v>
      </c>
      <c r="D135" s="136">
        <f>Rates!E131</f>
        <v>47</v>
      </c>
      <c r="E135" s="136">
        <f>Rates!F131</f>
        <v>33</v>
      </c>
      <c r="F135" s="136">
        <f>Rates!G131</f>
        <v>22</v>
      </c>
      <c r="G135" s="136">
        <f>Rates!H131</f>
        <v>17</v>
      </c>
    </row>
    <row r="136" spans="2:7" x14ac:dyDescent="0.25">
      <c r="B136" s="98" t="str">
        <f>Rates!C132</f>
        <v>Niger</v>
      </c>
      <c r="C136" s="98" t="str">
        <f>Rates!D132</f>
        <v>Partner Countries</v>
      </c>
      <c r="D136" s="136">
        <f>Rates!E132</f>
        <v>47</v>
      </c>
      <c r="E136" s="136">
        <f>Rates!F132</f>
        <v>33</v>
      </c>
      <c r="F136" s="136">
        <f>Rates!G132</f>
        <v>22</v>
      </c>
      <c r="G136" s="136">
        <f>Rates!H132</f>
        <v>17</v>
      </c>
    </row>
    <row r="137" spans="2:7" x14ac:dyDescent="0.25">
      <c r="B137" s="98" t="str">
        <f>Rates!C133</f>
        <v>Nigeria</v>
      </c>
      <c r="C137" s="98" t="str">
        <f>Rates!D133</f>
        <v>Partner Countries</v>
      </c>
      <c r="D137" s="136">
        <f>Rates!E133</f>
        <v>108</v>
      </c>
      <c r="E137" s="136">
        <f>Rates!F133</f>
        <v>80</v>
      </c>
      <c r="F137" s="136">
        <f>Rates!G133</f>
        <v>57</v>
      </c>
      <c r="G137" s="136">
        <f>Rates!H133</f>
        <v>45</v>
      </c>
    </row>
    <row r="138" spans="2:7" x14ac:dyDescent="0.25">
      <c r="B138" s="98" t="str">
        <f>Rates!C134</f>
        <v>Niue</v>
      </c>
      <c r="C138" s="98" t="str">
        <f>Rates!D134</f>
        <v>Partner Countries</v>
      </c>
      <c r="D138" s="136">
        <f>Rates!E134</f>
        <v>47</v>
      </c>
      <c r="E138" s="136">
        <f>Rates!F134</f>
        <v>33</v>
      </c>
      <c r="F138" s="136">
        <f>Rates!G134</f>
        <v>22</v>
      </c>
      <c r="G138" s="136">
        <f>Rates!H134</f>
        <v>17</v>
      </c>
    </row>
    <row r="139" spans="2:7" x14ac:dyDescent="0.25">
      <c r="B139" s="98" t="str">
        <f>Rates!C135</f>
        <v>Pakistan</v>
      </c>
      <c r="C139" s="98" t="str">
        <f>Rates!D135</f>
        <v>Partner Countries</v>
      </c>
      <c r="D139" s="136">
        <f>Rates!E135</f>
        <v>47</v>
      </c>
      <c r="E139" s="136">
        <f>Rates!F135</f>
        <v>33</v>
      </c>
      <c r="F139" s="136">
        <f>Rates!G135</f>
        <v>22</v>
      </c>
      <c r="G139" s="136">
        <f>Rates!H135</f>
        <v>17</v>
      </c>
    </row>
    <row r="140" spans="2:7" x14ac:dyDescent="0.25">
      <c r="B140" s="98" t="str">
        <f>Rates!C136</f>
        <v>Palau</v>
      </c>
      <c r="C140" s="98" t="str">
        <f>Rates!D136</f>
        <v>Partner Countries</v>
      </c>
      <c r="D140" s="136">
        <f>Rates!E136</f>
        <v>47</v>
      </c>
      <c r="E140" s="136">
        <f>Rates!F136</f>
        <v>33</v>
      </c>
      <c r="F140" s="136">
        <f>Rates!G136</f>
        <v>22</v>
      </c>
      <c r="G140" s="136">
        <f>Rates!H136</f>
        <v>17</v>
      </c>
    </row>
    <row r="141" spans="2:7" x14ac:dyDescent="0.25">
      <c r="B141" s="98" t="str">
        <f>Rates!C137</f>
        <v>Palestine</v>
      </c>
      <c r="C141" s="98" t="str">
        <f>Rates!D137</f>
        <v>Partner Countries</v>
      </c>
      <c r="D141" s="136">
        <f>Rates!E137</f>
        <v>77</v>
      </c>
      <c r="E141" s="136">
        <f>Rates!F137</f>
        <v>57</v>
      </c>
      <c r="F141" s="136">
        <f>Rates!G137</f>
        <v>40</v>
      </c>
      <c r="G141" s="136">
        <f>Rates!H137</f>
        <v>32</v>
      </c>
    </row>
    <row r="142" spans="2:7" x14ac:dyDescent="0.25">
      <c r="B142" s="98" t="str">
        <f>Rates!C138</f>
        <v>Panama</v>
      </c>
      <c r="C142" s="98" t="str">
        <f>Rates!D138</f>
        <v>Partner Countries</v>
      </c>
      <c r="D142" s="136">
        <f>Rates!E138</f>
        <v>77</v>
      </c>
      <c r="E142" s="136">
        <f>Rates!F138</f>
        <v>57</v>
      </c>
      <c r="F142" s="136">
        <f>Rates!G138</f>
        <v>40</v>
      </c>
      <c r="G142" s="136">
        <f>Rates!H138</f>
        <v>32</v>
      </c>
    </row>
    <row r="143" spans="2:7" x14ac:dyDescent="0.25">
      <c r="B143" s="98" t="str">
        <f>Rates!C139</f>
        <v>Papua New Guinea</v>
      </c>
      <c r="C143" s="98" t="str">
        <f>Rates!D139</f>
        <v>Partner Countries</v>
      </c>
      <c r="D143" s="136">
        <f>Rates!E139</f>
        <v>77</v>
      </c>
      <c r="E143" s="136">
        <f>Rates!F139</f>
        <v>57</v>
      </c>
      <c r="F143" s="136">
        <f>Rates!G139</f>
        <v>40</v>
      </c>
      <c r="G143" s="136">
        <f>Rates!H139</f>
        <v>32</v>
      </c>
    </row>
    <row r="144" spans="2:7" x14ac:dyDescent="0.25">
      <c r="B144" s="98" t="str">
        <f>Rates!C140</f>
        <v>Paraguay</v>
      </c>
      <c r="C144" s="98" t="str">
        <f>Rates!D140</f>
        <v>Partner Countries</v>
      </c>
      <c r="D144" s="136">
        <f>Rates!E140</f>
        <v>77</v>
      </c>
      <c r="E144" s="136">
        <f>Rates!F140</f>
        <v>57</v>
      </c>
      <c r="F144" s="136">
        <f>Rates!G140</f>
        <v>40</v>
      </c>
      <c r="G144" s="136">
        <f>Rates!H140</f>
        <v>32</v>
      </c>
    </row>
    <row r="145" spans="2:7" x14ac:dyDescent="0.25">
      <c r="B145" s="98" t="str">
        <f>Rates!C141</f>
        <v>Peru</v>
      </c>
      <c r="C145" s="98" t="str">
        <f>Rates!D141</f>
        <v>Partner Countries</v>
      </c>
      <c r="D145" s="136">
        <f>Rates!E141</f>
        <v>108</v>
      </c>
      <c r="E145" s="136">
        <f>Rates!F141</f>
        <v>80</v>
      </c>
      <c r="F145" s="136">
        <f>Rates!G141</f>
        <v>57</v>
      </c>
      <c r="G145" s="136">
        <f>Rates!H141</f>
        <v>45</v>
      </c>
    </row>
    <row r="146" spans="2:7" x14ac:dyDescent="0.25">
      <c r="B146" s="98" t="str">
        <f>Rates!C142</f>
        <v>Philippines</v>
      </c>
      <c r="C146" s="98" t="str">
        <f>Rates!D142</f>
        <v>Partner Countries</v>
      </c>
      <c r="D146" s="136">
        <f>Rates!E142</f>
        <v>47</v>
      </c>
      <c r="E146" s="136">
        <f>Rates!F142</f>
        <v>33</v>
      </c>
      <c r="F146" s="136">
        <f>Rates!G142</f>
        <v>22</v>
      </c>
      <c r="G146" s="136">
        <f>Rates!H142</f>
        <v>17</v>
      </c>
    </row>
    <row r="147" spans="2:7" x14ac:dyDescent="0.25">
      <c r="B147" s="98" t="str">
        <f>Rates!C143</f>
        <v>Russia</v>
      </c>
      <c r="C147" s="98" t="str">
        <f>Rates!D143</f>
        <v>Partner Countries</v>
      </c>
      <c r="D147" s="136">
        <f>Rates!E143</f>
        <v>77</v>
      </c>
      <c r="E147" s="136">
        <f>Rates!F143</f>
        <v>57</v>
      </c>
      <c r="F147" s="136">
        <f>Rates!G143</f>
        <v>40</v>
      </c>
      <c r="G147" s="136">
        <f>Rates!H143</f>
        <v>32</v>
      </c>
    </row>
    <row r="148" spans="2:7" x14ac:dyDescent="0.25">
      <c r="B148" s="98" t="str">
        <f>Rates!C144</f>
        <v>Rwanda</v>
      </c>
      <c r="C148" s="98" t="str">
        <f>Rates!D144</f>
        <v>Partner Countries</v>
      </c>
      <c r="D148" s="136">
        <f>Rates!E144</f>
        <v>47</v>
      </c>
      <c r="E148" s="136">
        <f>Rates!F144</f>
        <v>33</v>
      </c>
      <c r="F148" s="136">
        <f>Rates!G144</f>
        <v>22</v>
      </c>
      <c r="G148" s="136">
        <f>Rates!H144</f>
        <v>17</v>
      </c>
    </row>
    <row r="149" spans="2:7" x14ac:dyDescent="0.25">
      <c r="B149" s="98" t="str">
        <f>Rates!C145</f>
        <v>Saint Kitts and Nevis</v>
      </c>
      <c r="C149" s="98" t="str">
        <f>Rates!D145</f>
        <v>Partner Countries</v>
      </c>
      <c r="D149" s="136">
        <f>Rates!E145</f>
        <v>108</v>
      </c>
      <c r="E149" s="136">
        <f>Rates!F145</f>
        <v>80</v>
      </c>
      <c r="F149" s="136">
        <f>Rates!G145</f>
        <v>57</v>
      </c>
      <c r="G149" s="136">
        <f>Rates!H145</f>
        <v>45</v>
      </c>
    </row>
    <row r="150" spans="2:7" x14ac:dyDescent="0.25">
      <c r="B150" s="98" t="str">
        <f>Rates!C146</f>
        <v>Saint Lucia</v>
      </c>
      <c r="C150" s="98" t="str">
        <f>Rates!D146</f>
        <v>Partner Countries</v>
      </c>
      <c r="D150" s="136">
        <f>Rates!E146</f>
        <v>108</v>
      </c>
      <c r="E150" s="136">
        <f>Rates!F146</f>
        <v>80</v>
      </c>
      <c r="F150" s="136">
        <f>Rates!G146</f>
        <v>57</v>
      </c>
      <c r="G150" s="136">
        <f>Rates!H146</f>
        <v>45</v>
      </c>
    </row>
    <row r="151" spans="2:7" x14ac:dyDescent="0.25">
      <c r="B151" s="98" t="str">
        <f>Rates!C147</f>
        <v>Saint Vincent and the Grenadines</v>
      </c>
      <c r="C151" s="98" t="str">
        <f>Rates!D147</f>
        <v>Partner Countries</v>
      </c>
      <c r="D151" s="136">
        <f>Rates!E147</f>
        <v>108</v>
      </c>
      <c r="E151" s="136">
        <f>Rates!F147</f>
        <v>80</v>
      </c>
      <c r="F151" s="136">
        <f>Rates!G147</f>
        <v>57</v>
      </c>
      <c r="G151" s="136">
        <f>Rates!H147</f>
        <v>45</v>
      </c>
    </row>
    <row r="152" spans="2:7" x14ac:dyDescent="0.25">
      <c r="B152" s="98" t="str">
        <f>Rates!C148</f>
        <v>Samoa</v>
      </c>
      <c r="C152" s="98" t="str">
        <f>Rates!D148</f>
        <v>Partner Countries</v>
      </c>
      <c r="D152" s="136">
        <f>Rates!E148</f>
        <v>47</v>
      </c>
      <c r="E152" s="136">
        <f>Rates!F148</f>
        <v>33</v>
      </c>
      <c r="F152" s="136">
        <f>Rates!G148</f>
        <v>22</v>
      </c>
      <c r="G152" s="136">
        <f>Rates!H148</f>
        <v>17</v>
      </c>
    </row>
    <row r="153" spans="2:7" x14ac:dyDescent="0.25">
      <c r="B153" s="98" t="str">
        <f>Rates!C149</f>
        <v>Sao Tome and Principe</v>
      </c>
      <c r="C153" s="98" t="str">
        <f>Rates!D149</f>
        <v>Partner Countries</v>
      </c>
      <c r="D153" s="136">
        <f>Rates!E149</f>
        <v>108</v>
      </c>
      <c r="E153" s="136">
        <f>Rates!F149</f>
        <v>80</v>
      </c>
      <c r="F153" s="136">
        <f>Rates!G149</f>
        <v>57</v>
      </c>
      <c r="G153" s="136">
        <f>Rates!H149</f>
        <v>45</v>
      </c>
    </row>
    <row r="154" spans="2:7" x14ac:dyDescent="0.25">
      <c r="B154" s="98" t="str">
        <f>Rates!C150</f>
        <v>Senegal</v>
      </c>
      <c r="C154" s="98" t="str">
        <f>Rates!D150</f>
        <v>Partner Countries</v>
      </c>
      <c r="D154" s="136">
        <f>Rates!E150</f>
        <v>77</v>
      </c>
      <c r="E154" s="136">
        <f>Rates!F150</f>
        <v>57</v>
      </c>
      <c r="F154" s="136">
        <f>Rates!G150</f>
        <v>40</v>
      </c>
      <c r="G154" s="136">
        <f>Rates!H150</f>
        <v>32</v>
      </c>
    </row>
    <row r="155" spans="2:7" x14ac:dyDescent="0.25">
      <c r="B155" s="98" t="str">
        <f>Rates!C151</f>
        <v>Serbia</v>
      </c>
      <c r="C155" s="98" t="str">
        <f>Rates!D151</f>
        <v>Partner Countries</v>
      </c>
      <c r="D155" s="136">
        <f>Rates!E151</f>
        <v>108</v>
      </c>
      <c r="E155" s="136">
        <f>Rates!F151</f>
        <v>80</v>
      </c>
      <c r="F155" s="136">
        <f>Rates!G151</f>
        <v>57</v>
      </c>
      <c r="G155" s="136">
        <f>Rates!H151</f>
        <v>45</v>
      </c>
    </row>
    <row r="156" spans="2:7" x14ac:dyDescent="0.25">
      <c r="B156" s="98" t="str">
        <f>Rates!C152</f>
        <v>Seychelles</v>
      </c>
      <c r="C156" s="98" t="str">
        <f>Rates!D152</f>
        <v>Partner Countries</v>
      </c>
      <c r="D156" s="136">
        <f>Rates!E152</f>
        <v>108</v>
      </c>
      <c r="E156" s="136">
        <f>Rates!F152</f>
        <v>80</v>
      </c>
      <c r="F156" s="136">
        <f>Rates!G152</f>
        <v>57</v>
      </c>
      <c r="G156" s="136">
        <f>Rates!H152</f>
        <v>45</v>
      </c>
    </row>
    <row r="157" spans="2:7" x14ac:dyDescent="0.25">
      <c r="B157" s="98" t="str">
        <f>Rates!C153</f>
        <v>Sierra Leone</v>
      </c>
      <c r="C157" s="98" t="str">
        <f>Rates!D153</f>
        <v>Partner Countries</v>
      </c>
      <c r="D157" s="136">
        <f>Rates!E153</f>
        <v>47</v>
      </c>
      <c r="E157" s="136">
        <f>Rates!F153</f>
        <v>33</v>
      </c>
      <c r="F157" s="136">
        <f>Rates!G153</f>
        <v>22</v>
      </c>
      <c r="G157" s="136">
        <f>Rates!H153</f>
        <v>17</v>
      </c>
    </row>
    <row r="158" spans="2:7" x14ac:dyDescent="0.25">
      <c r="B158" s="98" t="str">
        <f>Rates!C154</f>
        <v>Solomon Islands</v>
      </c>
      <c r="C158" s="98" t="str">
        <f>Rates!D154</f>
        <v>Partner Countries</v>
      </c>
      <c r="D158" s="136">
        <f>Rates!E154</f>
        <v>47</v>
      </c>
      <c r="E158" s="136">
        <f>Rates!F154</f>
        <v>33</v>
      </c>
      <c r="F158" s="136">
        <f>Rates!G154</f>
        <v>22</v>
      </c>
      <c r="G158" s="136">
        <f>Rates!H154</f>
        <v>17</v>
      </c>
    </row>
    <row r="159" spans="2:7" x14ac:dyDescent="0.25">
      <c r="B159" s="98" t="str">
        <f>Rates!C155</f>
        <v>Somalia</v>
      </c>
      <c r="C159" s="98" t="str">
        <f>Rates!D155</f>
        <v>Partner Countries</v>
      </c>
      <c r="D159" s="136">
        <f>Rates!E155</f>
        <v>47</v>
      </c>
      <c r="E159" s="136">
        <f>Rates!F155</f>
        <v>33</v>
      </c>
      <c r="F159" s="136">
        <f>Rates!G155</f>
        <v>22</v>
      </c>
      <c r="G159" s="136">
        <f>Rates!H155</f>
        <v>17</v>
      </c>
    </row>
    <row r="160" spans="2:7" x14ac:dyDescent="0.25">
      <c r="B160" s="98" t="str">
        <f>Rates!C156</f>
        <v>South Africa</v>
      </c>
      <c r="C160" s="98" t="str">
        <f>Rates!D156</f>
        <v>Partner Countries</v>
      </c>
      <c r="D160" s="136">
        <f>Rates!E156</f>
        <v>77</v>
      </c>
      <c r="E160" s="136">
        <f>Rates!F156</f>
        <v>57</v>
      </c>
      <c r="F160" s="136">
        <f>Rates!G156</f>
        <v>40</v>
      </c>
      <c r="G160" s="136">
        <f>Rates!H156</f>
        <v>32</v>
      </c>
    </row>
    <row r="161" spans="2:7" x14ac:dyDescent="0.25">
      <c r="B161" s="98" t="str">
        <f>Rates!C157</f>
        <v>South Sudan</v>
      </c>
      <c r="C161" s="98" t="str">
        <f>Rates!D157</f>
        <v>Partner Countries</v>
      </c>
      <c r="D161" s="136">
        <f>Rates!E157</f>
        <v>47</v>
      </c>
      <c r="E161" s="136">
        <f>Rates!F157</f>
        <v>33</v>
      </c>
      <c r="F161" s="136">
        <f>Rates!G157</f>
        <v>22</v>
      </c>
      <c r="G161" s="136">
        <f>Rates!H157</f>
        <v>17</v>
      </c>
    </row>
    <row r="162" spans="2:7" x14ac:dyDescent="0.25">
      <c r="B162" s="98" t="str">
        <f>Rates!C158</f>
        <v>Sri Lanka</v>
      </c>
      <c r="C162" s="98" t="str">
        <f>Rates!D158</f>
        <v>Partner Countries</v>
      </c>
      <c r="D162" s="136">
        <f>Rates!E158</f>
        <v>47</v>
      </c>
      <c r="E162" s="136">
        <f>Rates!F158</f>
        <v>33</v>
      </c>
      <c r="F162" s="136">
        <f>Rates!G158</f>
        <v>22</v>
      </c>
      <c r="G162" s="136">
        <f>Rates!H158</f>
        <v>17</v>
      </c>
    </row>
    <row r="163" spans="2:7" x14ac:dyDescent="0.25">
      <c r="B163" s="98" t="str">
        <f>Rates!C159</f>
        <v>Sudan</v>
      </c>
      <c r="C163" s="98" t="str">
        <f>Rates!D159</f>
        <v>Partner Countries</v>
      </c>
      <c r="D163" s="136">
        <f>Rates!E159</f>
        <v>47</v>
      </c>
      <c r="E163" s="136">
        <f>Rates!F159</f>
        <v>33</v>
      </c>
      <c r="F163" s="136">
        <f>Rates!G159</f>
        <v>22</v>
      </c>
      <c r="G163" s="136">
        <f>Rates!H159</f>
        <v>17</v>
      </c>
    </row>
    <row r="164" spans="2:7" x14ac:dyDescent="0.25">
      <c r="B164" s="98" t="str">
        <f>Rates!C160</f>
        <v>Suriname</v>
      </c>
      <c r="C164" s="98" t="str">
        <f>Rates!D160</f>
        <v>Partner Countries</v>
      </c>
      <c r="D164" s="136">
        <f>Rates!E160</f>
        <v>77</v>
      </c>
      <c r="E164" s="136">
        <f>Rates!F160</f>
        <v>57</v>
      </c>
      <c r="F164" s="136">
        <f>Rates!G160</f>
        <v>40</v>
      </c>
      <c r="G164" s="136">
        <f>Rates!H160</f>
        <v>32</v>
      </c>
    </row>
    <row r="165" spans="2:7" x14ac:dyDescent="0.25">
      <c r="B165" s="98" t="str">
        <f>Rates!C161</f>
        <v>Swaziland</v>
      </c>
      <c r="C165" s="98" t="str">
        <f>Rates!D161</f>
        <v>Partner Countries</v>
      </c>
      <c r="D165" s="136">
        <f>Rates!E161</f>
        <v>77</v>
      </c>
      <c r="E165" s="136">
        <f>Rates!F161</f>
        <v>57</v>
      </c>
      <c r="F165" s="136">
        <f>Rates!G161</f>
        <v>40</v>
      </c>
      <c r="G165" s="136">
        <f>Rates!H161</f>
        <v>32</v>
      </c>
    </row>
    <row r="166" spans="2:7" x14ac:dyDescent="0.25">
      <c r="B166" s="98" t="str">
        <f>Rates!C162</f>
        <v>Syria</v>
      </c>
      <c r="C166" s="98" t="str">
        <f>Rates!D162</f>
        <v>Partner Countries</v>
      </c>
      <c r="D166" s="136">
        <f>Rates!E162</f>
        <v>47</v>
      </c>
      <c r="E166" s="136">
        <f>Rates!F162</f>
        <v>33</v>
      </c>
      <c r="F166" s="136">
        <f>Rates!G162</f>
        <v>22</v>
      </c>
      <c r="G166" s="136">
        <f>Rates!H162</f>
        <v>17</v>
      </c>
    </row>
    <row r="167" spans="2:7" x14ac:dyDescent="0.25">
      <c r="B167" s="98" t="str">
        <f>Rates!C163</f>
        <v>Tajikistan</v>
      </c>
      <c r="C167" s="98" t="str">
        <f>Rates!D163</f>
        <v>Partner Countries</v>
      </c>
      <c r="D167" s="136">
        <f>Rates!E163</f>
        <v>47</v>
      </c>
      <c r="E167" s="136">
        <f>Rates!F163</f>
        <v>33</v>
      </c>
      <c r="F167" s="136">
        <f>Rates!G163</f>
        <v>22</v>
      </c>
      <c r="G167" s="136">
        <f>Rates!H163</f>
        <v>17</v>
      </c>
    </row>
    <row r="168" spans="2:7" x14ac:dyDescent="0.25">
      <c r="B168" s="98" t="str">
        <f>Rates!C164</f>
        <v>Tanzania</v>
      </c>
      <c r="C168" s="98" t="str">
        <f>Rates!D164</f>
        <v>Partner Countries</v>
      </c>
      <c r="D168" s="136">
        <f>Rates!E164</f>
        <v>47</v>
      </c>
      <c r="E168" s="136">
        <f>Rates!F164</f>
        <v>33</v>
      </c>
      <c r="F168" s="136">
        <f>Rates!G164</f>
        <v>22</v>
      </c>
      <c r="G168" s="136">
        <f>Rates!H164</f>
        <v>17</v>
      </c>
    </row>
    <row r="169" spans="2:7" x14ac:dyDescent="0.25">
      <c r="B169" s="98" t="str">
        <f>Rates!C165</f>
        <v>Thailand</v>
      </c>
      <c r="C169" s="98" t="str">
        <f>Rates!D165</f>
        <v>Partner Countries</v>
      </c>
      <c r="D169" s="136">
        <f>Rates!E165</f>
        <v>108</v>
      </c>
      <c r="E169" s="136">
        <f>Rates!F165</f>
        <v>80</v>
      </c>
      <c r="F169" s="136">
        <f>Rates!G165</f>
        <v>57</v>
      </c>
      <c r="G169" s="136">
        <f>Rates!H165</f>
        <v>45</v>
      </c>
    </row>
    <row r="170" spans="2:7" x14ac:dyDescent="0.25">
      <c r="B170" s="98" t="str">
        <f>Rates!C166</f>
        <v>Timor Leste - Republic of-</v>
      </c>
      <c r="C170" s="98" t="str">
        <f>Rates!D166</f>
        <v>Partner Countries</v>
      </c>
      <c r="D170" s="136">
        <f>Rates!E166</f>
        <v>47</v>
      </c>
      <c r="E170" s="136">
        <f>Rates!F166</f>
        <v>33</v>
      </c>
      <c r="F170" s="136">
        <f>Rates!G166</f>
        <v>22</v>
      </c>
      <c r="G170" s="136">
        <f>Rates!H166</f>
        <v>17</v>
      </c>
    </row>
    <row r="171" spans="2:7" x14ac:dyDescent="0.25">
      <c r="B171" s="98" t="str">
        <f>Rates!C167</f>
        <v>Togo</v>
      </c>
      <c r="C171" s="98" t="str">
        <f>Rates!D167</f>
        <v>Partner Countries</v>
      </c>
      <c r="D171" s="136">
        <f>Rates!E167</f>
        <v>47</v>
      </c>
      <c r="E171" s="136">
        <f>Rates!F167</f>
        <v>33</v>
      </c>
      <c r="F171" s="136">
        <f>Rates!G167</f>
        <v>22</v>
      </c>
      <c r="G171" s="136">
        <f>Rates!H167</f>
        <v>17</v>
      </c>
    </row>
    <row r="172" spans="2:7" x14ac:dyDescent="0.25">
      <c r="B172" s="98" t="str">
        <f>Rates!C168</f>
        <v>Tonga</v>
      </c>
      <c r="C172" s="98" t="str">
        <f>Rates!D168</f>
        <v>Partner Countries</v>
      </c>
      <c r="D172" s="136">
        <f>Rates!E168</f>
        <v>47</v>
      </c>
      <c r="E172" s="136">
        <f>Rates!F168</f>
        <v>33</v>
      </c>
      <c r="F172" s="136">
        <f>Rates!G168</f>
        <v>22</v>
      </c>
      <c r="G172" s="136">
        <f>Rates!H168</f>
        <v>17</v>
      </c>
    </row>
    <row r="173" spans="2:7" x14ac:dyDescent="0.25">
      <c r="B173" s="98" t="str">
        <f>Rates!C169</f>
        <v>Trinidad and Tobago</v>
      </c>
      <c r="C173" s="98" t="str">
        <f>Rates!D169</f>
        <v>Partner Countries</v>
      </c>
      <c r="D173" s="136">
        <f>Rates!E169</f>
        <v>77</v>
      </c>
      <c r="E173" s="136">
        <f>Rates!F169</f>
        <v>57</v>
      </c>
      <c r="F173" s="136">
        <f>Rates!G169</f>
        <v>40</v>
      </c>
      <c r="G173" s="136">
        <f>Rates!H169</f>
        <v>32</v>
      </c>
    </row>
    <row r="174" spans="2:7" x14ac:dyDescent="0.25">
      <c r="B174" s="98" t="str">
        <f>Rates!C170</f>
        <v>Tunisia</v>
      </c>
      <c r="C174" s="98" t="str">
        <f>Rates!D170</f>
        <v>Partner Countries</v>
      </c>
      <c r="D174" s="136">
        <f>Rates!E170</f>
        <v>47</v>
      </c>
      <c r="E174" s="136">
        <f>Rates!F170</f>
        <v>33</v>
      </c>
      <c r="F174" s="136">
        <f>Rates!G170</f>
        <v>22</v>
      </c>
      <c r="G174" s="136">
        <f>Rates!H170</f>
        <v>17</v>
      </c>
    </row>
    <row r="175" spans="2:7" x14ac:dyDescent="0.25">
      <c r="B175" s="98" t="str">
        <f>Rates!C171</f>
        <v>Turkmenistan</v>
      </c>
      <c r="C175" s="98" t="str">
        <f>Rates!D171</f>
        <v>Partner Countries</v>
      </c>
      <c r="D175" s="136">
        <f>Rates!E171</f>
        <v>47</v>
      </c>
      <c r="E175" s="136">
        <f>Rates!F171</f>
        <v>33</v>
      </c>
      <c r="F175" s="136">
        <f>Rates!G171</f>
        <v>22</v>
      </c>
      <c r="G175" s="136">
        <f>Rates!H171</f>
        <v>17</v>
      </c>
    </row>
    <row r="176" spans="2:7" x14ac:dyDescent="0.25">
      <c r="B176" s="98" t="str">
        <f>Rates!C172</f>
        <v>Tuvalu</v>
      </c>
      <c r="C176" s="98" t="str">
        <f>Rates!D172</f>
        <v>Partner Countries</v>
      </c>
      <c r="D176" s="136">
        <f>Rates!E172</f>
        <v>47</v>
      </c>
      <c r="E176" s="136">
        <f>Rates!F172</f>
        <v>33</v>
      </c>
      <c r="F176" s="136">
        <f>Rates!G172</f>
        <v>22</v>
      </c>
      <c r="G176" s="136">
        <f>Rates!H172</f>
        <v>17</v>
      </c>
    </row>
    <row r="177" spans="2:7" x14ac:dyDescent="0.25">
      <c r="B177" s="98" t="str">
        <f>Rates!C173</f>
        <v>Uganda</v>
      </c>
      <c r="C177" s="98" t="str">
        <f>Rates!D173</f>
        <v>Partner Countries</v>
      </c>
      <c r="D177" s="136">
        <f>Rates!E173</f>
        <v>47</v>
      </c>
      <c r="E177" s="136">
        <f>Rates!F173</f>
        <v>33</v>
      </c>
      <c r="F177" s="136">
        <f>Rates!G173</f>
        <v>22</v>
      </c>
      <c r="G177" s="136">
        <f>Rates!H173</f>
        <v>17</v>
      </c>
    </row>
    <row r="178" spans="2:7" x14ac:dyDescent="0.25">
      <c r="B178" s="98" t="str">
        <f>Rates!C174</f>
        <v>Ukraine</v>
      </c>
      <c r="C178" s="98" t="str">
        <f>Rates!D174</f>
        <v>Partner Countries</v>
      </c>
      <c r="D178" s="136">
        <f>Rates!E174</f>
        <v>108</v>
      </c>
      <c r="E178" s="136">
        <f>Rates!F174</f>
        <v>80</v>
      </c>
      <c r="F178" s="136">
        <f>Rates!G174</f>
        <v>57</v>
      </c>
      <c r="G178" s="136">
        <f>Rates!H174</f>
        <v>45</v>
      </c>
    </row>
    <row r="179" spans="2:7" x14ac:dyDescent="0.25">
      <c r="B179" s="98" t="str">
        <f>Rates!C175</f>
        <v>Uruguay</v>
      </c>
      <c r="C179" s="98" t="str">
        <f>Rates!D175</f>
        <v>Partner Countries</v>
      </c>
      <c r="D179" s="136">
        <f>Rates!E175</f>
        <v>108</v>
      </c>
      <c r="E179" s="136">
        <f>Rates!F175</f>
        <v>80</v>
      </c>
      <c r="F179" s="136">
        <f>Rates!G175</f>
        <v>57</v>
      </c>
      <c r="G179" s="136">
        <f>Rates!H175</f>
        <v>45</v>
      </c>
    </row>
    <row r="180" spans="2:7" x14ac:dyDescent="0.25">
      <c r="B180" s="98" t="str">
        <f>Rates!C176</f>
        <v>Uzbekistan</v>
      </c>
      <c r="C180" s="98" t="str">
        <f>Rates!D176</f>
        <v>Partner Countries</v>
      </c>
      <c r="D180" s="136">
        <f>Rates!E176</f>
        <v>47</v>
      </c>
      <c r="E180" s="136">
        <f>Rates!F176</f>
        <v>33</v>
      </c>
      <c r="F180" s="136">
        <f>Rates!G176</f>
        <v>22</v>
      </c>
      <c r="G180" s="136">
        <f>Rates!H176</f>
        <v>17</v>
      </c>
    </row>
    <row r="181" spans="2:7" x14ac:dyDescent="0.25">
      <c r="B181" s="98" t="str">
        <f>Rates!C177</f>
        <v>Vanuatu</v>
      </c>
      <c r="C181" s="98" t="str">
        <f>Rates!D177</f>
        <v>Partner Countries</v>
      </c>
      <c r="D181" s="136">
        <f>Rates!E177</f>
        <v>77</v>
      </c>
      <c r="E181" s="136">
        <f>Rates!F177</f>
        <v>57</v>
      </c>
      <c r="F181" s="136">
        <f>Rates!G177</f>
        <v>40</v>
      </c>
      <c r="G181" s="136">
        <f>Rates!H177</f>
        <v>32</v>
      </c>
    </row>
    <row r="182" spans="2:7" x14ac:dyDescent="0.25">
      <c r="B182" s="98" t="str">
        <f>Rates!C178</f>
        <v>Venezuela</v>
      </c>
      <c r="C182" s="98" t="str">
        <f>Rates!D178</f>
        <v>Partner Countries</v>
      </c>
      <c r="D182" s="136">
        <f>Rates!E178</f>
        <v>108</v>
      </c>
      <c r="E182" s="136">
        <f>Rates!F178</f>
        <v>80</v>
      </c>
      <c r="F182" s="136">
        <f>Rates!G178</f>
        <v>57</v>
      </c>
      <c r="G182" s="136">
        <f>Rates!H178</f>
        <v>45</v>
      </c>
    </row>
    <row r="183" spans="2:7" x14ac:dyDescent="0.25">
      <c r="B183" s="98" t="str">
        <f>Rates!C179</f>
        <v>Vietnam</v>
      </c>
      <c r="C183" s="98" t="str">
        <f>Rates!D179</f>
        <v>Partner Countries</v>
      </c>
      <c r="D183" s="136">
        <f>Rates!E179</f>
        <v>47</v>
      </c>
      <c r="E183" s="136">
        <f>Rates!F179</f>
        <v>33</v>
      </c>
      <c r="F183" s="136">
        <f>Rates!G179</f>
        <v>22</v>
      </c>
      <c r="G183" s="136">
        <f>Rates!H179</f>
        <v>17</v>
      </c>
    </row>
    <row r="184" spans="2:7" x14ac:dyDescent="0.25">
      <c r="B184" s="98" t="str">
        <f>Rates!C180</f>
        <v>Yemen</v>
      </c>
      <c r="C184" s="98" t="str">
        <f>Rates!D180</f>
        <v>Partner Countries</v>
      </c>
      <c r="D184" s="136">
        <f>Rates!E180</f>
        <v>47</v>
      </c>
      <c r="E184" s="136">
        <f>Rates!F180</f>
        <v>33</v>
      </c>
      <c r="F184" s="136">
        <f>Rates!G180</f>
        <v>22</v>
      </c>
      <c r="G184" s="136">
        <f>Rates!H180</f>
        <v>17</v>
      </c>
    </row>
    <row r="185" spans="2:7" x14ac:dyDescent="0.25">
      <c r="B185" s="98" t="str">
        <f>Rates!C181</f>
        <v>Zambia</v>
      </c>
      <c r="C185" s="98" t="str">
        <f>Rates!D181</f>
        <v>Partner Countries</v>
      </c>
      <c r="D185" s="136">
        <f>Rates!E181</f>
        <v>108</v>
      </c>
      <c r="E185" s="136">
        <f>Rates!F181</f>
        <v>80</v>
      </c>
      <c r="F185" s="136">
        <f>Rates!G181</f>
        <v>57</v>
      </c>
      <c r="G185" s="136">
        <f>Rates!H181</f>
        <v>45</v>
      </c>
    </row>
    <row r="186" spans="2:7" x14ac:dyDescent="0.25">
      <c r="B186" s="98" t="str">
        <f>Rates!C182</f>
        <v>Zimbabwe</v>
      </c>
      <c r="C186" s="98" t="str">
        <f>Rates!D182</f>
        <v>Partner Countries</v>
      </c>
      <c r="D186" s="136">
        <f>Rates!E182</f>
        <v>108</v>
      </c>
      <c r="E186" s="136">
        <f>Rates!F182</f>
        <v>80</v>
      </c>
      <c r="F186" s="136">
        <f>Rates!G182</f>
        <v>57</v>
      </c>
      <c r="G186" s="136">
        <f>Rates!H182</f>
        <v>45</v>
      </c>
    </row>
  </sheetData>
  <sheetProtection password="E359" sheet="1" objects="1" scenarios="1" selectLockedCells="1" selectUnlockedCells="1"/>
  <mergeCells count="18">
    <mergeCell ref="W5:AB5"/>
    <mergeCell ref="W6:AB6"/>
    <mergeCell ref="B1:AB1"/>
    <mergeCell ref="B4:G4"/>
    <mergeCell ref="I4:J4"/>
    <mergeCell ref="L4:N4"/>
    <mergeCell ref="P4:Q4"/>
    <mergeCell ref="S4:U4"/>
    <mergeCell ref="W4:AB4"/>
    <mergeCell ref="C3:H3"/>
    <mergeCell ref="C2:H2"/>
    <mergeCell ref="P7:Q7"/>
    <mergeCell ref="S7:U7"/>
    <mergeCell ref="B5:G6"/>
    <mergeCell ref="I5:J6"/>
    <mergeCell ref="L5:N6"/>
    <mergeCell ref="P5:Q6"/>
    <mergeCell ref="S5:U6"/>
  </mergeCells>
  <hyperlinks>
    <hyperlink ref="C2" r:id="rId1"/>
    <hyperlink ref="C3" r:id="rId2"/>
  </hyperlinks>
  <pageMargins left="0.7" right="0.7" top="0.75" bottom="0.75" header="0.3" footer="0.3"/>
  <pageSetup paperSize="9" scale="10" orientation="landscape"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D064EDA8D54A746B4AFB9B8DA9CF420" ma:contentTypeVersion="3" ma:contentTypeDescription="Create a new document." ma:contentTypeScope="" ma:versionID="c1d4cdee0e9381974a459762b30c79b1">
  <xsd:schema xmlns:xsd="http://www.w3.org/2001/XMLSchema" xmlns:xs="http://www.w3.org/2001/XMLSchema" xmlns:p="http://schemas.microsoft.com/office/2006/metadata/properties" targetNamespace="http://schemas.microsoft.com/office/2006/metadata/properties" ma:root="true" ma:fieldsID="9ae757f7b8b52896942f31a7e220db76">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B91489F-FE4A-47B2-96B3-2DD11B60A09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DD25AC76-73EC-4808-94BA-4863B589F5DA}">
  <ds:schemaRefs>
    <ds:schemaRef ds:uri="http://schemas.microsoft.com/sharepoint/v3/contenttype/forms"/>
  </ds:schemaRefs>
</ds:datastoreItem>
</file>

<file path=customXml/itemProps3.xml><?xml version="1.0" encoding="utf-8"?>
<ds:datastoreItem xmlns:ds="http://schemas.openxmlformats.org/officeDocument/2006/customXml" ds:itemID="{B5FB2861-ECA0-4B0A-9CC6-B62988A7DC03}">
  <ds:schemaRefs>
    <ds:schemaRef ds:uri="http://schemas.microsoft.com/office/infopath/2007/PartnerControls"/>
    <ds:schemaRef ds:uri="http://www.w3.org/XML/1998/namespace"/>
    <ds:schemaRef ds:uri="http://schemas.microsoft.com/office/2006/metadata/properties"/>
    <ds:schemaRef ds:uri="http://schemas.openxmlformats.org/package/2006/metadata/core-properties"/>
    <ds:schemaRef ds:uri="http://purl.org/dc/dcmitype/"/>
    <ds:schemaRef ds:uri="http://schemas.microsoft.com/office/2006/documentManagement/types"/>
    <ds:schemaRef ds:uri="http://purl.org/dc/terms/"/>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34</vt:i4>
      </vt:variant>
    </vt:vector>
  </HeadingPairs>
  <TitlesOfParts>
    <vt:vector size="45" baseType="lpstr">
      <vt:lpstr>Overview</vt:lpstr>
      <vt:lpstr>1. Staff costs</vt:lpstr>
      <vt:lpstr>2-3. Travel Costs&amp;Costs of Stay</vt:lpstr>
      <vt:lpstr>4. Equipment Costs</vt:lpstr>
      <vt:lpstr>5. Subcontracting Costs</vt:lpstr>
      <vt:lpstr>B. Special Mob Strand - Student</vt:lpstr>
      <vt:lpstr>B. Special Mob Strand - Staff</vt:lpstr>
      <vt:lpstr>Co-financing</vt:lpstr>
      <vt:lpstr>Breakdown &amp; Project Funding</vt:lpstr>
      <vt:lpstr>Rates</vt:lpstr>
      <vt:lpstr>Unit Costs &amp; Funding Rule</vt:lpstr>
      <vt:lpstr>ActionType</vt:lpstr>
      <vt:lpstr>Category</vt:lpstr>
      <vt:lpstr>Category2</vt:lpstr>
      <vt:lpstr>CountryALL</vt:lpstr>
      <vt:lpstr>CountryEligEquip</vt:lpstr>
      <vt:lpstr>CountryType</vt:lpstr>
      <vt:lpstr>Duration</vt:lpstr>
      <vt:lpstr>EUCountry</vt:lpstr>
      <vt:lpstr>PartnerN°</vt:lpstr>
      <vt:lpstr>PartnerN°Ref</vt:lpstr>
      <vt:lpstr>'1. Staff costs'!Print_Area</vt:lpstr>
      <vt:lpstr>'2-3. Travel Costs&amp;Costs of Stay'!Print_Area</vt:lpstr>
      <vt:lpstr>'4. Equipment Costs'!Print_Area</vt:lpstr>
      <vt:lpstr>'5. Subcontracting Costs'!Print_Area</vt:lpstr>
      <vt:lpstr>'B. Special Mob Strand - Staff'!Print_Area</vt:lpstr>
      <vt:lpstr>'B. Special Mob Strand - Student'!Print_Area</vt:lpstr>
      <vt:lpstr>'Breakdown &amp; Project Funding'!Print_Area</vt:lpstr>
      <vt:lpstr>'Co-financing'!Print_Area</vt:lpstr>
      <vt:lpstr>Overview!Print_Area</vt:lpstr>
      <vt:lpstr>'Unit Costs &amp; Funding Rule'!Print_Area</vt:lpstr>
      <vt:lpstr>'2-3. Travel Costs&amp;Costs of Stay'!Print_Titles</vt:lpstr>
      <vt:lpstr>'4. Equipment Costs'!Print_Titles</vt:lpstr>
      <vt:lpstr>'5. Subcontracting Costs'!Print_Titles</vt:lpstr>
      <vt:lpstr>'B. Special Mob Strand - Staff'!Print_Titles</vt:lpstr>
      <vt:lpstr>'B. Special Mob Strand - Student'!Print_Titles</vt:lpstr>
      <vt:lpstr>'Breakdown &amp; Project Funding'!Print_Titles</vt:lpstr>
      <vt:lpstr>'Co-financing'!Print_Titles</vt:lpstr>
      <vt:lpstr>Rates</vt:lpstr>
      <vt:lpstr>SMSCountry</vt:lpstr>
      <vt:lpstr>StaffSMSDays</vt:lpstr>
      <vt:lpstr>StudentSMSMonths</vt:lpstr>
      <vt:lpstr>TravelBands</vt:lpstr>
      <vt:lpstr>TravelCosts</vt:lpstr>
      <vt:lpstr>WorkPackage</vt:lpstr>
    </vt:vector>
  </TitlesOfParts>
  <Company>European Commission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Alliaces detailed Budget v.1.0</dc:title>
  <dc:creator>CARBONI Damiano (EACEA)</dc:creator>
  <dc:description>Alliances detailed budget V.1.0</dc:description>
  <cp:lastModifiedBy>hermaao</cp:lastModifiedBy>
  <cp:lastPrinted>2015-10-29T13:56:03Z</cp:lastPrinted>
  <dcterms:created xsi:type="dcterms:W3CDTF">2013-09-27T15:40:24Z</dcterms:created>
  <dcterms:modified xsi:type="dcterms:W3CDTF">2015-10-30T14:03:09Z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0x0101001D064EDA8D54A746B4AFB9B8DA9CF420</vt:lpwstr>
  </property>
</Properties>
</file>