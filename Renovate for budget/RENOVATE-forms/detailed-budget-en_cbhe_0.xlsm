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Password="E359" lockStructure="1"/>
  <bookViews>
    <workbookView xWindow="2730" yWindow="1680" windowWidth="19440" windowHeight="10800" tabRatio="942"/>
  </bookViews>
  <sheets>
    <sheet name="Overview" sheetId="41" r:id="rId1"/>
    <sheet name="1. Staff costs" sheetId="40" r:id="rId2"/>
    <sheet name="2-3. Travel Costs&amp;Costs of Stay" sheetId="39" r:id="rId3"/>
    <sheet name="4. Equipment Costs" sheetId="26" r:id="rId4"/>
    <sheet name="5. Subcontracting Costs" sheetId="70" r:id="rId5"/>
    <sheet name="B. Special Mob Strand - Student" sheetId="67" r:id="rId6"/>
    <sheet name="B. Special Mob Strand - Staff" sheetId="72" r:id="rId7"/>
    <sheet name="Co-financing" sheetId="71" r:id="rId8"/>
    <sheet name="Breakdown &amp; Project Funding" sheetId="55" r:id="rId9"/>
    <sheet name="Rates" sheetId="36" state="hidden" r:id="rId10"/>
    <sheet name="Unit Costs &amp; Funding Rule" sheetId="73" r:id="rId11"/>
  </sheets>
  <definedNames>
    <definedName name="_xlnm._FilterDatabase" localSheetId="10" hidden="1">'Unit Costs &amp; Funding Rule'!$B$7:$AB$7</definedName>
    <definedName name="ActionType">Rates!$P$20:$P$21</definedName>
    <definedName name="Category">Rates!$E$3:$L$3</definedName>
    <definedName name="Category2">Rates!$P$28:$P$29</definedName>
    <definedName name="CountryALL">Rates!$C$4:$C$182</definedName>
    <definedName name="CountryEligEquip">Rates!$C$37:$C$182</definedName>
    <definedName name="CountryType">Rates!$C$4:$D$182</definedName>
    <definedName name="Duration">Rates!$P$24:$P$25</definedName>
    <definedName name="EUCountry">Rates!$C$4:$C$36</definedName>
    <definedName name="PartnerN°">Overview!$B$33:$B$87</definedName>
    <definedName name="PartnerN°Ref">Overview!$B$33:$E$87</definedName>
    <definedName name="Rates">Rates!$E$4:$L$182</definedName>
    <definedName name="SMSCountry">Rates!$N$4:$N$57</definedName>
    <definedName name="StaffSMSDays">Rates!$B$8:$B$63</definedName>
    <definedName name="StudentSMSMonths">Rates!$B$5:$B$15</definedName>
    <definedName name="TravelBands">Rates!$P$4:$P$10</definedName>
    <definedName name="TravelCosts">Rates!$P$4:$Q$10</definedName>
    <definedName name="WorkPackage">Rates!$P$13:$P$17</definedName>
    <definedName name="Z_D7932BCF_3472_4742_BE90_75070A4D3346_.wvu.Cols" localSheetId="1" hidden="1">'1. Staff costs'!$T:$XFD</definedName>
    <definedName name="Z_D7932BCF_3472_4742_BE90_75070A4D3346_.wvu.Cols" localSheetId="2" hidden="1">'2-3. Travel Costs&amp;Costs of Stay'!$P:$XFD</definedName>
    <definedName name="Z_D7932BCF_3472_4742_BE90_75070A4D3346_.wvu.Cols" localSheetId="3" hidden="1">'4. Equipment Costs'!$I:$XFD</definedName>
    <definedName name="Z_D7932BCF_3472_4742_BE90_75070A4D3346_.wvu.Cols" localSheetId="4" hidden="1">'5. Subcontracting Costs'!$J:$XFD</definedName>
    <definedName name="Z_D7932BCF_3472_4742_BE90_75070A4D3346_.wvu.Cols" localSheetId="6" hidden="1">'B. Special Mob Strand - Staff'!$O:$XFD</definedName>
    <definedName name="Z_D7932BCF_3472_4742_BE90_75070A4D3346_.wvu.Cols" localSheetId="5" hidden="1">'B. Special Mob Strand - Student'!$O:$XFD</definedName>
    <definedName name="Z_D7932BCF_3472_4742_BE90_75070A4D3346_.wvu.Cols" localSheetId="8" hidden="1">'Breakdown &amp; Project Funding'!$J:$XFD</definedName>
    <definedName name="Z_D7932BCF_3472_4742_BE90_75070A4D3346_.wvu.Cols" localSheetId="7" hidden="1">'Co-financing'!$K:$XFD</definedName>
    <definedName name="Z_D7932BCF_3472_4742_BE90_75070A4D3346_.wvu.Rows" localSheetId="1" hidden="1">'1. Staff costs'!$15:$1048576,'1. Staff costs'!#REF!</definedName>
    <definedName name="Z_D7932BCF_3472_4742_BE90_75070A4D3346_.wvu.Rows" localSheetId="2" hidden="1">'2-3. Travel Costs&amp;Costs of Stay'!$15:$1048576,'2-3. Travel Costs&amp;Costs of Stay'!#REF!</definedName>
    <definedName name="Z_D7932BCF_3472_4742_BE90_75070A4D3346_.wvu.Rows" localSheetId="3" hidden="1">'4. Equipment Costs'!$15:$1048576,'4. Equipment Costs'!#REF!</definedName>
    <definedName name="Z_D7932BCF_3472_4742_BE90_75070A4D3346_.wvu.Rows" localSheetId="4" hidden="1">'5. Subcontracting Costs'!$15:$1048576,'5. Subcontracting Costs'!#REF!</definedName>
    <definedName name="Z_D7932BCF_3472_4742_BE90_75070A4D3346_.wvu.Rows" localSheetId="6" hidden="1">'B. Special Mob Strand - Staff'!$15:$1048576,'B. Special Mob Strand - Staff'!#REF!</definedName>
    <definedName name="Z_D7932BCF_3472_4742_BE90_75070A4D3346_.wvu.Rows" localSheetId="5" hidden="1">'B. Special Mob Strand - Student'!$15:$1048576,'B. Special Mob Strand - Student'!#REF!</definedName>
    <definedName name="Z_D7932BCF_3472_4742_BE90_75070A4D3346_.wvu.Rows" localSheetId="8" hidden="1">'Breakdown &amp; Project Funding'!$11:$1048576,'Breakdown &amp; Project Funding'!#REF!</definedName>
    <definedName name="Z_D7932BCF_3472_4742_BE90_75070A4D3346_.wvu.Rows" localSheetId="7" hidden="1">'Co-financing'!$15:$1048576,'Co-financing'!#REF!</definedName>
    <definedName name="_xlnm.Print_Titles" localSheetId="2">'2-3. Travel Costs&amp;Costs of Stay'!$11:$12</definedName>
    <definedName name="_xlnm.Print_Titles" localSheetId="3">'4. Equipment Costs'!$11:$12</definedName>
    <definedName name="_xlnm.Print_Titles" localSheetId="4">'5. Subcontracting Costs'!$11:$12</definedName>
    <definedName name="_xlnm.Print_Titles" localSheetId="6">'B. Special Mob Strand - Staff'!$11:$12</definedName>
    <definedName name="_xlnm.Print_Titles" localSheetId="5">'B. Special Mob Strand - Student'!$11:$12</definedName>
    <definedName name="_xlnm.Print_Titles" localSheetId="8">'Breakdown &amp; Project Funding'!$4:$4</definedName>
    <definedName name="_xlnm.Print_Titles" localSheetId="7">'Co-financing'!$11:$12</definedName>
    <definedName name="_xlnm.Print_Area" localSheetId="1">'1. Staff costs'!$A$1:$U$15</definedName>
    <definedName name="_xlnm.Print_Area" localSheetId="2">'2-3. Travel Costs&amp;Costs of Stay'!$A$1:$P$15</definedName>
    <definedName name="_xlnm.Print_Area" localSheetId="3">'4. Equipment Costs'!$A$1:$J$15</definedName>
    <definedName name="_xlnm.Print_Area" localSheetId="4">'5. Subcontracting Costs'!$A$1:$J$15</definedName>
    <definedName name="_xlnm.Print_Area" localSheetId="6">'B. Special Mob Strand - Staff'!$A$1:$S$15</definedName>
    <definedName name="_xlnm.Print_Area" localSheetId="5">'B. Special Mob Strand - Student'!$A$1:$S$15</definedName>
    <definedName name="_xlnm.Print_Area" localSheetId="8">'Breakdown &amp; Project Funding'!$A$1:$J$82</definedName>
    <definedName name="_xlnm.Print_Area" localSheetId="7">'Co-financing'!$A$1:$K$19</definedName>
    <definedName name="_xlnm.Print_Area" localSheetId="0">Overview!$A$1:$M$88</definedName>
    <definedName name="_xlnm.Print_Area" localSheetId="10">'Unit Costs &amp; Funding Rule'!$B$1:$AB$187</definedName>
  </definedNames>
  <calcPr calcId="14562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O11" i="40" l="1"/>
  <c r="L11" i="40"/>
  <c r="I11" i="40"/>
  <c r="F11" i="40"/>
  <c r="G25" i="55" l="1"/>
  <c r="F25" i="55"/>
  <c r="E25" i="55"/>
  <c r="D25" i="55"/>
  <c r="C25" i="55"/>
  <c r="B6" i="55"/>
  <c r="B7" i="55"/>
  <c r="B8" i="55"/>
  <c r="B9" i="55"/>
  <c r="B5" i="55"/>
  <c r="J9" i="73"/>
  <c r="J10" i="73"/>
  <c r="J11" i="73"/>
  <c r="J12" i="73"/>
  <c r="J13" i="73"/>
  <c r="J14" i="73"/>
  <c r="J8" i="73"/>
  <c r="D9" i="73"/>
  <c r="E9" i="73"/>
  <c r="F9" i="73"/>
  <c r="G9" i="73"/>
  <c r="D10" i="73"/>
  <c r="E10" i="73"/>
  <c r="F10" i="73"/>
  <c r="G10" i="73"/>
  <c r="D11" i="73"/>
  <c r="E11" i="73"/>
  <c r="F11" i="73"/>
  <c r="G11" i="73"/>
  <c r="D12" i="73"/>
  <c r="E12" i="73"/>
  <c r="F12" i="73"/>
  <c r="G12" i="73"/>
  <c r="D13" i="73"/>
  <c r="E13" i="73"/>
  <c r="F13" i="73"/>
  <c r="G13" i="73"/>
  <c r="D14" i="73"/>
  <c r="E14" i="73"/>
  <c r="F14" i="73"/>
  <c r="G14" i="73"/>
  <c r="D15" i="73"/>
  <c r="E15" i="73"/>
  <c r="F15" i="73"/>
  <c r="G15" i="73"/>
  <c r="D16" i="73"/>
  <c r="E16" i="73"/>
  <c r="F16" i="73"/>
  <c r="G16" i="73"/>
  <c r="D17" i="73"/>
  <c r="E17" i="73"/>
  <c r="F17" i="73"/>
  <c r="G17" i="73"/>
  <c r="D18" i="73"/>
  <c r="E18" i="73"/>
  <c r="F18" i="73"/>
  <c r="G18" i="73"/>
  <c r="D19" i="73"/>
  <c r="E19" i="73"/>
  <c r="F19" i="73"/>
  <c r="G19" i="73"/>
  <c r="D20" i="73"/>
  <c r="E20" i="73"/>
  <c r="F20" i="73"/>
  <c r="G20" i="73"/>
  <c r="D21" i="73"/>
  <c r="E21" i="73"/>
  <c r="F21" i="73"/>
  <c r="G21" i="73"/>
  <c r="D22" i="73"/>
  <c r="E22" i="73"/>
  <c r="F22" i="73"/>
  <c r="G22" i="73"/>
  <c r="D23" i="73"/>
  <c r="E23" i="73"/>
  <c r="F23" i="73"/>
  <c r="G23" i="73"/>
  <c r="D24" i="73"/>
  <c r="E24" i="73"/>
  <c r="F24" i="73"/>
  <c r="G24" i="73"/>
  <c r="D25" i="73"/>
  <c r="E25" i="73"/>
  <c r="F25" i="73"/>
  <c r="G25" i="73"/>
  <c r="D26" i="73"/>
  <c r="E26" i="73"/>
  <c r="F26" i="73"/>
  <c r="G26" i="73"/>
  <c r="D27" i="73"/>
  <c r="E27" i="73"/>
  <c r="F27" i="73"/>
  <c r="G27" i="73"/>
  <c r="D28" i="73"/>
  <c r="E28" i="73"/>
  <c r="F28" i="73"/>
  <c r="G28" i="73"/>
  <c r="D29" i="73"/>
  <c r="E29" i="73"/>
  <c r="F29" i="73"/>
  <c r="G29" i="73"/>
  <c r="D30" i="73"/>
  <c r="E30" i="73"/>
  <c r="F30" i="73"/>
  <c r="G30" i="73"/>
  <c r="D31" i="73"/>
  <c r="E31" i="73"/>
  <c r="F31" i="73"/>
  <c r="G31" i="73"/>
  <c r="D32" i="73"/>
  <c r="E32" i="73"/>
  <c r="F32" i="73"/>
  <c r="G32" i="73"/>
  <c r="D33" i="73"/>
  <c r="E33" i="73"/>
  <c r="F33" i="73"/>
  <c r="G33" i="73"/>
  <c r="D34" i="73"/>
  <c r="E34" i="73"/>
  <c r="F34" i="73"/>
  <c r="G34" i="73"/>
  <c r="D35" i="73"/>
  <c r="E35" i="73"/>
  <c r="F35" i="73"/>
  <c r="G35" i="73"/>
  <c r="D36" i="73"/>
  <c r="E36" i="73"/>
  <c r="F36" i="73"/>
  <c r="G36" i="73"/>
  <c r="D37" i="73"/>
  <c r="E37" i="73"/>
  <c r="F37" i="73"/>
  <c r="G37" i="73"/>
  <c r="D38" i="73"/>
  <c r="E38" i="73"/>
  <c r="F38" i="73"/>
  <c r="G38" i="73"/>
  <c r="D39" i="73"/>
  <c r="E39" i="73"/>
  <c r="F39" i="73"/>
  <c r="G39" i="73"/>
  <c r="D40" i="73"/>
  <c r="E40" i="73"/>
  <c r="F40" i="73"/>
  <c r="G40" i="73"/>
  <c r="D41" i="73"/>
  <c r="E41" i="73"/>
  <c r="F41" i="73"/>
  <c r="G41" i="73"/>
  <c r="D42" i="73"/>
  <c r="E42" i="73"/>
  <c r="F42" i="73"/>
  <c r="G42" i="73"/>
  <c r="D43" i="73"/>
  <c r="E43" i="73"/>
  <c r="F43" i="73"/>
  <c r="G43" i="73"/>
  <c r="D44" i="73"/>
  <c r="E44" i="73"/>
  <c r="F44" i="73"/>
  <c r="G44" i="73"/>
  <c r="D45" i="73"/>
  <c r="E45" i="73"/>
  <c r="F45" i="73"/>
  <c r="G45" i="73"/>
  <c r="D46" i="73"/>
  <c r="E46" i="73"/>
  <c r="F46" i="73"/>
  <c r="G46" i="73"/>
  <c r="D47" i="73"/>
  <c r="E47" i="73"/>
  <c r="F47" i="73"/>
  <c r="G47" i="73"/>
  <c r="D48" i="73"/>
  <c r="E48" i="73"/>
  <c r="F48" i="73"/>
  <c r="G48" i="73"/>
  <c r="D49" i="73"/>
  <c r="E49" i="73"/>
  <c r="F49" i="73"/>
  <c r="G49" i="73"/>
  <c r="D50" i="73"/>
  <c r="E50" i="73"/>
  <c r="F50" i="73"/>
  <c r="G50" i="73"/>
  <c r="D51" i="73"/>
  <c r="E51" i="73"/>
  <c r="F51" i="73"/>
  <c r="G51" i="73"/>
  <c r="D52" i="73"/>
  <c r="E52" i="73"/>
  <c r="F52" i="73"/>
  <c r="G52" i="73"/>
  <c r="D53" i="73"/>
  <c r="E53" i="73"/>
  <c r="F53" i="73"/>
  <c r="G53" i="73"/>
  <c r="D54" i="73"/>
  <c r="E54" i="73"/>
  <c r="F54" i="73"/>
  <c r="G54" i="73"/>
  <c r="D55" i="73"/>
  <c r="E55" i="73"/>
  <c r="F55" i="73"/>
  <c r="G55" i="73"/>
  <c r="D56" i="73"/>
  <c r="E56" i="73"/>
  <c r="F56" i="73"/>
  <c r="G56" i="73"/>
  <c r="D57" i="73"/>
  <c r="E57" i="73"/>
  <c r="F57" i="73"/>
  <c r="G57" i="73"/>
  <c r="D58" i="73"/>
  <c r="E58" i="73"/>
  <c r="F58" i="73"/>
  <c r="G58" i="73"/>
  <c r="D59" i="73"/>
  <c r="E59" i="73"/>
  <c r="F59" i="73"/>
  <c r="G59" i="73"/>
  <c r="D60" i="73"/>
  <c r="E60" i="73"/>
  <c r="F60" i="73"/>
  <c r="G60" i="73"/>
  <c r="D61" i="73"/>
  <c r="E61" i="73"/>
  <c r="F61" i="73"/>
  <c r="G61" i="73"/>
  <c r="D62" i="73"/>
  <c r="E62" i="73"/>
  <c r="F62" i="73"/>
  <c r="G62" i="73"/>
  <c r="D63" i="73"/>
  <c r="E63" i="73"/>
  <c r="F63" i="73"/>
  <c r="G63" i="73"/>
  <c r="D64" i="73"/>
  <c r="E64" i="73"/>
  <c r="F64" i="73"/>
  <c r="G64" i="73"/>
  <c r="D65" i="73"/>
  <c r="E65" i="73"/>
  <c r="F65" i="73"/>
  <c r="G65" i="73"/>
  <c r="D66" i="73"/>
  <c r="E66" i="73"/>
  <c r="F66" i="73"/>
  <c r="G66" i="73"/>
  <c r="D67" i="73"/>
  <c r="E67" i="73"/>
  <c r="F67" i="73"/>
  <c r="G67" i="73"/>
  <c r="D68" i="73"/>
  <c r="E68" i="73"/>
  <c r="F68" i="73"/>
  <c r="G68" i="73"/>
  <c r="D69" i="73"/>
  <c r="E69" i="73"/>
  <c r="F69" i="73"/>
  <c r="G69" i="73"/>
  <c r="D70" i="73"/>
  <c r="E70" i="73"/>
  <c r="F70" i="73"/>
  <c r="G70" i="73"/>
  <c r="D71" i="73"/>
  <c r="E71" i="73"/>
  <c r="F71" i="73"/>
  <c r="G71" i="73"/>
  <c r="D72" i="73"/>
  <c r="E72" i="73"/>
  <c r="F72" i="73"/>
  <c r="G72" i="73"/>
  <c r="D73" i="73"/>
  <c r="E73" i="73"/>
  <c r="F73" i="73"/>
  <c r="G73" i="73"/>
  <c r="D74" i="73"/>
  <c r="E74" i="73"/>
  <c r="F74" i="73"/>
  <c r="G74" i="73"/>
  <c r="D75" i="73"/>
  <c r="E75" i="73"/>
  <c r="F75" i="73"/>
  <c r="G75" i="73"/>
  <c r="D76" i="73"/>
  <c r="E76" i="73"/>
  <c r="F76" i="73"/>
  <c r="G76" i="73"/>
  <c r="D77" i="73"/>
  <c r="E77" i="73"/>
  <c r="F77" i="73"/>
  <c r="G77" i="73"/>
  <c r="D78" i="73"/>
  <c r="E78" i="73"/>
  <c r="F78" i="73"/>
  <c r="G78" i="73"/>
  <c r="D79" i="73"/>
  <c r="E79" i="73"/>
  <c r="F79" i="73"/>
  <c r="G79" i="73"/>
  <c r="D80" i="73"/>
  <c r="E80" i="73"/>
  <c r="F80" i="73"/>
  <c r="G80" i="73"/>
  <c r="D81" i="73"/>
  <c r="E81" i="73"/>
  <c r="F81" i="73"/>
  <c r="G81" i="73"/>
  <c r="D82" i="73"/>
  <c r="E82" i="73"/>
  <c r="F82" i="73"/>
  <c r="G82" i="73"/>
  <c r="D83" i="73"/>
  <c r="E83" i="73"/>
  <c r="F83" i="73"/>
  <c r="G83" i="73"/>
  <c r="D84" i="73"/>
  <c r="E84" i="73"/>
  <c r="F84" i="73"/>
  <c r="G84" i="73"/>
  <c r="D85" i="73"/>
  <c r="E85" i="73"/>
  <c r="F85" i="73"/>
  <c r="G85" i="73"/>
  <c r="D86" i="73"/>
  <c r="E86" i="73"/>
  <c r="F86" i="73"/>
  <c r="G86" i="73"/>
  <c r="D87" i="73"/>
  <c r="E87" i="73"/>
  <c r="F87" i="73"/>
  <c r="G87" i="73"/>
  <c r="D88" i="73"/>
  <c r="E88" i="73"/>
  <c r="F88" i="73"/>
  <c r="G88" i="73"/>
  <c r="D89" i="73"/>
  <c r="E89" i="73"/>
  <c r="F89" i="73"/>
  <c r="G89" i="73"/>
  <c r="D90" i="73"/>
  <c r="E90" i="73"/>
  <c r="F90" i="73"/>
  <c r="G90" i="73"/>
  <c r="D91" i="73"/>
  <c r="E91" i="73"/>
  <c r="F91" i="73"/>
  <c r="G91" i="73"/>
  <c r="D92" i="73"/>
  <c r="E92" i="73"/>
  <c r="F92" i="73"/>
  <c r="G92" i="73"/>
  <c r="D93" i="73"/>
  <c r="E93" i="73"/>
  <c r="F93" i="73"/>
  <c r="G93" i="73"/>
  <c r="D94" i="73"/>
  <c r="E94" i="73"/>
  <c r="F94" i="73"/>
  <c r="G94" i="73"/>
  <c r="D95" i="73"/>
  <c r="E95" i="73"/>
  <c r="F95" i="73"/>
  <c r="G95" i="73"/>
  <c r="D96" i="73"/>
  <c r="E96" i="73"/>
  <c r="F96" i="73"/>
  <c r="G96" i="73"/>
  <c r="D97" i="73"/>
  <c r="E97" i="73"/>
  <c r="F97" i="73"/>
  <c r="G97" i="73"/>
  <c r="D98" i="73"/>
  <c r="E98" i="73"/>
  <c r="F98" i="73"/>
  <c r="G98" i="73"/>
  <c r="D99" i="73"/>
  <c r="E99" i="73"/>
  <c r="F99" i="73"/>
  <c r="G99" i="73"/>
  <c r="D100" i="73"/>
  <c r="E100" i="73"/>
  <c r="F100" i="73"/>
  <c r="G100" i="73"/>
  <c r="D101" i="73"/>
  <c r="E101" i="73"/>
  <c r="F101" i="73"/>
  <c r="G101" i="73"/>
  <c r="D102" i="73"/>
  <c r="E102" i="73"/>
  <c r="F102" i="73"/>
  <c r="G102" i="73"/>
  <c r="D103" i="73"/>
  <c r="E103" i="73"/>
  <c r="F103" i="73"/>
  <c r="G103" i="73"/>
  <c r="D104" i="73"/>
  <c r="E104" i="73"/>
  <c r="F104" i="73"/>
  <c r="G104" i="73"/>
  <c r="D105" i="73"/>
  <c r="E105" i="73"/>
  <c r="F105" i="73"/>
  <c r="G105" i="73"/>
  <c r="D106" i="73"/>
  <c r="E106" i="73"/>
  <c r="F106" i="73"/>
  <c r="G106" i="73"/>
  <c r="D107" i="73"/>
  <c r="E107" i="73"/>
  <c r="F107" i="73"/>
  <c r="G107" i="73"/>
  <c r="D108" i="73"/>
  <c r="E108" i="73"/>
  <c r="F108" i="73"/>
  <c r="G108" i="73"/>
  <c r="D109" i="73"/>
  <c r="E109" i="73"/>
  <c r="F109" i="73"/>
  <c r="G109" i="73"/>
  <c r="D110" i="73"/>
  <c r="E110" i="73"/>
  <c r="F110" i="73"/>
  <c r="G110" i="73"/>
  <c r="D111" i="73"/>
  <c r="E111" i="73"/>
  <c r="F111" i="73"/>
  <c r="G111" i="73"/>
  <c r="D112" i="73"/>
  <c r="E112" i="73"/>
  <c r="F112" i="73"/>
  <c r="G112" i="73"/>
  <c r="D113" i="73"/>
  <c r="E113" i="73"/>
  <c r="F113" i="73"/>
  <c r="G113" i="73"/>
  <c r="D114" i="73"/>
  <c r="E114" i="73"/>
  <c r="F114" i="73"/>
  <c r="G114" i="73"/>
  <c r="D115" i="73"/>
  <c r="E115" i="73"/>
  <c r="F115" i="73"/>
  <c r="G115" i="73"/>
  <c r="D116" i="73"/>
  <c r="E116" i="73"/>
  <c r="F116" i="73"/>
  <c r="G116" i="73"/>
  <c r="D117" i="73"/>
  <c r="E117" i="73"/>
  <c r="F117" i="73"/>
  <c r="G117" i="73"/>
  <c r="D118" i="73"/>
  <c r="E118" i="73"/>
  <c r="F118" i="73"/>
  <c r="G118" i="73"/>
  <c r="D119" i="73"/>
  <c r="E119" i="73"/>
  <c r="F119" i="73"/>
  <c r="G119" i="73"/>
  <c r="D120" i="73"/>
  <c r="E120" i="73"/>
  <c r="F120" i="73"/>
  <c r="G120" i="73"/>
  <c r="D121" i="73"/>
  <c r="E121" i="73"/>
  <c r="F121" i="73"/>
  <c r="G121" i="73"/>
  <c r="D122" i="73"/>
  <c r="E122" i="73"/>
  <c r="F122" i="73"/>
  <c r="G122" i="73"/>
  <c r="D123" i="73"/>
  <c r="E123" i="73"/>
  <c r="F123" i="73"/>
  <c r="G123" i="73"/>
  <c r="D124" i="73"/>
  <c r="E124" i="73"/>
  <c r="F124" i="73"/>
  <c r="G124" i="73"/>
  <c r="D125" i="73"/>
  <c r="E125" i="73"/>
  <c r="F125" i="73"/>
  <c r="G125" i="73"/>
  <c r="D126" i="73"/>
  <c r="E126" i="73"/>
  <c r="F126" i="73"/>
  <c r="G126" i="73"/>
  <c r="D127" i="73"/>
  <c r="E127" i="73"/>
  <c r="F127" i="73"/>
  <c r="G127" i="73"/>
  <c r="D128" i="73"/>
  <c r="E128" i="73"/>
  <c r="F128" i="73"/>
  <c r="G128" i="73"/>
  <c r="D129" i="73"/>
  <c r="E129" i="73"/>
  <c r="F129" i="73"/>
  <c r="G129" i="73"/>
  <c r="D130" i="73"/>
  <c r="E130" i="73"/>
  <c r="F130" i="73"/>
  <c r="G130" i="73"/>
  <c r="D131" i="73"/>
  <c r="E131" i="73"/>
  <c r="F131" i="73"/>
  <c r="G131" i="73"/>
  <c r="D132" i="73"/>
  <c r="E132" i="73"/>
  <c r="F132" i="73"/>
  <c r="G132" i="73"/>
  <c r="D133" i="73"/>
  <c r="E133" i="73"/>
  <c r="F133" i="73"/>
  <c r="G133" i="73"/>
  <c r="D134" i="73"/>
  <c r="E134" i="73"/>
  <c r="F134" i="73"/>
  <c r="G134" i="73"/>
  <c r="D135" i="73"/>
  <c r="E135" i="73"/>
  <c r="F135" i="73"/>
  <c r="G135" i="73"/>
  <c r="D136" i="73"/>
  <c r="E136" i="73"/>
  <c r="F136" i="73"/>
  <c r="G136" i="73"/>
  <c r="D137" i="73"/>
  <c r="E137" i="73"/>
  <c r="F137" i="73"/>
  <c r="G137" i="73"/>
  <c r="D138" i="73"/>
  <c r="E138" i="73"/>
  <c r="F138" i="73"/>
  <c r="G138" i="73"/>
  <c r="D139" i="73"/>
  <c r="E139" i="73"/>
  <c r="F139" i="73"/>
  <c r="G139" i="73"/>
  <c r="D140" i="73"/>
  <c r="E140" i="73"/>
  <c r="F140" i="73"/>
  <c r="G140" i="73"/>
  <c r="D141" i="73"/>
  <c r="E141" i="73"/>
  <c r="F141" i="73"/>
  <c r="G141" i="73"/>
  <c r="D142" i="73"/>
  <c r="E142" i="73"/>
  <c r="F142" i="73"/>
  <c r="G142" i="73"/>
  <c r="D143" i="73"/>
  <c r="E143" i="73"/>
  <c r="F143" i="73"/>
  <c r="G143" i="73"/>
  <c r="D144" i="73"/>
  <c r="E144" i="73"/>
  <c r="F144" i="73"/>
  <c r="G144" i="73"/>
  <c r="D145" i="73"/>
  <c r="E145" i="73"/>
  <c r="F145" i="73"/>
  <c r="G145" i="73"/>
  <c r="D146" i="73"/>
  <c r="E146" i="73"/>
  <c r="F146" i="73"/>
  <c r="G146" i="73"/>
  <c r="D147" i="73"/>
  <c r="E147" i="73"/>
  <c r="F147" i="73"/>
  <c r="G147" i="73"/>
  <c r="D148" i="73"/>
  <c r="E148" i="73"/>
  <c r="F148" i="73"/>
  <c r="G148" i="73"/>
  <c r="D149" i="73"/>
  <c r="E149" i="73"/>
  <c r="F149" i="73"/>
  <c r="G149" i="73"/>
  <c r="D150" i="73"/>
  <c r="E150" i="73"/>
  <c r="F150" i="73"/>
  <c r="G150" i="73"/>
  <c r="D151" i="73"/>
  <c r="E151" i="73"/>
  <c r="F151" i="73"/>
  <c r="G151" i="73"/>
  <c r="D152" i="73"/>
  <c r="E152" i="73"/>
  <c r="F152" i="73"/>
  <c r="G152" i="73"/>
  <c r="D153" i="73"/>
  <c r="E153" i="73"/>
  <c r="F153" i="73"/>
  <c r="G153" i="73"/>
  <c r="D154" i="73"/>
  <c r="E154" i="73"/>
  <c r="F154" i="73"/>
  <c r="G154" i="73"/>
  <c r="D155" i="73"/>
  <c r="E155" i="73"/>
  <c r="F155" i="73"/>
  <c r="G155" i="73"/>
  <c r="D156" i="73"/>
  <c r="E156" i="73"/>
  <c r="F156" i="73"/>
  <c r="G156" i="73"/>
  <c r="D157" i="73"/>
  <c r="E157" i="73"/>
  <c r="F157" i="73"/>
  <c r="G157" i="73"/>
  <c r="D158" i="73"/>
  <c r="E158" i="73"/>
  <c r="F158" i="73"/>
  <c r="G158" i="73"/>
  <c r="D159" i="73"/>
  <c r="E159" i="73"/>
  <c r="F159" i="73"/>
  <c r="G159" i="73"/>
  <c r="D160" i="73"/>
  <c r="E160" i="73"/>
  <c r="F160" i="73"/>
  <c r="G160" i="73"/>
  <c r="D161" i="73"/>
  <c r="E161" i="73"/>
  <c r="F161" i="73"/>
  <c r="G161" i="73"/>
  <c r="D162" i="73"/>
  <c r="E162" i="73"/>
  <c r="F162" i="73"/>
  <c r="G162" i="73"/>
  <c r="D163" i="73"/>
  <c r="E163" i="73"/>
  <c r="F163" i="73"/>
  <c r="G163" i="73"/>
  <c r="D164" i="73"/>
  <c r="E164" i="73"/>
  <c r="F164" i="73"/>
  <c r="G164" i="73"/>
  <c r="D165" i="73"/>
  <c r="E165" i="73"/>
  <c r="F165" i="73"/>
  <c r="G165" i="73"/>
  <c r="D166" i="73"/>
  <c r="E166" i="73"/>
  <c r="F166" i="73"/>
  <c r="G166" i="73"/>
  <c r="D167" i="73"/>
  <c r="E167" i="73"/>
  <c r="F167" i="73"/>
  <c r="G167" i="73"/>
  <c r="D168" i="73"/>
  <c r="E168" i="73"/>
  <c r="F168" i="73"/>
  <c r="G168" i="73"/>
  <c r="D169" i="73"/>
  <c r="E169" i="73"/>
  <c r="F169" i="73"/>
  <c r="G169" i="73"/>
  <c r="D170" i="73"/>
  <c r="E170" i="73"/>
  <c r="F170" i="73"/>
  <c r="G170" i="73"/>
  <c r="D171" i="73"/>
  <c r="E171" i="73"/>
  <c r="F171" i="73"/>
  <c r="G171" i="73"/>
  <c r="D172" i="73"/>
  <c r="E172" i="73"/>
  <c r="F172" i="73"/>
  <c r="G172" i="73"/>
  <c r="D173" i="73"/>
  <c r="E173" i="73"/>
  <c r="F173" i="73"/>
  <c r="G173" i="73"/>
  <c r="D174" i="73"/>
  <c r="E174" i="73"/>
  <c r="F174" i="73"/>
  <c r="G174" i="73"/>
  <c r="D175" i="73"/>
  <c r="E175" i="73"/>
  <c r="F175" i="73"/>
  <c r="G175" i="73"/>
  <c r="D176" i="73"/>
  <c r="E176" i="73"/>
  <c r="F176" i="73"/>
  <c r="G176" i="73"/>
  <c r="D177" i="73"/>
  <c r="E177" i="73"/>
  <c r="F177" i="73"/>
  <c r="G177" i="73"/>
  <c r="D178" i="73"/>
  <c r="E178" i="73"/>
  <c r="F178" i="73"/>
  <c r="G178" i="73"/>
  <c r="D179" i="73"/>
  <c r="E179" i="73"/>
  <c r="F179" i="73"/>
  <c r="G179" i="73"/>
  <c r="D180" i="73"/>
  <c r="E180" i="73"/>
  <c r="F180" i="73"/>
  <c r="G180" i="73"/>
  <c r="D181" i="73"/>
  <c r="E181" i="73"/>
  <c r="F181" i="73"/>
  <c r="G181" i="73"/>
  <c r="D182" i="73"/>
  <c r="E182" i="73"/>
  <c r="F182" i="73"/>
  <c r="G182" i="73"/>
  <c r="D183" i="73"/>
  <c r="E183" i="73"/>
  <c r="F183" i="73"/>
  <c r="G183" i="73"/>
  <c r="D184" i="73"/>
  <c r="E184" i="73"/>
  <c r="F184" i="73"/>
  <c r="G184" i="73"/>
  <c r="D185" i="73"/>
  <c r="E185" i="73"/>
  <c r="F185" i="73"/>
  <c r="G185" i="73"/>
  <c r="D186" i="73"/>
  <c r="E186" i="73"/>
  <c r="F186" i="73"/>
  <c r="G186" i="73"/>
  <c r="C9" i="73"/>
  <c r="C10" i="73"/>
  <c r="C11" i="73"/>
  <c r="C12" i="73"/>
  <c r="C13" i="73"/>
  <c r="C14" i="73"/>
  <c r="C15" i="73"/>
  <c r="C16" i="73"/>
  <c r="C17" i="73"/>
  <c r="C18" i="73"/>
  <c r="C19" i="73"/>
  <c r="C20" i="73"/>
  <c r="C21" i="73"/>
  <c r="C22" i="73"/>
  <c r="C23" i="73"/>
  <c r="C24" i="73"/>
  <c r="C25" i="73"/>
  <c r="C26" i="73"/>
  <c r="C27" i="73"/>
  <c r="C28" i="73"/>
  <c r="C29" i="73"/>
  <c r="C30" i="73"/>
  <c r="C31" i="73"/>
  <c r="C32" i="73"/>
  <c r="C33" i="73"/>
  <c r="C34" i="73"/>
  <c r="C35" i="73"/>
  <c r="C36" i="73"/>
  <c r="C37" i="73"/>
  <c r="C38" i="73"/>
  <c r="C39" i="73"/>
  <c r="C40" i="73"/>
  <c r="C41" i="73"/>
  <c r="C42" i="73"/>
  <c r="C43" i="73"/>
  <c r="C44" i="73"/>
  <c r="C45" i="73"/>
  <c r="C46" i="73"/>
  <c r="C47" i="73"/>
  <c r="C48" i="73"/>
  <c r="C49" i="73"/>
  <c r="C50" i="73"/>
  <c r="C51" i="73"/>
  <c r="C52" i="73"/>
  <c r="C53" i="73"/>
  <c r="C54" i="73"/>
  <c r="C55" i="73"/>
  <c r="C56" i="73"/>
  <c r="C57" i="73"/>
  <c r="C58" i="73"/>
  <c r="C59" i="73"/>
  <c r="C60" i="73"/>
  <c r="C61" i="73"/>
  <c r="C62" i="73"/>
  <c r="C63" i="73"/>
  <c r="C64" i="73"/>
  <c r="C65" i="73"/>
  <c r="C66" i="73"/>
  <c r="C67" i="73"/>
  <c r="C68" i="73"/>
  <c r="C69" i="73"/>
  <c r="C70" i="73"/>
  <c r="C71" i="73"/>
  <c r="C72" i="73"/>
  <c r="C73" i="73"/>
  <c r="C74" i="73"/>
  <c r="C75" i="73"/>
  <c r="C76" i="73"/>
  <c r="C77" i="73"/>
  <c r="C78" i="73"/>
  <c r="C79" i="73"/>
  <c r="C80" i="73"/>
  <c r="C81" i="73"/>
  <c r="C82" i="73"/>
  <c r="C83" i="73"/>
  <c r="C84" i="73"/>
  <c r="C85" i="73"/>
  <c r="C86" i="73"/>
  <c r="C87" i="73"/>
  <c r="C88" i="73"/>
  <c r="C89" i="73"/>
  <c r="C90" i="73"/>
  <c r="C91" i="73"/>
  <c r="C92" i="73"/>
  <c r="C93" i="73"/>
  <c r="C94" i="73"/>
  <c r="C95" i="73"/>
  <c r="C96" i="73"/>
  <c r="C97" i="73"/>
  <c r="C98" i="73"/>
  <c r="C99" i="73"/>
  <c r="C100" i="73"/>
  <c r="C101" i="73"/>
  <c r="C102" i="73"/>
  <c r="C103" i="73"/>
  <c r="C104" i="73"/>
  <c r="C105" i="73"/>
  <c r="C106" i="73"/>
  <c r="C107" i="73"/>
  <c r="C108" i="73"/>
  <c r="C109" i="73"/>
  <c r="C110" i="73"/>
  <c r="C111" i="73"/>
  <c r="C112" i="73"/>
  <c r="C113" i="73"/>
  <c r="C114" i="73"/>
  <c r="C115" i="73"/>
  <c r="C116" i="73"/>
  <c r="C117" i="73"/>
  <c r="C118" i="73"/>
  <c r="C119" i="73"/>
  <c r="C120" i="73"/>
  <c r="C121" i="73"/>
  <c r="C122" i="73"/>
  <c r="C123" i="73"/>
  <c r="C124" i="73"/>
  <c r="C125" i="73"/>
  <c r="C126" i="73"/>
  <c r="C127" i="73"/>
  <c r="C128" i="73"/>
  <c r="C129" i="73"/>
  <c r="C130" i="73"/>
  <c r="C131" i="73"/>
  <c r="C132" i="73"/>
  <c r="C133" i="73"/>
  <c r="C134" i="73"/>
  <c r="C135" i="73"/>
  <c r="C136" i="73"/>
  <c r="C137" i="73"/>
  <c r="C138" i="73"/>
  <c r="C139" i="73"/>
  <c r="C140" i="73"/>
  <c r="C141" i="73"/>
  <c r="C142" i="73"/>
  <c r="C143" i="73"/>
  <c r="C144" i="73"/>
  <c r="C145" i="73"/>
  <c r="C146" i="73"/>
  <c r="C147" i="73"/>
  <c r="C148" i="73"/>
  <c r="C149" i="73"/>
  <c r="C150" i="73"/>
  <c r="C151" i="73"/>
  <c r="C152" i="73"/>
  <c r="C153" i="73"/>
  <c r="C154" i="73"/>
  <c r="C155" i="73"/>
  <c r="C156" i="73"/>
  <c r="C157" i="73"/>
  <c r="C158" i="73"/>
  <c r="C159" i="73"/>
  <c r="C160" i="73"/>
  <c r="C161" i="73"/>
  <c r="C162" i="73"/>
  <c r="C163" i="73"/>
  <c r="C164" i="73"/>
  <c r="C165" i="73"/>
  <c r="C166" i="73"/>
  <c r="C167" i="73"/>
  <c r="C168" i="73"/>
  <c r="C169" i="73"/>
  <c r="C170" i="73"/>
  <c r="C171" i="73"/>
  <c r="C172" i="73"/>
  <c r="C173" i="73"/>
  <c r="C174" i="73"/>
  <c r="C175" i="73"/>
  <c r="C176" i="73"/>
  <c r="C177" i="73"/>
  <c r="C178" i="73"/>
  <c r="C179" i="73"/>
  <c r="C180" i="73"/>
  <c r="C181" i="73"/>
  <c r="C182" i="73"/>
  <c r="C183" i="73"/>
  <c r="C184" i="73"/>
  <c r="C185" i="73"/>
  <c r="C186" i="73"/>
  <c r="G8" i="73"/>
  <c r="F8" i="73"/>
  <c r="E8" i="73"/>
  <c r="D8" i="73"/>
  <c r="C8" i="73"/>
  <c r="W9" i="73"/>
  <c r="AB9" i="73" s="1"/>
  <c r="W10" i="73"/>
  <c r="AA10" i="73" s="1"/>
  <c r="W11" i="73"/>
  <c r="AB11" i="73" s="1"/>
  <c r="W12" i="73"/>
  <c r="AA12" i="73" s="1"/>
  <c r="W13" i="73"/>
  <c r="AB13" i="73" s="1"/>
  <c r="W14" i="73"/>
  <c r="AA14" i="73" s="1"/>
  <c r="W15" i="73"/>
  <c r="AB15" i="73" s="1"/>
  <c r="W16" i="73"/>
  <c r="AA16" i="73" s="1"/>
  <c r="W17" i="73"/>
  <c r="AB17" i="73" s="1"/>
  <c r="W18" i="73"/>
  <c r="AA18" i="73" s="1"/>
  <c r="W19" i="73"/>
  <c r="AB19" i="73" s="1"/>
  <c r="W20" i="73"/>
  <c r="AA20" i="73" s="1"/>
  <c r="W21" i="73"/>
  <c r="AB21" i="73" s="1"/>
  <c r="W22" i="73"/>
  <c r="AA22" i="73" s="1"/>
  <c r="W23" i="73"/>
  <c r="AB23" i="73" s="1"/>
  <c r="W24" i="73"/>
  <c r="AA24" i="73" s="1"/>
  <c r="W25" i="73"/>
  <c r="AB25" i="73" s="1"/>
  <c r="W26" i="73"/>
  <c r="AA26" i="73" s="1"/>
  <c r="W27" i="73"/>
  <c r="AB27" i="73" s="1"/>
  <c r="W28" i="73"/>
  <c r="AA28" i="73" s="1"/>
  <c r="W29" i="73"/>
  <c r="AB29" i="73" s="1"/>
  <c r="W30" i="73"/>
  <c r="AA30" i="73" s="1"/>
  <c r="W31" i="73"/>
  <c r="AB31" i="73" s="1"/>
  <c r="W32" i="73"/>
  <c r="AA32" i="73" s="1"/>
  <c r="W33" i="73"/>
  <c r="AB33" i="73" s="1"/>
  <c r="W34" i="73"/>
  <c r="AA34" i="73" s="1"/>
  <c r="W35" i="73"/>
  <c r="AB35" i="73" s="1"/>
  <c r="W36" i="73"/>
  <c r="AA36" i="73" s="1"/>
  <c r="W37" i="73"/>
  <c r="AB37" i="73" s="1"/>
  <c r="W38" i="73"/>
  <c r="AA38" i="73" s="1"/>
  <c r="W39" i="73"/>
  <c r="AB39" i="73" s="1"/>
  <c r="W40" i="73"/>
  <c r="AA40" i="73" s="1"/>
  <c r="W41" i="73"/>
  <c r="AB41" i="73" s="1"/>
  <c r="W42" i="73"/>
  <c r="AA42" i="73" s="1"/>
  <c r="W43" i="73"/>
  <c r="AB43" i="73" s="1"/>
  <c r="W44" i="73"/>
  <c r="AA44" i="73" s="1"/>
  <c r="W45" i="73"/>
  <c r="AB45" i="73" s="1"/>
  <c r="W46" i="73"/>
  <c r="AB46" i="73" s="1"/>
  <c r="W47" i="73"/>
  <c r="AB47" i="73" s="1"/>
  <c r="W48" i="73"/>
  <c r="AB48" i="73" s="1"/>
  <c r="W49" i="73"/>
  <c r="AB49" i="73" s="1"/>
  <c r="W50" i="73"/>
  <c r="AB50" i="73" s="1"/>
  <c r="W51" i="73"/>
  <c r="AB51" i="73" s="1"/>
  <c r="W52" i="73"/>
  <c r="AB52" i="73" s="1"/>
  <c r="W53" i="73"/>
  <c r="AB53" i="73" s="1"/>
  <c r="W54" i="73"/>
  <c r="AB54" i="73" s="1"/>
  <c r="W55" i="73"/>
  <c r="AB55" i="73" s="1"/>
  <c r="W56" i="73"/>
  <c r="AB56" i="73" s="1"/>
  <c r="W57" i="73"/>
  <c r="AB57" i="73"/>
  <c r="W58" i="73"/>
  <c r="AB58" i="73"/>
  <c r="W59" i="73"/>
  <c r="AB59" i="73" s="1"/>
  <c r="W60" i="73"/>
  <c r="AB60" i="73" s="1"/>
  <c r="W61" i="73"/>
  <c r="AA61" i="73" s="1"/>
  <c r="W8" i="73"/>
  <c r="X8" i="73" s="1"/>
  <c r="I9" i="73"/>
  <c r="I10" i="73"/>
  <c r="I11" i="73"/>
  <c r="I12" i="73"/>
  <c r="I13" i="73"/>
  <c r="I14" i="73"/>
  <c r="I8" i="73"/>
  <c r="B9" i="73"/>
  <c r="B10" i="73"/>
  <c r="B11" i="73"/>
  <c r="B12" i="73"/>
  <c r="B13" i="73"/>
  <c r="B14" i="73"/>
  <c r="B15" i="73"/>
  <c r="B16" i="73"/>
  <c r="B17" i="73"/>
  <c r="B18" i="73"/>
  <c r="B19" i="73"/>
  <c r="B20" i="73"/>
  <c r="B21" i="73"/>
  <c r="B22" i="73"/>
  <c r="B23" i="73"/>
  <c r="B24" i="73"/>
  <c r="B25" i="73"/>
  <c r="B26" i="73"/>
  <c r="B27" i="73"/>
  <c r="B28" i="73"/>
  <c r="B29" i="73"/>
  <c r="B30" i="73"/>
  <c r="B31" i="73"/>
  <c r="B32" i="73"/>
  <c r="B33" i="73"/>
  <c r="B34" i="73"/>
  <c r="B35" i="73"/>
  <c r="B36" i="73"/>
  <c r="B37" i="73"/>
  <c r="B38" i="73"/>
  <c r="B39" i="73"/>
  <c r="B40" i="73"/>
  <c r="B41" i="73"/>
  <c r="B42" i="73"/>
  <c r="B43" i="73"/>
  <c r="B44" i="73"/>
  <c r="B45" i="73"/>
  <c r="B46" i="73"/>
  <c r="B47" i="73"/>
  <c r="B48" i="73"/>
  <c r="B49" i="73"/>
  <c r="B50" i="73"/>
  <c r="B51" i="73"/>
  <c r="B52" i="73"/>
  <c r="B53" i="73"/>
  <c r="B54" i="73"/>
  <c r="B55" i="73"/>
  <c r="B56" i="73"/>
  <c r="B57" i="73"/>
  <c r="B58" i="73"/>
  <c r="B59" i="73"/>
  <c r="B60" i="73"/>
  <c r="B61" i="73"/>
  <c r="B62" i="73"/>
  <c r="B63" i="73"/>
  <c r="B64" i="73"/>
  <c r="B65" i="73"/>
  <c r="B66" i="73"/>
  <c r="B67" i="73"/>
  <c r="B68" i="73"/>
  <c r="B69" i="73"/>
  <c r="B70" i="73"/>
  <c r="B71" i="73"/>
  <c r="B72" i="73"/>
  <c r="B73" i="73"/>
  <c r="B74" i="73"/>
  <c r="B75" i="73"/>
  <c r="B76" i="73"/>
  <c r="B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8" i="73"/>
  <c r="Y61" i="73"/>
  <c r="Z61" i="73"/>
  <c r="Z60" i="73"/>
  <c r="AA60" i="73"/>
  <c r="X58" i="73"/>
  <c r="Y58" i="73"/>
  <c r="Z58" i="73"/>
  <c r="AA58" i="73"/>
  <c r="Y57" i="73"/>
  <c r="AA57" i="73"/>
  <c r="X57" i="73"/>
  <c r="Z57" i="73"/>
  <c r="X56" i="73"/>
  <c r="Z56" i="73"/>
  <c r="Y55" i="73"/>
  <c r="AA55" i="73"/>
  <c r="X55" i="73"/>
  <c r="Z55" i="73"/>
  <c r="X54" i="73"/>
  <c r="Y54" i="73"/>
  <c r="Z54" i="73"/>
  <c r="AA54" i="73"/>
  <c r="Y53" i="73"/>
  <c r="AA53" i="73"/>
  <c r="X53" i="73"/>
  <c r="Z53" i="73"/>
  <c r="X52" i="73"/>
  <c r="Y52" i="73"/>
  <c r="Z52" i="73"/>
  <c r="AA52" i="73"/>
  <c r="Y51" i="73"/>
  <c r="AA51" i="73"/>
  <c r="X51" i="73"/>
  <c r="Z51" i="73"/>
  <c r="X50" i="73"/>
  <c r="Y50" i="73"/>
  <c r="Z50" i="73"/>
  <c r="AA50" i="73"/>
  <c r="Y49" i="73"/>
  <c r="AA49" i="73"/>
  <c r="X49" i="73"/>
  <c r="Z49" i="73"/>
  <c r="X48" i="73"/>
  <c r="Y48" i="73"/>
  <c r="Z48" i="73"/>
  <c r="AA48" i="73"/>
  <c r="Y47" i="73"/>
  <c r="AA47" i="73"/>
  <c r="X47" i="73"/>
  <c r="Z47" i="73"/>
  <c r="X46" i="73"/>
  <c r="Y46" i="73"/>
  <c r="Z46" i="73"/>
  <c r="AA46" i="73"/>
  <c r="Y45" i="73"/>
  <c r="AA45" i="73"/>
  <c r="X45" i="73"/>
  <c r="Z45" i="73"/>
  <c r="X44" i="73"/>
  <c r="AB44" i="73"/>
  <c r="Z43" i="73"/>
  <c r="X42" i="73"/>
  <c r="Y41" i="73"/>
  <c r="Z42" i="73"/>
  <c r="AA41" i="73"/>
  <c r="AB42" i="73"/>
  <c r="X41" i="73"/>
  <c r="Y42" i="73"/>
  <c r="Z41" i="73"/>
  <c r="AB8" i="73"/>
  <c r="X38" i="73"/>
  <c r="X34" i="73"/>
  <c r="X30" i="73"/>
  <c r="X26" i="73"/>
  <c r="X22" i="73"/>
  <c r="X18" i="73"/>
  <c r="X14" i="73"/>
  <c r="X12" i="73"/>
  <c r="X10" i="73"/>
  <c r="Y39" i="73"/>
  <c r="Y37" i="73"/>
  <c r="Y35" i="73"/>
  <c r="Y33" i="73"/>
  <c r="Y31" i="73"/>
  <c r="Y29" i="73"/>
  <c r="Y27" i="73"/>
  <c r="Y25" i="73"/>
  <c r="Y23" i="73"/>
  <c r="Y21" i="73"/>
  <c r="Y19" i="73"/>
  <c r="Y17" i="73"/>
  <c r="Y15" i="73"/>
  <c r="Y13" i="73"/>
  <c r="Y11" i="73"/>
  <c r="Y9" i="73"/>
  <c r="Z40" i="73"/>
  <c r="Z38" i="73"/>
  <c r="Z36" i="73"/>
  <c r="Z34" i="73"/>
  <c r="Z32" i="73"/>
  <c r="Z30" i="73"/>
  <c r="Z28" i="73"/>
  <c r="Z26" i="73"/>
  <c r="Z24" i="73"/>
  <c r="Z22" i="73"/>
  <c r="Z20" i="73"/>
  <c r="Z18" i="73"/>
  <c r="Z16" i="73"/>
  <c r="Z14" i="73"/>
  <c r="Z12" i="73"/>
  <c r="Z10" i="73"/>
  <c r="AA39" i="73"/>
  <c r="AA37" i="73"/>
  <c r="AA35" i="73"/>
  <c r="AA33" i="73"/>
  <c r="AA31" i="73"/>
  <c r="AA29" i="73"/>
  <c r="AA27" i="73"/>
  <c r="AA25" i="73"/>
  <c r="AA23" i="73"/>
  <c r="AA21" i="73"/>
  <c r="AA19" i="73"/>
  <c r="AA17" i="73"/>
  <c r="AA15" i="73"/>
  <c r="AA13" i="73"/>
  <c r="AA11" i="73"/>
  <c r="AA9" i="73"/>
  <c r="AB40" i="73"/>
  <c r="AB38" i="73"/>
  <c r="AB36" i="73"/>
  <c r="AB34" i="73"/>
  <c r="AB32" i="73"/>
  <c r="AB30" i="73"/>
  <c r="AB28" i="73"/>
  <c r="AB26" i="73"/>
  <c r="AB24" i="73"/>
  <c r="AB22" i="73"/>
  <c r="AB20" i="73"/>
  <c r="AB18" i="73"/>
  <c r="AB16" i="73"/>
  <c r="AB14" i="73"/>
  <c r="AB12" i="73"/>
  <c r="AB10" i="73"/>
  <c r="Y8" i="73"/>
  <c r="AA8" i="73"/>
  <c r="X39" i="73"/>
  <c r="X37" i="73"/>
  <c r="X35" i="73"/>
  <c r="X33" i="73"/>
  <c r="X31" i="73"/>
  <c r="X29" i="73"/>
  <c r="X27" i="73"/>
  <c r="X25" i="73"/>
  <c r="X23" i="73"/>
  <c r="X21" i="73"/>
  <c r="X19" i="73"/>
  <c r="X17" i="73"/>
  <c r="X15" i="73"/>
  <c r="X13" i="73"/>
  <c r="X11" i="73"/>
  <c r="X9" i="73"/>
  <c r="Y40" i="73"/>
  <c r="Y38" i="73"/>
  <c r="Y36" i="73"/>
  <c r="Y34" i="73"/>
  <c r="Y32" i="73"/>
  <c r="Y30" i="73"/>
  <c r="Y28" i="73"/>
  <c r="Y26" i="73"/>
  <c r="Y24" i="73"/>
  <c r="Y22" i="73"/>
  <c r="Y20" i="73"/>
  <c r="Y18" i="73"/>
  <c r="Y16" i="73"/>
  <c r="Y14" i="73"/>
  <c r="Y12" i="73"/>
  <c r="Y10" i="73"/>
  <c r="Z39" i="73"/>
  <c r="Z37" i="73"/>
  <c r="Z35" i="73"/>
  <c r="Z33" i="73"/>
  <c r="Z31" i="73"/>
  <c r="Z29" i="73"/>
  <c r="Z27" i="73"/>
  <c r="Z25" i="73"/>
  <c r="Z23" i="73"/>
  <c r="Z21" i="73"/>
  <c r="Z19" i="73"/>
  <c r="Z17" i="73"/>
  <c r="Z15" i="73"/>
  <c r="Z13" i="73"/>
  <c r="Z11" i="73"/>
  <c r="Z9" i="73"/>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K34" i="41"/>
  <c r="K37" i="41"/>
  <c r="K36"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H82" i="41"/>
  <c r="H83" i="41"/>
  <c r="H84" i="41"/>
  <c r="H85" i="41"/>
  <c r="H86" i="41"/>
  <c r="H87"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82" i="41"/>
  <c r="G83" i="41"/>
  <c r="G84" i="41"/>
  <c r="G85" i="41"/>
  <c r="G86" i="41"/>
  <c r="G87" i="41"/>
  <c r="F34" i="41"/>
  <c r="F35" i="41"/>
  <c r="F36" i="41"/>
  <c r="F37" i="41"/>
  <c r="F38" i="41"/>
  <c r="F39"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F82" i="41"/>
  <c r="F83" i="41"/>
  <c r="F84" i="41"/>
  <c r="F85" i="41"/>
  <c r="F86" i="41"/>
  <c r="F87"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R14" i="72"/>
  <c r="R13" i="72"/>
  <c r="R14" i="67"/>
  <c r="R13" i="67"/>
  <c r="E33" i="41"/>
  <c r="K35" i="41"/>
  <c r="D14" i="72"/>
  <c r="E14" i="72" s="1"/>
  <c r="D13" i="72"/>
  <c r="P13" i="72" s="1"/>
  <c r="C14" i="72"/>
  <c r="C13" i="72"/>
  <c r="D13" i="67"/>
  <c r="E13" i="67" s="1"/>
  <c r="C14" i="67"/>
  <c r="C13" i="67"/>
  <c r="D14" i="71"/>
  <c r="J14" i="71" s="1"/>
  <c r="I14" i="71" s="1"/>
  <c r="D13" i="71"/>
  <c r="C14" i="71"/>
  <c r="C13" i="71"/>
  <c r="J13" i="71" s="1"/>
  <c r="I13" i="71" s="1"/>
  <c r="E14" i="70"/>
  <c r="E13" i="70"/>
  <c r="D14" i="70"/>
  <c r="I14" i="70" s="1"/>
  <c r="H14" i="70" s="1"/>
  <c r="D13" i="70"/>
  <c r="E14" i="26"/>
  <c r="E13" i="26"/>
  <c r="D14" i="26"/>
  <c r="D13" i="26"/>
  <c r="I13" i="26" s="1"/>
  <c r="H13" i="26" s="1"/>
  <c r="E14" i="39"/>
  <c r="E13" i="39"/>
  <c r="D14" i="39"/>
  <c r="D13" i="39"/>
  <c r="E14" i="40"/>
  <c r="T14" i="40" s="1"/>
  <c r="M14" i="40" s="1"/>
  <c r="E13" i="40"/>
  <c r="D14" i="40"/>
  <c r="D13" i="40"/>
  <c r="D14" i="67"/>
  <c r="Q14" i="67" s="1"/>
  <c r="F4" i="39"/>
  <c r="E12" i="41"/>
  <c r="E11" i="41"/>
  <c r="E22" i="41"/>
  <c r="E21" i="41"/>
  <c r="E20" i="41"/>
  <c r="E17" i="41"/>
  <c r="H28" i="55"/>
  <c r="H29" i="55"/>
  <c r="H30" i="55"/>
  <c r="H31" i="55"/>
  <c r="H32" i="55"/>
  <c r="H33" i="55"/>
  <c r="H34" i="55"/>
  <c r="H35" i="55"/>
  <c r="H36" i="55"/>
  <c r="H37" i="55"/>
  <c r="H38" i="55"/>
  <c r="H39" i="55"/>
  <c r="H40" i="55"/>
  <c r="H41" i="55"/>
  <c r="H42" i="55"/>
  <c r="H43" i="55"/>
  <c r="H44" i="55"/>
  <c r="H45" i="55"/>
  <c r="H46" i="55"/>
  <c r="H47" i="55"/>
  <c r="H48" i="55"/>
  <c r="H49" i="55"/>
  <c r="H50" i="55"/>
  <c r="H51" i="55"/>
  <c r="H52" i="55"/>
  <c r="H53" i="55"/>
  <c r="H54" i="55"/>
  <c r="H55" i="55"/>
  <c r="H56" i="55"/>
  <c r="H57" i="55"/>
  <c r="H58" i="55"/>
  <c r="H59" i="55"/>
  <c r="H60" i="55"/>
  <c r="H61" i="55"/>
  <c r="H62" i="55"/>
  <c r="H63" i="55"/>
  <c r="H64" i="55"/>
  <c r="H65" i="55"/>
  <c r="H66" i="55"/>
  <c r="H67" i="55"/>
  <c r="H68" i="55"/>
  <c r="H69" i="55"/>
  <c r="H70" i="55"/>
  <c r="H71" i="55"/>
  <c r="H72" i="55"/>
  <c r="H73" i="55"/>
  <c r="H74" i="55"/>
  <c r="H75" i="55"/>
  <c r="H76" i="55"/>
  <c r="H77" i="55"/>
  <c r="H78" i="55"/>
  <c r="H79" i="55"/>
  <c r="H80" i="55"/>
  <c r="G6" i="55"/>
  <c r="G7" i="55"/>
  <c r="G8" i="55"/>
  <c r="G9" i="55"/>
  <c r="F9" i="55"/>
  <c r="E6" i="55"/>
  <c r="E7" i="55"/>
  <c r="E9" i="55"/>
  <c r="D6" i="55"/>
  <c r="D7" i="55"/>
  <c r="D9" i="55"/>
  <c r="E13" i="41"/>
  <c r="D8" i="55"/>
  <c r="E8" i="55"/>
  <c r="C9" i="55"/>
  <c r="E5" i="55"/>
  <c r="F6" i="39"/>
  <c r="D7" i="39"/>
  <c r="G5" i="55"/>
  <c r="F7" i="55"/>
  <c r="F8" i="55"/>
  <c r="D5" i="39"/>
  <c r="D6" i="39"/>
  <c r="D4" i="39"/>
  <c r="D5" i="55"/>
  <c r="F6" i="55"/>
  <c r="F5" i="55"/>
  <c r="H33" i="41"/>
  <c r="G33" i="41"/>
  <c r="H27" i="55"/>
  <c r="C6" i="55"/>
  <c r="H26" i="55"/>
  <c r="K33" i="41"/>
  <c r="C7" i="55"/>
  <c r="C8" i="55"/>
  <c r="F33" i="41"/>
  <c r="C5" i="55"/>
  <c r="Q13" i="72" l="1"/>
  <c r="E13" i="72"/>
  <c r="F8" i="39"/>
  <c r="P14" i="72"/>
  <c r="I13" i="70"/>
  <c r="H13" i="70" s="1"/>
  <c r="C4" i="70" s="1"/>
  <c r="J60" i="41" s="1"/>
  <c r="D17" i="55"/>
  <c r="H18" i="55"/>
  <c r="H17" i="55"/>
  <c r="D18" i="55"/>
  <c r="O14" i="39"/>
  <c r="L14" i="39" s="1"/>
  <c r="E14" i="67"/>
  <c r="L24" i="41" s="1"/>
  <c r="C18" i="55"/>
  <c r="I14" i="26"/>
  <c r="H14" i="26" s="1"/>
  <c r="C4" i="26" s="1"/>
  <c r="E18" i="55"/>
  <c r="C17" i="55"/>
  <c r="O13" i="72"/>
  <c r="M13" i="72" s="1"/>
  <c r="I8" i="55"/>
  <c r="D19" i="55"/>
  <c r="I6" i="55"/>
  <c r="E6" i="39"/>
  <c r="D10" i="55"/>
  <c r="G10" i="55"/>
  <c r="E17" i="55"/>
  <c r="I9" i="55"/>
  <c r="E10" i="55"/>
  <c r="I5" i="55"/>
  <c r="P14" i="40"/>
  <c r="S14" i="40"/>
  <c r="J25" i="41"/>
  <c r="O13" i="39"/>
  <c r="M13" i="39" s="1"/>
  <c r="J24" i="41"/>
  <c r="F10" i="55"/>
  <c r="E4" i="39"/>
  <c r="I7" i="55"/>
  <c r="Q14" i="72"/>
  <c r="AB61" i="73"/>
  <c r="X61" i="73"/>
  <c r="X60" i="73"/>
  <c r="Y60" i="73"/>
  <c r="Z59" i="73"/>
  <c r="Y59" i="73"/>
  <c r="AA59" i="73"/>
  <c r="X59" i="73"/>
  <c r="H81" i="55"/>
  <c r="AA56" i="73"/>
  <c r="Y56" i="73"/>
  <c r="Y44" i="73"/>
  <c r="Z44" i="73"/>
  <c r="X43" i="73"/>
  <c r="AA43" i="73"/>
  <c r="Y43" i="73"/>
  <c r="X16" i="73"/>
  <c r="X20" i="73"/>
  <c r="X24" i="73"/>
  <c r="X28" i="73"/>
  <c r="X32" i="73"/>
  <c r="X36" i="73"/>
  <c r="X40" i="73"/>
  <c r="Z8" i="73"/>
  <c r="C10" i="55"/>
  <c r="R14" i="40"/>
  <c r="N14" i="40"/>
  <c r="H14" i="40"/>
  <c r="Q14" i="40"/>
  <c r="K14" i="40"/>
  <c r="C4" i="71"/>
  <c r="P13" i="67"/>
  <c r="Q13" i="67"/>
  <c r="O14" i="72"/>
  <c r="L26" i="41"/>
  <c r="J26" i="41"/>
  <c r="J14" i="40"/>
  <c r="G14" i="40"/>
  <c r="L25" i="41"/>
  <c r="P14" i="67"/>
  <c r="O14" i="67" s="1"/>
  <c r="T13" i="40"/>
  <c r="E19" i="55" l="1"/>
  <c r="H19" i="55"/>
  <c r="J27" i="41"/>
  <c r="D24" i="41" s="1"/>
  <c r="L27" i="41"/>
  <c r="J61" i="41"/>
  <c r="J76" i="41"/>
  <c r="J62" i="41"/>
  <c r="J44" i="41"/>
  <c r="J65" i="41"/>
  <c r="J78" i="41"/>
  <c r="J47" i="41"/>
  <c r="J49" i="41"/>
  <c r="J35" i="41"/>
  <c r="J69" i="41"/>
  <c r="J68" i="41"/>
  <c r="J38" i="41"/>
  <c r="J81" i="41"/>
  <c r="J56" i="41"/>
  <c r="J46" i="41"/>
  <c r="J53" i="41"/>
  <c r="J85" i="41"/>
  <c r="J84" i="41"/>
  <c r="J52" i="41"/>
  <c r="J54" i="41"/>
  <c r="J57" i="41"/>
  <c r="J80" i="41"/>
  <c r="J48" i="41"/>
  <c r="J72" i="41"/>
  <c r="J40" i="41"/>
  <c r="J70" i="41"/>
  <c r="J36" i="41"/>
  <c r="J86" i="41"/>
  <c r="J73" i="41"/>
  <c r="J43" i="41"/>
  <c r="J64" i="41"/>
  <c r="D21" i="41"/>
  <c r="J41" i="41"/>
  <c r="J77" i="41"/>
  <c r="J39" i="41"/>
  <c r="I62" i="41"/>
  <c r="I45" i="41"/>
  <c r="I71" i="41"/>
  <c r="D61" i="55"/>
  <c r="E80" i="55"/>
  <c r="C75" i="55"/>
  <c r="F60" i="55"/>
  <c r="E43" i="55"/>
  <c r="C80" i="55"/>
  <c r="I80" i="41"/>
  <c r="L80" i="41" s="1"/>
  <c r="I33" i="41"/>
  <c r="G56" i="55"/>
  <c r="D80" i="55"/>
  <c r="G27" i="55"/>
  <c r="D71" i="55"/>
  <c r="F40" i="55"/>
  <c r="G73" i="55"/>
  <c r="E76" i="55"/>
  <c r="G34" i="55"/>
  <c r="F72" i="55"/>
  <c r="I57" i="41"/>
  <c r="I34" i="41"/>
  <c r="I69" i="41"/>
  <c r="E54" i="55"/>
  <c r="E38" i="55"/>
  <c r="E57" i="55"/>
  <c r="D35" i="55"/>
  <c r="E69" i="55"/>
  <c r="F41" i="55"/>
  <c r="F57" i="55"/>
  <c r="I46" i="41"/>
  <c r="I77" i="41"/>
  <c r="L77" i="41" s="1"/>
  <c r="F44" i="55"/>
  <c r="D36" i="55"/>
  <c r="F70" i="55"/>
  <c r="C30" i="55"/>
  <c r="G32" i="55"/>
  <c r="D58" i="55"/>
  <c r="I40" i="41"/>
  <c r="I51" i="41"/>
  <c r="D34" i="55"/>
  <c r="C58" i="55"/>
  <c r="E47" i="55"/>
  <c r="C34" i="55"/>
  <c r="C77" i="55"/>
  <c r="G70" i="55"/>
  <c r="I58" i="41"/>
  <c r="I36" i="41"/>
  <c r="D68" i="55"/>
  <c r="D75" i="55"/>
  <c r="D67" i="55"/>
  <c r="C67" i="55"/>
  <c r="E52" i="55"/>
  <c r="F46" i="55"/>
  <c r="I48" i="41"/>
  <c r="I59" i="41"/>
  <c r="G63" i="55"/>
  <c r="F37" i="55"/>
  <c r="C64" i="55"/>
  <c r="G33" i="55"/>
  <c r="F42" i="55"/>
  <c r="F76" i="55"/>
  <c r="F53" i="55"/>
  <c r="I66" i="41"/>
  <c r="I60" i="41"/>
  <c r="L60" i="41" s="1"/>
  <c r="E35" i="55"/>
  <c r="D70" i="55"/>
  <c r="E29" i="55"/>
  <c r="E36" i="55"/>
  <c r="D33" i="55"/>
  <c r="G76" i="55"/>
  <c r="I56" i="41"/>
  <c r="L56" i="41" s="1"/>
  <c r="I67" i="41"/>
  <c r="G74" i="55"/>
  <c r="F80" i="55"/>
  <c r="C70" i="55"/>
  <c r="D52" i="55"/>
  <c r="E68" i="55"/>
  <c r="C49" i="55"/>
  <c r="E72" i="55"/>
  <c r="F69" i="55"/>
  <c r="G30" i="55"/>
  <c r="F28" i="55"/>
  <c r="G42" i="55"/>
  <c r="I78" i="41"/>
  <c r="I76" i="41"/>
  <c r="E58" i="55"/>
  <c r="E56" i="55"/>
  <c r="D65" i="55"/>
  <c r="E28" i="55"/>
  <c r="G35" i="55"/>
  <c r="G36" i="55"/>
  <c r="I64" i="41"/>
  <c r="I75" i="41"/>
  <c r="D55" i="55"/>
  <c r="E45" i="55"/>
  <c r="E73" i="55"/>
  <c r="D53" i="55"/>
  <c r="F62" i="55"/>
  <c r="F38" i="55"/>
  <c r="G49" i="55"/>
  <c r="D32" i="55"/>
  <c r="C33" i="55"/>
  <c r="G43" i="55"/>
  <c r="D40" i="55"/>
  <c r="I37" i="41"/>
  <c r="I47" i="41"/>
  <c r="L47" i="41" s="1"/>
  <c r="E41" i="55"/>
  <c r="G51" i="55"/>
  <c r="G68" i="55"/>
  <c r="F67" i="55"/>
  <c r="F68" i="55"/>
  <c r="G54" i="55"/>
  <c r="I72" i="41"/>
  <c r="L72" i="41" s="1"/>
  <c r="I83" i="41"/>
  <c r="G62" i="55"/>
  <c r="D63" i="55"/>
  <c r="D64" i="55"/>
  <c r="I87" i="41"/>
  <c r="C46" i="55"/>
  <c r="I35" i="41"/>
  <c r="L35" i="41" s="1"/>
  <c r="C62" i="55"/>
  <c r="F33" i="55"/>
  <c r="D20" i="41"/>
  <c r="I43" i="41"/>
  <c r="F75" i="55"/>
  <c r="G48" i="55"/>
  <c r="L13" i="72"/>
  <c r="N13" i="72" s="1"/>
  <c r="F34" i="55"/>
  <c r="C44" i="55"/>
  <c r="F35" i="55"/>
  <c r="I63" i="41"/>
  <c r="I52" i="41"/>
  <c r="I65" i="41"/>
  <c r="I86" i="41"/>
  <c r="I54" i="41"/>
  <c r="C19" i="55"/>
  <c r="G61" i="55"/>
  <c r="E48" i="55"/>
  <c r="D43" i="55"/>
  <c r="E44" i="55"/>
  <c r="I55" i="41"/>
  <c r="I44" i="41"/>
  <c r="I61" i="41"/>
  <c r="L61" i="41" s="1"/>
  <c r="I82" i="41"/>
  <c r="I50" i="41"/>
  <c r="D48" i="55"/>
  <c r="F65" i="55"/>
  <c r="F64" i="55"/>
  <c r="I39" i="41"/>
  <c r="I85" i="41"/>
  <c r="I53" i="41"/>
  <c r="L53" i="41" s="1"/>
  <c r="I74" i="41"/>
  <c r="I42" i="41"/>
  <c r="M14" i="39"/>
  <c r="N14" i="39" s="1"/>
  <c r="F77" i="55"/>
  <c r="C43" i="55"/>
  <c r="E71" i="55"/>
  <c r="F31" i="55"/>
  <c r="I84" i="41"/>
  <c r="L84" i="41" s="1"/>
  <c r="I81" i="41"/>
  <c r="I49" i="41"/>
  <c r="L49" i="41" s="1"/>
  <c r="I70" i="41"/>
  <c r="L70" i="41" s="1"/>
  <c r="I38" i="41"/>
  <c r="F29" i="55"/>
  <c r="G55" i="55"/>
  <c r="G50" i="55"/>
  <c r="I79" i="41"/>
  <c r="I68" i="41"/>
  <c r="I73" i="41"/>
  <c r="L73" i="41" s="1"/>
  <c r="I41" i="41"/>
  <c r="L13" i="39"/>
  <c r="N13" i="39" s="1"/>
  <c r="C72" i="55"/>
  <c r="C48" i="55"/>
  <c r="C61" i="55"/>
  <c r="E55" i="55"/>
  <c r="D76" i="55"/>
  <c r="D38" i="55"/>
  <c r="C36" i="55"/>
  <c r="D39" i="55"/>
  <c r="F36" i="55"/>
  <c r="D41" i="55"/>
  <c r="G75" i="55"/>
  <c r="E65" i="55"/>
  <c r="F30" i="55"/>
  <c r="D46" i="55"/>
  <c r="D57" i="55"/>
  <c r="C54" i="55"/>
  <c r="C47" i="55"/>
  <c r="C41" i="55"/>
  <c r="G71" i="55"/>
  <c r="E39" i="55"/>
  <c r="C26" i="55"/>
  <c r="D73" i="55"/>
  <c r="G72" i="55"/>
  <c r="E64" i="55"/>
  <c r="D50" i="55"/>
  <c r="E31" i="55"/>
  <c r="C57" i="55"/>
  <c r="C59" i="55"/>
  <c r="D26" i="55"/>
  <c r="E33" i="55"/>
  <c r="G40" i="55"/>
  <c r="C29" i="55"/>
  <c r="D31" i="55"/>
  <c r="F49" i="55"/>
  <c r="D79" i="55"/>
  <c r="E40" i="55"/>
  <c r="D45" i="55"/>
  <c r="E34" i="55"/>
  <c r="C39" i="55"/>
  <c r="G60" i="55"/>
  <c r="D72" i="55"/>
  <c r="E49" i="55"/>
  <c r="E30" i="55"/>
  <c r="G47" i="55"/>
  <c r="G67" i="55"/>
  <c r="F47" i="55"/>
  <c r="C52" i="55"/>
  <c r="C76" i="55"/>
  <c r="C35" i="55"/>
  <c r="C32" i="55"/>
  <c r="F45" i="55"/>
  <c r="F58" i="55"/>
  <c r="C73" i="55"/>
  <c r="D27" i="55"/>
  <c r="G80" i="55"/>
  <c r="G59" i="55"/>
  <c r="E66" i="55"/>
  <c r="C40" i="55"/>
  <c r="E63" i="55"/>
  <c r="F26" i="55"/>
  <c r="C42" i="55"/>
  <c r="C27" i="55"/>
  <c r="G57" i="55"/>
  <c r="G37" i="55"/>
  <c r="G52" i="55"/>
  <c r="F54" i="55"/>
  <c r="G45" i="55"/>
  <c r="C71" i="55"/>
  <c r="C28" i="55"/>
  <c r="G66" i="55"/>
  <c r="C78" i="55"/>
  <c r="F56" i="55"/>
  <c r="F32" i="55"/>
  <c r="G44" i="55"/>
  <c r="F61" i="55"/>
  <c r="D54" i="55"/>
  <c r="F78" i="55"/>
  <c r="G41" i="55"/>
  <c r="I41" i="55" s="1"/>
  <c r="C56" i="55"/>
  <c r="E79" i="55"/>
  <c r="E42" i="55"/>
  <c r="E32" i="55"/>
  <c r="C53" i="55"/>
  <c r="D28" i="55"/>
  <c r="F79" i="55"/>
  <c r="D49" i="55"/>
  <c r="I49" i="55" s="1"/>
  <c r="G78" i="55"/>
  <c r="C51" i="55"/>
  <c r="F39" i="55"/>
  <c r="C55" i="55"/>
  <c r="G39" i="55"/>
  <c r="F48" i="55"/>
  <c r="C69" i="55"/>
  <c r="G46" i="55"/>
  <c r="C45" i="55"/>
  <c r="G38" i="55"/>
  <c r="F43" i="55"/>
  <c r="C50" i="55"/>
  <c r="F52" i="55"/>
  <c r="F51" i="55"/>
  <c r="D44" i="55"/>
  <c r="G53" i="55"/>
  <c r="E37" i="55"/>
  <c r="E50" i="55"/>
  <c r="E27" i="55"/>
  <c r="F66" i="55"/>
  <c r="E75" i="55"/>
  <c r="G79" i="55"/>
  <c r="E26" i="55"/>
  <c r="F74" i="55"/>
  <c r="C38" i="55"/>
  <c r="D60" i="55"/>
  <c r="E51" i="55"/>
  <c r="G64" i="55"/>
  <c r="D37" i="55"/>
  <c r="D29" i="55"/>
  <c r="G26" i="55"/>
  <c r="D62" i="55"/>
  <c r="C63" i="55"/>
  <c r="F27" i="55"/>
  <c r="G65" i="55"/>
  <c r="D30" i="55"/>
  <c r="D59" i="55"/>
  <c r="C68" i="55"/>
  <c r="G29" i="55"/>
  <c r="E70" i="55"/>
  <c r="F63" i="55"/>
  <c r="C65" i="55"/>
  <c r="F71" i="55"/>
  <c r="D51" i="55"/>
  <c r="G69" i="55"/>
  <c r="E62" i="55"/>
  <c r="C74" i="55"/>
  <c r="G28" i="55"/>
  <c r="E59" i="55"/>
  <c r="F59" i="55"/>
  <c r="F55" i="55"/>
  <c r="G31" i="55"/>
  <c r="C31" i="55"/>
  <c r="G58" i="55"/>
  <c r="D56" i="55"/>
  <c r="D42" i="55"/>
  <c r="C60" i="55"/>
  <c r="E46" i="55"/>
  <c r="E74" i="55"/>
  <c r="E61" i="55"/>
  <c r="F73" i="55"/>
  <c r="D77" i="55"/>
  <c r="E77" i="55"/>
  <c r="D69" i="55"/>
  <c r="D47" i="55"/>
  <c r="C66" i="55"/>
  <c r="G77" i="55"/>
  <c r="C79" i="55"/>
  <c r="D66" i="55"/>
  <c r="D78" i="55"/>
  <c r="F50" i="55"/>
  <c r="E67" i="55"/>
  <c r="E53" i="55"/>
  <c r="E78" i="55"/>
  <c r="C37" i="55"/>
  <c r="D74" i="55"/>
  <c r="E60" i="55"/>
  <c r="J34" i="41"/>
  <c r="L34" i="41" s="1"/>
  <c r="J45" i="41"/>
  <c r="J79" i="41"/>
  <c r="J42" i="41"/>
  <c r="J51" i="41"/>
  <c r="L51" i="41" s="1"/>
  <c r="J83" i="41"/>
  <c r="L83" i="41" s="1"/>
  <c r="J58" i="41"/>
  <c r="L58" i="41" s="1"/>
  <c r="J59" i="41"/>
  <c r="J33" i="41"/>
  <c r="J66" i="41"/>
  <c r="J63" i="41"/>
  <c r="J74" i="41"/>
  <c r="J67" i="41"/>
  <c r="J50" i="41"/>
  <c r="J55" i="41"/>
  <c r="J87" i="41"/>
  <c r="L87" i="41" s="1"/>
  <c r="J82" i="41"/>
  <c r="J71" i="41"/>
  <c r="L71" i="41" s="1"/>
  <c r="J37" i="41"/>
  <c r="J75" i="41"/>
  <c r="L75" i="41" s="1"/>
  <c r="L14" i="67"/>
  <c r="M14" i="67"/>
  <c r="L43" i="41"/>
  <c r="L48" i="41"/>
  <c r="L52" i="41"/>
  <c r="L41" i="41"/>
  <c r="L86" i="41"/>
  <c r="L78" i="41"/>
  <c r="L46" i="41"/>
  <c r="D8" i="39"/>
  <c r="E7" i="40"/>
  <c r="R13" i="40"/>
  <c r="E6" i="40"/>
  <c r="N13" i="40"/>
  <c r="D7" i="40" s="1"/>
  <c r="H13" i="40"/>
  <c r="D5" i="40" s="1"/>
  <c r="M13" i="40"/>
  <c r="G13" i="40"/>
  <c r="E5" i="40"/>
  <c r="Q13" i="40"/>
  <c r="D8" i="40" s="1"/>
  <c r="J13" i="40"/>
  <c r="E8" i="40"/>
  <c r="K13" i="40"/>
  <c r="D6" i="40" s="1"/>
  <c r="P13" i="40"/>
  <c r="S13" i="40"/>
  <c r="L14" i="72"/>
  <c r="M14" i="72"/>
  <c r="C6" i="72" s="1"/>
  <c r="O13" i="67"/>
  <c r="L40" i="41"/>
  <c r="I48" i="55"/>
  <c r="L76" i="41"/>
  <c r="L44" i="41"/>
  <c r="L85" i="41"/>
  <c r="L69" i="41"/>
  <c r="L68" i="41" l="1"/>
  <c r="L39" i="41"/>
  <c r="L79" i="41"/>
  <c r="L74" i="41"/>
  <c r="L82" i="41"/>
  <c r="L67" i="41"/>
  <c r="L62" i="41"/>
  <c r="I80" i="55"/>
  <c r="L45" i="41"/>
  <c r="F18" i="55"/>
  <c r="I35" i="55"/>
  <c r="L57" i="41"/>
  <c r="L37" i="41"/>
  <c r="L81" i="41"/>
  <c r="L54" i="41"/>
  <c r="I75" i="55"/>
  <c r="L50" i="41"/>
  <c r="L38" i="41"/>
  <c r="L65" i="41"/>
  <c r="I76" i="55"/>
  <c r="I64" i="55"/>
  <c r="I38" i="55"/>
  <c r="I33" i="55"/>
  <c r="L64" i="41"/>
  <c r="I44" i="55"/>
  <c r="I67" i="55"/>
  <c r="I70" i="55"/>
  <c r="I34" i="55"/>
  <c r="L63" i="41"/>
  <c r="I36" i="55"/>
  <c r="I27" i="55"/>
  <c r="I32" i="55"/>
  <c r="I62" i="55"/>
  <c r="L55" i="41"/>
  <c r="I31" i="55"/>
  <c r="I30" i="55"/>
  <c r="I57" i="55"/>
  <c r="I61" i="55"/>
  <c r="I46" i="55"/>
  <c r="F17" i="55"/>
  <c r="I43" i="55"/>
  <c r="D9" i="39"/>
  <c r="D19" i="41" s="1"/>
  <c r="I37" i="55"/>
  <c r="L66" i="41"/>
  <c r="I45" i="55"/>
  <c r="I53" i="55"/>
  <c r="I69" i="55"/>
  <c r="G17" i="55"/>
  <c r="L59" i="41"/>
  <c r="I56" i="55"/>
  <c r="L36" i="41"/>
  <c r="I68" i="55"/>
  <c r="I54" i="55"/>
  <c r="I60" i="55"/>
  <c r="I65" i="55"/>
  <c r="L33" i="41"/>
  <c r="I74" i="55"/>
  <c r="I42" i="55"/>
  <c r="I73" i="55"/>
  <c r="G18" i="55"/>
  <c r="I77" i="55"/>
  <c r="I28" i="55"/>
  <c r="I71" i="55"/>
  <c r="F81" i="55"/>
  <c r="I58" i="55"/>
  <c r="G81" i="55"/>
  <c r="I40" i="55"/>
  <c r="I59" i="55"/>
  <c r="E81" i="55"/>
  <c r="I50" i="55"/>
  <c r="I55" i="55"/>
  <c r="I47" i="55"/>
  <c r="I72" i="55"/>
  <c r="I51" i="55"/>
  <c r="I29" i="55"/>
  <c r="I63" i="55"/>
  <c r="I52" i="55"/>
  <c r="E9" i="40"/>
  <c r="I79" i="55"/>
  <c r="C81" i="55"/>
  <c r="I66" i="55"/>
  <c r="L42" i="41"/>
  <c r="I78" i="55"/>
  <c r="I39" i="55"/>
  <c r="D81" i="55"/>
  <c r="I26" i="55"/>
  <c r="N14" i="67"/>
  <c r="L13" i="67"/>
  <c r="M13" i="67"/>
  <c r="C6" i="67" s="1"/>
  <c r="N14" i="72"/>
  <c r="C4" i="72"/>
  <c r="C8" i="72" s="1"/>
  <c r="D9" i="40"/>
  <c r="D17" i="41" s="1"/>
  <c r="D18" i="41"/>
  <c r="F19" i="55" l="1"/>
  <c r="I17" i="55"/>
  <c r="E8" i="39"/>
  <c r="G19" i="55"/>
  <c r="I18" i="55"/>
  <c r="I81" i="55"/>
  <c r="D22" i="41"/>
  <c r="D29" i="41" s="1"/>
  <c r="N13" i="67"/>
  <c r="C4" i="67"/>
  <c r="C8" i="67" s="1"/>
  <c r="H10" i="55" s="1"/>
  <c r="I10" i="55" s="1"/>
  <c r="I19" i="55" l="1"/>
</calcChain>
</file>

<file path=xl/sharedStrings.xml><?xml version="1.0" encoding="utf-8"?>
<sst xmlns="http://schemas.openxmlformats.org/spreadsheetml/2006/main" count="823" uniqueCount="407">
  <si>
    <t>Country</t>
  </si>
  <si>
    <t xml:space="preserve">Before completing this table please read carefully the instructions available on </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</si>
  <si>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</si>
  <si>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</si>
  <si>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</si>
  <si>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</si>
  <si>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</si>
  <si>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</si>
  <si>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</si>
  <si>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</si>
  <si>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</si>
  <si>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</si>
  <si>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</si>
  <si>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</si>
  <si>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</si>
  <si>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</si>
  <si>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</si>
  <si>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</si>
  <si>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</si>
  <si>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</si>
  <si>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</si>
  <si>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</si>
  <si>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</si>
  <si>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</si>
  <si>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</si>
  <si>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</si>
  <si>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</si>
  <si>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</si>
  <si>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</si>
  <si>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</si>
  <si>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</si>
  <si>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</si>
  <si>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</si>
  <si>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</si>
  <si>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</si>
  <si>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</si>
  <si>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</si>
  <si>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</si>
  <si>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</si>
  <si>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</si>
  <si>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</si>
  <si>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</si>
  <si>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</si>
  <si>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</si>
  <si>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</si>
  <si>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</si>
  <si>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</si>
  <si>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</si>
  <si>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</si>
  <si>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</si>
  <si>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</si>
  <si>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</si>
  <si>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</si>
  <si>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</si>
  <si>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</si>
  <si>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</si>
  <si>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</si>
  <si>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</si>
  <si>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</si>
  <si>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</si>
  <si>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</si>
  <si>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</si>
  <si>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</si>
  <si>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</si>
  <si>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</si>
  <si>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</si>
  <si>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</si>
  <si>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</si>
  <si>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</si>
  <si>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</si>
  <si>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</si>
  <si>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</si>
  <si>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</si>
  <si>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</si>
  <si>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</si>
  <si>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</si>
  <si>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</si>
  <si>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</si>
  <si>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</si>
  <si>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</si>
  <si>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</si>
  <si>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</si>
  <si>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</si>
  <si>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</si>
  <si>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</si>
  <si>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</si>
  <si>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</si>
  <si>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</si>
  <si>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</si>
  <si>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</si>
  <si>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</si>
  <si>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</si>
  <si>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</si>
  <si>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</si>
  <si>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</si>
  <si>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</si>
  <si>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</si>
  <si>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</si>
  <si>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</si>
  <si>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</si>
  <si>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</si>
  <si>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</si>
  <si>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</si>
  <si>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</si>
  <si>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</si>
  <si>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</si>
  <si>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</si>
  <si>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</si>
  <si>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</si>
  <si>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</si>
  <si>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</si>
  <si>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</si>
  <si>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</si>
  <si>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</si>
  <si>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</si>
  <si>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</si>
  <si>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</si>
  <si>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</si>
  <si>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</si>
  <si>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</si>
  <si>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</si>
  <si>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</si>
  <si>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</si>
  <si>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</si>
  <si>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</si>
  <si>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</si>
  <si>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</si>
  <si>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</si>
  <si>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</si>
  <si>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</si>
  <si>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</si>
  <si>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</si>
  <si>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TOTAL</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</si>
  <si>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</si>
  <si>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</si>
  <si>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</si>
  <si>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</si>
  <si>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</si>
  <si>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</si>
  <si>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</si>
  <si>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</si>
  <si>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</si>
  <si>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</si>
  <si>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</si>
  <si>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</si>
  <si>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</si>
  <si>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</si>
  <si>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</si>
  <si>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</si>
  <si>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</si>
  <si>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</si>
  <si>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</si>
  <si>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</si>
  <si>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</si>
  <si>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</si>
  <si>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</si>
  <si>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</si>
  <si>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</si>
  <si>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</si>
  <si>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</si>
  <si>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Travel Costs</t>
  </si>
  <si>
    <t>P13</t>
  </si>
  <si>
    <t>Staff Costs</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</si>
  <si>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</si>
  <si>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</si>
  <si>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</si>
  <si>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</si>
  <si>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</si>
  <si>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</si>
  <si>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</si>
  <si>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</si>
  <si>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</si>
  <si>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</si>
  <si>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</si>
  <si>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</si>
  <si>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</si>
  <si>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</si>
  <si>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</si>
  <si>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</si>
  <si>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</si>
  <si>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</si>
  <si>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</si>
  <si>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</si>
  <si>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</si>
  <si>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</si>
  <si>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</si>
  <si>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</si>
  <si>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</si>
  <si>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</si>
  <si>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</si>
  <si>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</si>
  <si>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</si>
  <si>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</si>
  <si>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Subsistence Costs</t>
  </si>
  <si>
    <t>Subsistence
Costs
(EUR)</t>
  </si>
  <si>
    <t>2. Travel Costs</t>
  </si>
  <si>
    <t>3. Costs of Stay</t>
  </si>
  <si>
    <t>Item*</t>
  </si>
  <si>
    <t>Source of Co-financing**</t>
  </si>
  <si>
    <t>Justification***</t>
  </si>
  <si>
    <t>1. Staff 
Costs</t>
  </si>
  <si>
    <t>2. Travel 
Costs</t>
  </si>
  <si>
    <t>3. Costs of 
Stay</t>
  </si>
  <si>
    <t>4. Equipment 
Costs</t>
  </si>
  <si>
    <t>5. Subcontracting 
Costs</t>
  </si>
  <si>
    <t>B. Special Mobility 
Strand</t>
  </si>
  <si>
    <t>A. Grant for Project Activities</t>
  </si>
  <si>
    <t>Total Grant requested from the European Union (A + B)</t>
  </si>
  <si>
    <t>Programme Countries</t>
  </si>
  <si>
    <t>Partner Countries</t>
  </si>
  <si>
    <t>Total Number 
of Days</t>
  </si>
  <si>
    <t>Information for the Co-financing</t>
  </si>
  <si>
    <t>3. Costs 
of Stay</t>
  </si>
  <si>
    <t>4. Equipment
Costs</t>
  </si>
  <si>
    <t>5. Subcontracting
Costs</t>
  </si>
  <si>
    <t>B. Special 
Mobility Strand</t>
  </si>
  <si>
    <t>Budget Breakdown by Programme or Partner Countries / Budget Headings</t>
  </si>
  <si>
    <t>Partner
N°</t>
  </si>
  <si>
    <t>Budget Breakdown by Partner / Work Package</t>
  </si>
  <si>
    <t>Category</t>
  </si>
  <si>
    <t>Students from Partner Countries</t>
  </si>
  <si>
    <t>Students from Programme Countries</t>
  </si>
  <si>
    <t>Number of 
days</t>
  </si>
  <si>
    <t>Number of 
months (per participant)</t>
  </si>
  <si>
    <t>Staff from Partner Countries</t>
  </si>
  <si>
    <t>Staff from Programme Countries</t>
  </si>
  <si>
    <t>Staff</t>
  </si>
  <si>
    <t>Number of 
days (per participant)</t>
  </si>
  <si>
    <t>Student</t>
  </si>
  <si>
    <t>Unit cost 
per day</t>
  </si>
  <si>
    <t>Travel Distance</t>
  </si>
  <si>
    <t>Number of 
Participants</t>
  </si>
  <si>
    <t>Receiving country</t>
  </si>
  <si>
    <t>Student/
Staff</t>
  </si>
  <si>
    <t>Number of 
Days</t>
  </si>
  <si>
    <t>Partner N°</t>
  </si>
  <si>
    <t>Value cannot exceed 80% of total A</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</si>
  <si>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</si>
  <si>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</si>
  <si>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</si>
  <si>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</si>
  <si>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</si>
  <si>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</si>
  <si>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</si>
  <si>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</si>
  <si>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</si>
  <si>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</si>
  <si>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</si>
  <si>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</si>
  <si>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</si>
  <si>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</si>
  <si>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B - Special Mobility Strand</t>
  </si>
  <si>
    <t>Subsistence costs for Special Mobility Strand</t>
  </si>
  <si>
    <t xml:space="preserve">* Link to CBHE Call for proposal, forms, annexes and guidelines: </t>
  </si>
  <si>
    <t>B. Special Mobility Strand - Student</t>
  </si>
  <si>
    <t>B. Special Mobility Strand - Staff</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</si>
  <si>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</si>
  <si>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</si>
  <si>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</si>
  <si>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</si>
  <si>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</si>
  <si>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</si>
  <si>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</si>
  <si>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</si>
  <si>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</si>
  <si>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</si>
  <si>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</si>
  <si>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</si>
  <si>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</si>
  <si>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</si>
  <si>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</si>
  <si>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</si>
  <si>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</si>
  <si>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</si>
  <si>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</si>
  <si>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</si>
  <si>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</si>
  <si>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</si>
  <si>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</si>
  <si>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</si>
  <si>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</si>
  <si>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</si>
  <si>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</si>
  <si>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</si>
  <si>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</si>
  <si>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</si>
  <si>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</si>
  <si>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</si>
  <si>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</si>
  <si>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</si>
  <si>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</si>
  <si>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</si>
  <si>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</si>
  <si>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</si>
  <si>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</si>
  <si>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</si>
  <si>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</si>
  <si>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</si>
  <si>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</si>
  <si>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</si>
  <si>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</si>
  <si>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</si>
  <si>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</si>
  <si>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</si>
  <si>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</si>
  <si>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</si>
  <si>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</si>
  <si>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</si>
  <si>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</si>
  <si>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</si>
  <si>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</si>
  <si>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</si>
  <si>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</si>
  <si>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</si>
  <si>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</si>
  <si>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</si>
  <si>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</si>
  <si>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</si>
  <si>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</si>
  <si>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</si>
  <si>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</si>
  <si>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</si>
  <si>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</si>
  <si>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</si>
  <si>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</si>
  <si>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</si>
  <si>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</si>
  <si>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</si>
  <si>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</si>
  <si>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0 KM and 99 KM</t>
  </si>
  <si>
    <t>Action Type</t>
  </si>
  <si>
    <t>Duration</t>
  </si>
  <si>
    <t>Structural Project</t>
  </si>
  <si>
    <t>Joint Project</t>
  </si>
  <si>
    <t>B. Additional Grant for Special Mobility Strand</t>
  </si>
  <si>
    <t>Number of Participants</t>
  </si>
  <si>
    <t>Work Package</t>
  </si>
  <si>
    <t>Students from Partner Countries
(per month)</t>
  </si>
  <si>
    <t>Students from Programme Countries
(per month)</t>
  </si>
  <si>
    <t>Staff from Programme Countries
(per day)</t>
  </si>
  <si>
    <t>Travel Costs Student (EUR)</t>
  </si>
  <si>
    <t>Costs of Stay Student (EUR)</t>
  </si>
  <si>
    <t>Travel Costs Staff (EUR)</t>
  </si>
  <si>
    <t>Costs of Stay Staff (EUR)</t>
  </si>
  <si>
    <t>Total Travel Costs (EUR)</t>
  </si>
  <si>
    <t>Total Costs of Stay (EUR)</t>
  </si>
  <si>
    <t>Amounts
(in EUR)</t>
  </si>
  <si>
    <t>Total 
Costs (in EUR)</t>
  </si>
  <si>
    <t>Country
SMS</t>
  </si>
  <si>
    <t>SMS</t>
  </si>
  <si>
    <t>Category 2</t>
  </si>
  <si>
    <t>Sri Lanka</t>
  </si>
  <si>
    <t>El Salvador</t>
  </si>
  <si>
    <t>CALL FOR PROPOSALS 2016 – EAC/A04/2015 - Erasmus+ Programme (2015/C 347/06)</t>
  </si>
  <si>
    <t>Capacity Building in the field of higher education</t>
  </si>
  <si>
    <t>http://ec.europa.eu/programmes/erasmus-plus/discover/guide/index_en.htm</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</si>
  <si>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</si>
  <si>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r>
      <t xml:space="preserve">Unit costs
</t>
    </r>
    <r>
      <rPr>
        <b/>
        <sz val="11"/>
        <color theme="1"/>
        <rFont val="Calibri"/>
        <family val="2"/>
      </rPr>
      <t>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r>
  </si>
  <si>
    <t>Administrative
Staff</t>
  </si>
  <si>
    <t>Administrative Staff</t>
  </si>
  <si>
    <t>Technical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</si>
  <si>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</si>
  <si>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</si>
  <si>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</si>
  <si>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r>
      <rPr>
        <b/>
        <u/>
        <sz val="11"/>
        <color theme="1"/>
        <rFont val="Calibri"/>
        <family val="2"/>
      </rPr>
      <t>Travel costs (students and staff):</t>
    </r>
    <r>
      <rPr>
        <b/>
        <sz val="11"/>
        <color theme="1"/>
        <rFont val="Calibri"/>
        <family val="2"/>
      </rPr>
      <t xml:space="preserve">  Unit costs (please refer to unit costs in table A2).
Contribution to the travel costs of students and staff involved in the project, from their place of origin to the venue of the activity and return (including visa fee and related obligatory insurance, travel insurance and cancellation costs if justified).
Activities and related travels must be carried out in the countries involved in the project. Any exception to this rule must be authorised by the Agency. For the detailed list of eligible activities, see Annex I of this Guide.
</t>
    </r>
    <r>
      <rPr>
        <b/>
        <u/>
        <sz val="11"/>
        <color theme="1"/>
        <rFont val="Calibri"/>
        <family val="2"/>
      </rPr>
      <t xml:space="preserve">Subsistence costs: </t>
    </r>
    <r>
      <rPr>
        <b/>
        <sz val="11"/>
        <color theme="1"/>
        <rFont val="Calibri"/>
        <family val="2"/>
      </rPr>
      <t xml:space="preserve"> Unit costs based on the duration of the stay of the participants.
Costs for subsistence, accommodation, local and public transport such as bus and taxi, personal or optional health insurance. Based on the duration of the stay per participant.</t>
    </r>
  </si>
  <si>
    <t>Saint Lucia</t>
  </si>
  <si>
    <t>Quality Plan</t>
  </si>
  <si>
    <t>Staff from 
Partner Countries
(per day)</t>
  </si>
  <si>
    <r>
      <t xml:space="preserve">Costs for subsistence, accommodation, local and public transport such as bus and taxi, personal or optional health insurance.
Unit costs based on the duration of the stay of the participants:
</t>
    </r>
    <r>
      <rPr>
        <b/>
        <u/>
        <sz val="11"/>
        <color theme="1"/>
        <rFont val="Calibri"/>
        <family val="2"/>
      </rPr>
      <t>Staff:</t>
    </r>
    <r>
      <rPr>
        <b/>
        <sz val="11"/>
        <color theme="1"/>
        <rFont val="Calibri"/>
        <family val="2"/>
      </rPr>
      <t xml:space="preserve"> 
120 EUR/day from day 1 to day 14
70 EUR/day from day 15 to day 60
50 EUR/day from day 61 to day 90 (the maximum)
</t>
    </r>
    <r>
      <rPr>
        <b/>
        <u/>
        <sz val="11"/>
        <color theme="1"/>
        <rFont val="Calibri"/>
        <family val="2"/>
      </rPr>
      <t>Student:</t>
    </r>
    <r>
      <rPr>
        <b/>
        <sz val="11"/>
        <color theme="1"/>
        <rFont val="Calibri"/>
        <family val="2"/>
      </rPr>
      <t xml:space="preserve"> 
55 EUR/day from day 1 to day 14
40 EUR/day from day 15 to max day 90 (the maximum)</t>
    </r>
  </si>
  <si>
    <t xml:space="preserve">* Link to Erasmus+ Programme guide 2016: </t>
  </si>
  <si>
    <t>http://eacea.ec.europa.eu/erasmus-plus/funding/capacity-building-in-field-higher-education-eaca042015_en</t>
  </si>
  <si>
    <r>
      <rPr>
        <b/>
        <sz val="16"/>
        <rFont val="Calibri"/>
        <family val="2"/>
      </rPr>
      <t>UNIT COSTS AND SUMMARY OF THE FUNDING RULES FOR  JOINT AND STRUCTURAL CAPACITY BUILDING PROJECTS</t>
    </r>
    <r>
      <rPr>
        <b/>
        <sz val="12"/>
        <rFont val="Calibri"/>
        <family val="2"/>
      </rPr>
      <t xml:space="preserve">
You can find below the unit costs values used in this file for the calculation of the grant.
Please refer to the </t>
    </r>
    <r>
      <rPr>
        <b/>
        <i/>
        <sz val="12"/>
        <color theme="1"/>
        <rFont val="Calibri"/>
        <family val="2"/>
      </rPr>
      <t>Erasmus+ Programme guide 2016*</t>
    </r>
    <r>
      <rPr>
        <b/>
        <sz val="12"/>
        <color theme="1"/>
        <rFont val="Calibri"/>
        <family val="2"/>
      </rPr>
      <t xml:space="preserve"> </t>
    </r>
    <r>
      <rPr>
        <b/>
        <sz val="12"/>
        <rFont val="Calibri"/>
        <family val="2"/>
      </rPr>
      <t>for a complete overview of the funding rules applying to the Joint and Structural Capacity Building Projects</t>
    </r>
    <r>
      <rPr>
        <b/>
        <sz val="12"/>
        <color rgb="FFFF0000"/>
        <rFont val="Calibri"/>
        <family val="2"/>
      </rPr>
      <t xml:space="preserve"> </t>
    </r>
    <r>
      <rPr>
        <b/>
        <sz val="12"/>
        <color theme="1"/>
        <rFont val="Calibri"/>
        <family val="2"/>
      </rPr>
      <t>(Part B of the guide and Annex 1).</t>
    </r>
  </si>
  <si>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</si>
  <si>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</si>
  <si>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</si>
  <si>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</si>
  <si>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</si>
  <si>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</si>
  <si>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</si>
  <si>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</si>
  <si>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</si>
  <si>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</si>
  <si>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</si>
  <si>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University of Patras</t>
  </si>
  <si>
    <t>Wroclaw Technical University</t>
  </si>
  <si>
    <t>Koblenz-Landau University</t>
  </si>
  <si>
    <t>Kyrgyz State Technical University</t>
  </si>
  <si>
    <t>Bishkek Academy of Finance and Economics</t>
  </si>
  <si>
    <t>Osh Technological University</t>
  </si>
  <si>
    <t>Ministry of Education of Kyrgyzstan</t>
  </si>
  <si>
    <t>Khujand State University</t>
  </si>
  <si>
    <t>Khorog State University</t>
  </si>
  <si>
    <t>Tajik Pedagogical University</t>
  </si>
  <si>
    <t>Center of development and support of VET education</t>
  </si>
  <si>
    <t>Ministry of Education of Tajikistan</t>
  </si>
  <si>
    <t>KIMEP University, JSC</t>
  </si>
  <si>
    <t>Al-Farabi Kazakhstan National University</t>
  </si>
  <si>
    <t>Kazakhstan National Technical University</t>
  </si>
  <si>
    <t xml:space="preserve">Altynsarin National Academy of Education </t>
  </si>
  <si>
    <t>Ministry of Education and Science of Kazakhstan</t>
  </si>
  <si>
    <t>DYNACOMP</t>
  </si>
  <si>
    <t>Trento University</t>
  </si>
  <si>
    <t>Nanjing University</t>
  </si>
  <si>
    <t>Nanjing University of Science and Technology</t>
  </si>
  <si>
    <t>WOW-trans inc.</t>
  </si>
  <si>
    <t>Bologna Process and Acadrmic Mobolity Center</t>
  </si>
  <si>
    <t>Business Association Osh JIA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</si>
</sst>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8"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b/>
      <sz val="11"/>
      <color theme="1"/>
      <name val="Calibri"/>
      <family val="2"/>
      <scheme val="minor"/>
    </font>
    <font>
      <sz val="14"/>
      <color rgb="FFFF0000"/>
      <name val="Arial Narrow"/>
      <family val="2"/>
    </font>
    <font>
      <b/>
      <sz val="14"/>
      <color rgb="FFFF0000"/>
      <name val="Arial Narrow"/>
      <family val="2"/>
    </font>
    <font>
      <b/>
      <sz val="14"/>
      <color theme="1"/>
      <name val="Arial Narrow"/>
      <family val="2"/>
    </font>
    <font>
      <b/>
      <sz val="14"/>
      <color theme="0"/>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sz val="14"/>
      <color theme="0"/>
      <name val="Arial Narrow"/>
      <family val="2"/>
    </font>
    <font>
      <i/>
      <sz val="14"/>
      <name val="Arial Narrow"/>
      <family val="2"/>
    </font>
    <font>
      <u/>
      <sz val="11"/>
      <color theme="10"/>
      <name val="Calibri"/>
      <family val="2"/>
      <scheme val="minor"/>
    </font>
    <font>
      <sz val="11"/>
      <color rgb="FFFF0000"/>
      <name val="Calibri"/>
      <family val="2"/>
      <scheme val="minor"/>
    </font>
    <font>
      <b/>
      <sz val="12"/>
      <color rgb="FFFF0000"/>
      <name val="Calibri"/>
      <family val="2"/>
    </font>
    <font>
      <u/>
      <sz val="10"/>
      <color rgb="FFFF0000"/>
      <name val="Arial"/>
      <family val="2"/>
    </font>
    <font>
      <u/>
      <sz val="11"/>
      <color rgb="FFFF0000"/>
      <name val="Calibri"/>
      <family val="2"/>
      <scheme val="minor"/>
    </font>
    <font>
      <sz val="14"/>
      <color rgb="FFFF0000"/>
      <name val="Calibri"/>
      <family val="2"/>
      <scheme val="minor"/>
    </font>
    <font>
      <sz val="12"/>
      <name val="Arial"/>
      <family val="2"/>
    </font>
    <font>
      <b/>
      <sz val="10"/>
      <name val="Calibri"/>
      <family val="2"/>
    </font>
    <font>
      <b/>
      <sz val="12"/>
      <name val="Calibri"/>
      <family val="2"/>
    </font>
    <font>
      <b/>
      <sz val="16"/>
      <name val="Calibri"/>
      <family val="2"/>
    </font>
    <font>
      <b/>
      <sz val="12"/>
      <name val="Calibri"/>
      <family val="2"/>
      <scheme val="minor"/>
    </font>
    <font>
      <b/>
      <sz val="14"/>
      <color theme="1"/>
      <name val="Calibri"/>
      <family val="2"/>
      <scheme val="minor"/>
    </font>
    <font>
      <b/>
      <u/>
      <sz val="11"/>
      <color theme="1"/>
      <name val="Calibri"/>
      <family val="2"/>
    </font>
    <font>
      <b/>
      <sz val="11"/>
      <color theme="1"/>
      <name val="Calibri"/>
      <family val="2"/>
    </font>
    <font>
      <b/>
      <sz val="12"/>
      <name val="Arial"/>
      <family val="2"/>
    </font>
    <font>
      <b/>
      <sz val="18"/>
      <color theme="1"/>
      <name val="Arial Narrow"/>
      <family val="2"/>
    </font>
    <font>
      <b/>
      <i/>
      <sz val="12"/>
      <color theme="1"/>
      <name val="Calibri"/>
      <family val="2"/>
    </font>
    <font>
      <b/>
      <sz val="12"/>
      <color theme="1"/>
      <name val="Calibri"/>
      <family val="2"/>
    </font>
    <font>
      <b/>
      <sz val="14"/>
      <color rgb="FFFF0000"/>
      <name val="Calibri"/>
      <family val="2"/>
      <charset val="204"/>
    </font>
  </fonts>
  <fills count="10">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9" fillId="0" borderId="0" applyNumberFormat="0" applyFill="0" applyBorder="0" applyAlignment="0" applyProtection="0"/>
  </cellStyleXfs>
  <cellXfs count="233">
    <xf numFmtId="0" fontId="0" fillId="0" borderId="0" xfId="0"/>
    <xf numFmtId="0" fontId="0" fillId="0" borderId="0" xfId="0" applyFont="1" applyProtection="1"/>
    <xf numFmtId="0" fontId="6" fillId="3" borderId="1" xfId="0" applyFont="1" applyFill="1" applyBorder="1" applyAlignment="1" applyProtection="1">
      <alignment horizontal="center" vertical="center"/>
    </xf>
    <xf numFmtId="0" fontId="6" fillId="3" borderId="1" xfId="0" applyFont="1" applyFill="1" applyBorder="1" applyAlignment="1" applyProtection="1">
      <alignment horizontal="center" vertical="center" wrapText="1"/>
    </xf>
    <xf numFmtId="0" fontId="0" fillId="0" borderId="1" xfId="0" applyFont="1" applyBorder="1" applyProtection="1"/>
    <xf numFmtId="4" fontId="0" fillId="0" borderId="1" xfId="0" applyNumberFormat="1" applyFont="1" applyBorder="1" applyProtection="1"/>
    <xf numFmtId="4" fontId="0" fillId="0" borderId="1" xfId="0" applyNumberFormat="1" applyFont="1" applyBorder="1" applyAlignment="1" applyProtection="1">
      <alignment horizontal="right" vertical="center"/>
    </xf>
    <xf numFmtId="4" fontId="0" fillId="0" borderId="1" xfId="0" applyNumberFormat="1" applyBorder="1" applyAlignment="1" applyProtection="1">
      <alignment vertical="center"/>
    </xf>
    <xf numFmtId="4" fontId="0" fillId="0" borderId="1" xfId="0" applyNumberFormat="1" applyBorder="1" applyAlignment="1" applyProtection="1">
      <alignment horizontal="right" vertical="center"/>
    </xf>
    <xf numFmtId="0" fontId="6" fillId="3" borderId="1" xfId="0" applyNumberFormat="1" applyFont="1" applyFill="1" applyBorder="1" applyAlignment="1" applyProtection="1">
      <alignment horizontal="center" vertical="center" wrapText="1"/>
    </xf>
    <xf numFmtId="0" fontId="0" fillId="0" borderId="0" xfId="0" applyFont="1" applyBorder="1" applyProtection="1"/>
    <xf numFmtId="0" fontId="0" fillId="0" borderId="0" xfId="0" applyFont="1" applyFill="1" applyBorder="1" applyProtection="1"/>
    <xf numFmtId="1" fontId="0" fillId="0" borderId="0" xfId="0" applyNumberFormat="1" applyFont="1" applyProtection="1"/>
    <xf numFmtId="1" fontId="0" fillId="0" borderId="1" xfId="0" applyNumberFormat="1" applyFont="1" applyFill="1" applyBorder="1" applyAlignment="1" applyProtection="1">
      <alignment horizontal="center" vertical="center"/>
    </xf>
    <xf numFmtId="4" fontId="0" fillId="0" borderId="0" xfId="0" applyNumberFormat="1" applyFont="1" applyFill="1" applyBorder="1" applyProtection="1"/>
    <xf numFmtId="0" fontId="5" fillId="3" borderId="1" xfId="0" applyFont="1" applyFill="1" applyBorder="1" applyAlignment="1" applyProtection="1">
      <alignment horizontal="center" vertical="center"/>
      <protection hidden="1"/>
    </xf>
    <xf numFmtId="0" fontId="4" fillId="0" borderId="0" xfId="0" applyFont="1" applyFill="1" applyBorder="1" applyAlignment="1" applyProtection="1"/>
    <xf numFmtId="0" fontId="4" fillId="0" borderId="0" xfId="0" applyFont="1" applyFill="1" applyBorder="1" applyAlignment="1" applyProtection="1">
      <alignment horizontal="left"/>
    </xf>
    <xf numFmtId="0" fontId="7"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0" fontId="5" fillId="0" borderId="0" xfId="0" applyFont="1" applyFill="1" applyBorder="1" applyAlignment="1" applyProtection="1">
      <alignment horizontal="left" vertical="center"/>
      <protection hidden="1"/>
    </xf>
    <xf numFmtId="164" fontId="5" fillId="0" borderId="0" xfId="0" applyNumberFormat="1" applyFont="1" applyFill="1" applyBorder="1" applyAlignment="1" applyProtection="1">
      <alignment horizontal="right" vertical="center"/>
      <protection hidden="1"/>
    </xf>
    <xf numFmtId="0" fontId="10" fillId="0" borderId="0" xfId="0" applyNumberFormat="1" applyFont="1" applyFill="1" applyBorder="1" applyAlignment="1" applyProtection="1">
      <alignment horizontal="left" vertical="center"/>
      <protection hidden="1"/>
    </xf>
    <xf numFmtId="4" fontId="9" fillId="0" borderId="0" xfId="0" applyNumberFormat="1" applyFont="1" applyFill="1" applyBorder="1" applyAlignment="1" applyProtection="1">
      <alignment horizontal="left" vertical="center"/>
      <protection hidden="1"/>
    </xf>
    <xf numFmtId="0" fontId="5" fillId="3" borderId="1" xfId="0" applyFont="1" applyFill="1" applyBorder="1" applyAlignment="1" applyProtection="1">
      <alignment horizontal="center" vertical="center" wrapText="1"/>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4" fillId="6"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0" fontId="5" fillId="0" borderId="3" xfId="0" applyFont="1" applyFill="1" applyBorder="1" applyAlignment="1" applyProtection="1"/>
    <xf numFmtId="0" fontId="5" fillId="0" borderId="6" xfId="0" applyFont="1" applyFill="1" applyBorder="1" applyAlignment="1" applyProtection="1"/>
    <xf numFmtId="10" fontId="5" fillId="0" borderId="6" xfId="0" applyNumberFormat="1" applyFont="1" applyFill="1" applyBorder="1" applyAlignment="1" applyProtection="1">
      <alignment horizontal="center" vertical="center"/>
      <protection hidden="1"/>
    </xf>
    <xf numFmtId="10" fontId="5" fillId="0" borderId="7" xfId="0" applyNumberFormat="1"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1" xfId="0" applyNumberFormat="1" applyFont="1" applyFill="1" applyBorder="1" applyAlignment="1" applyProtection="1">
      <alignment horizontal="left" vertical="center"/>
    </xf>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3" fontId="5" fillId="3" borderId="1" xfId="0" applyNumberFormat="1" applyFont="1" applyFill="1" applyBorder="1" applyAlignment="1" applyProtection="1">
      <alignment horizontal="right" vertical="center"/>
      <protection hidden="1"/>
    </xf>
    <xf numFmtId="164" fontId="5" fillId="6" borderId="1" xfId="0" applyNumberFormat="1" applyFont="1" applyFill="1" applyBorder="1" applyAlignment="1" applyProtection="1">
      <alignment horizontal="right" vertical="center"/>
    </xf>
    <xf numFmtId="0" fontId="4" fillId="0" borderId="3" xfId="0" applyFont="1" applyFill="1" applyBorder="1" applyAlignment="1" applyProtection="1"/>
    <xf numFmtId="0" fontId="4" fillId="0" borderId="6" xfId="0" applyFont="1" applyFill="1" applyBorder="1" applyAlignment="1" applyProtection="1"/>
    <xf numFmtId="0" fontId="4" fillId="0" borderId="7" xfId="0" applyFont="1" applyFill="1" applyBorder="1" applyAlignment="1" applyProtection="1"/>
    <xf numFmtId="164" fontId="4" fillId="6" borderId="1" xfId="0" applyNumberFormat="1" applyFont="1" applyFill="1" applyBorder="1" applyAlignment="1" applyProtection="1">
      <alignment horizontal="right" vertical="center"/>
      <protection hidden="1"/>
    </xf>
    <xf numFmtId="0" fontId="4" fillId="0" borderId="5" xfId="0" applyFont="1" applyFill="1" applyBorder="1" applyAlignment="1" applyProtection="1"/>
    <xf numFmtId="0" fontId="4" fillId="0" borderId="9" xfId="0" applyFont="1" applyFill="1" applyBorder="1" applyAlignment="1" applyProtection="1"/>
    <xf numFmtId="164" fontId="5" fillId="0" borderId="1" xfId="0" applyNumberFormat="1" applyFont="1" applyFill="1" applyBorder="1" applyAlignment="1" applyProtection="1">
      <alignment horizontal="right" vertical="center"/>
      <protection hidden="1"/>
    </xf>
    <xf numFmtId="0" fontId="5" fillId="3" borderId="1" xfId="0"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0" fontId="5" fillId="0" borderId="9" xfId="0" applyFont="1" applyFill="1" applyBorder="1" applyAlignment="1" applyProtection="1"/>
    <xf numFmtId="166" fontId="14" fillId="0" borderId="1" xfId="0" applyNumberFormat="1" applyFont="1" applyFill="1" applyBorder="1" applyAlignment="1" applyProtection="1">
      <alignment horizontal="right" vertical="center"/>
      <protection hidden="1"/>
    </xf>
    <xf numFmtId="166" fontId="13" fillId="3" borderId="1" xfId="0" applyNumberFormat="1" applyFont="1" applyFill="1" applyBorder="1" applyAlignment="1" applyProtection="1">
      <alignment horizontal="right" vertical="center"/>
      <protection hidden="1"/>
    </xf>
    <xf numFmtId="167" fontId="13" fillId="3" borderId="1" xfId="0" applyNumberFormat="1" applyFont="1" applyFill="1" applyBorder="1" applyAlignment="1" applyProtection="1">
      <alignment horizontal="right" vertical="center"/>
      <protection hidden="1"/>
    </xf>
    <xf numFmtId="0" fontId="5" fillId="0" borderId="7" xfId="0" applyFont="1" applyFill="1" applyBorder="1" applyAlignment="1" applyProtection="1"/>
    <xf numFmtId="0" fontId="5" fillId="3" borderId="1" xfId="2" applyFont="1" applyFill="1" applyBorder="1" applyAlignment="1" applyProtection="1">
      <alignment horizontal="center" vertical="center" wrapText="1"/>
      <protection hidden="1"/>
    </xf>
    <xf numFmtId="0" fontId="4" fillId="5" borderId="1" xfId="0" applyNumberFormat="1" applyFont="1" applyFill="1" applyBorder="1" applyAlignment="1" applyProtection="1">
      <alignment horizontal="center" vertical="center"/>
      <protection locked="0"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0" fontId="5" fillId="0" borderId="5" xfId="0" applyFont="1" applyFill="1" applyBorder="1" applyAlignment="1" applyProtection="1"/>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0" fontId="4" fillId="5" borderId="1" xfId="0" applyNumberFormat="1" applyFont="1" applyFill="1" applyBorder="1" applyAlignment="1" applyProtection="1">
      <alignment horizontal="left" vertical="center"/>
      <protection locked="0" hidden="1"/>
    </xf>
    <xf numFmtId="0" fontId="16" fillId="5" borderId="1" xfId="0" applyNumberFormat="1" applyFont="1" applyFill="1" applyBorder="1" applyAlignment="1" applyProtection="1">
      <alignment horizontal="left" vertical="center"/>
      <protection locked="0" hidden="1"/>
    </xf>
    <xf numFmtId="165" fontId="16" fillId="5" borderId="1" xfId="0" applyNumberFormat="1" applyFont="1" applyFill="1" applyBorder="1" applyAlignment="1" applyProtection="1">
      <alignment horizontal="center" vertical="center"/>
      <protection locked="0" hidden="1"/>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7" fillId="0" borderId="0" xfId="0" applyFont="1" applyFill="1" applyBorder="1" applyAlignment="1" applyProtection="1"/>
    <xf numFmtId="0" fontId="10" fillId="0" borderId="0" xfId="0" applyFont="1" applyFill="1" applyBorder="1" applyAlignment="1" applyProtection="1"/>
    <xf numFmtId="0" fontId="5" fillId="0" borderId="0" xfId="0" applyNumberFormat="1" applyFont="1" applyFill="1" applyBorder="1" applyAlignment="1" applyProtection="1">
      <alignment vertical="center"/>
      <protection hidden="1"/>
    </xf>
    <xf numFmtId="0" fontId="10" fillId="0" borderId="0" xfId="0" applyFont="1" applyFill="1" applyBorder="1" applyAlignment="1" applyProtection="1">
      <alignment horizontal="center"/>
    </xf>
    <xf numFmtId="164" fontId="5" fillId="0" borderId="0" xfId="0" applyNumberFormat="1" applyFont="1" applyFill="1" applyBorder="1" applyAlignment="1" applyProtection="1">
      <alignment vertical="center"/>
      <protection hidden="1"/>
    </xf>
    <xf numFmtId="0" fontId="4" fillId="5" borderId="1" xfId="0" applyNumberFormat="1" applyFont="1" applyFill="1" applyBorder="1" applyAlignment="1" applyProtection="1">
      <alignment horizontal="left" vertical="center" wrapText="1"/>
      <protection locked="0" hidden="1"/>
    </xf>
    <xf numFmtId="0" fontId="18" fillId="0" borderId="0" xfId="0" applyFont="1" applyAlignment="1" applyProtection="1"/>
    <xf numFmtId="0" fontId="0" fillId="0" borderId="0" xfId="0" applyFont="1" applyAlignment="1" applyProtection="1">
      <alignment vertical="center"/>
    </xf>
    <xf numFmtId="0" fontId="0" fillId="7" borderId="1" xfId="0" applyFont="1" applyFill="1" applyBorder="1" applyProtection="1"/>
    <xf numFmtId="4" fontId="0" fillId="8" borderId="1" xfId="0" applyNumberFormat="1" applyFont="1" applyFill="1" applyBorder="1" applyProtection="1"/>
    <xf numFmtId="4" fontId="0" fillId="2" borderId="1" xfId="0" applyNumberFormat="1" applyFont="1" applyFill="1" applyBorder="1" applyProtection="1"/>
    <xf numFmtId="4" fontId="0" fillId="7" borderId="1" xfId="0" applyNumberFormat="1" applyFont="1" applyFill="1" applyBorder="1" applyAlignment="1" applyProtection="1">
      <alignment horizontal="right"/>
    </xf>
    <xf numFmtId="1" fontId="0" fillId="0" borderId="12" xfId="0" applyNumberFormat="1" applyFont="1" applyFill="1" applyBorder="1" applyAlignment="1" applyProtection="1">
      <alignment horizontal="center" vertical="center"/>
    </xf>
    <xf numFmtId="0" fontId="0" fillId="0" borderId="1" xfId="0" applyFont="1" applyBorder="1" applyAlignment="1" applyProtection="1">
      <alignment horizontal="left" vertical="center"/>
    </xf>
    <xf numFmtId="0" fontId="0" fillId="0" borderId="1" xfId="0" applyNumberFormat="1" applyFont="1" applyBorder="1" applyAlignment="1" applyProtection="1">
      <alignment horizontal="left" vertical="center"/>
    </xf>
    <xf numFmtId="0" fontId="0" fillId="0" borderId="1" xfId="0" applyNumberFormat="1" applyFont="1" applyFill="1" applyBorder="1" applyAlignment="1" applyProtection="1">
      <alignment horizontal="left" vertical="center"/>
    </xf>
    <xf numFmtId="3" fontId="9" fillId="0" borderId="1" xfId="0" applyNumberFormat="1" applyFont="1" applyFill="1" applyBorder="1" applyAlignment="1" applyProtection="1">
      <alignment horizontal="center" vertical="center"/>
      <protection hidden="1"/>
    </xf>
    <xf numFmtId="4" fontId="5" fillId="0" borderId="1" xfId="0" applyNumberFormat="1" applyFont="1" applyFill="1" applyBorder="1" applyAlignment="1" applyProtection="1">
      <alignment horizontal="right" vertical="center" indent="1"/>
      <protection hidden="1"/>
    </xf>
    <xf numFmtId="0" fontId="6" fillId="0" borderId="0" xfId="0" applyFont="1" applyFill="1" applyBorder="1" applyAlignment="1" applyProtection="1">
      <alignment vertical="center"/>
    </xf>
    <xf numFmtId="0" fontId="0" fillId="0" borderId="0" xfId="0" applyFont="1" applyFill="1" applyBorder="1" applyAlignment="1" applyProtection="1">
      <alignment vertical="center"/>
    </xf>
    <xf numFmtId="0" fontId="23" fillId="0" borderId="0" xfId="4" applyFont="1" applyBorder="1" applyAlignment="1" applyProtection="1">
      <alignment vertical="center"/>
    </xf>
    <xf numFmtId="0" fontId="24" fillId="0" borderId="0" xfId="0" applyFont="1" applyAlignment="1" applyProtection="1">
      <alignment vertical="center"/>
    </xf>
    <xf numFmtId="0" fontId="20" fillId="0" borderId="0" xfId="0" applyFont="1" applyAlignment="1" applyProtection="1">
      <alignment horizontal="left" vertical="center"/>
    </xf>
    <xf numFmtId="0" fontId="20" fillId="0" borderId="0" xfId="0" applyFont="1" applyAlignment="1" applyProtection="1">
      <alignment vertical="center"/>
    </xf>
    <xf numFmtId="4" fontId="14" fillId="0" borderId="1" xfId="0" applyNumberFormat="1" applyFont="1" applyFill="1" applyBorder="1" applyAlignment="1" applyProtection="1">
      <alignment vertical="center"/>
      <protection hidden="1"/>
    </xf>
    <xf numFmtId="4" fontId="14" fillId="0" borderId="12" xfId="0" applyNumberFormat="1" applyFont="1" applyFill="1" applyBorder="1" applyAlignment="1" applyProtection="1">
      <alignment vertical="center"/>
      <protection hidden="1"/>
    </xf>
    <xf numFmtId="0" fontId="0" fillId="0" borderId="1" xfId="0" applyFont="1" applyBorder="1" applyAlignment="1" applyProtection="1">
      <alignment horizontal="center" vertical="center"/>
    </xf>
    <xf numFmtId="0" fontId="5" fillId="0" borderId="0"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10" fontId="5" fillId="0" borderId="0" xfId="0" applyNumberFormat="1" applyFont="1" applyFill="1" applyBorder="1" applyAlignment="1" applyProtection="1">
      <alignment horizontal="center" vertical="center"/>
      <protection hidden="1"/>
    </xf>
    <xf numFmtId="0" fontId="26" fillId="0" borderId="0" xfId="0" applyFont="1" applyFill="1" applyBorder="1" applyAlignment="1" applyProtection="1">
      <alignment horizontal="left" vertical="center" wrapText="1"/>
    </xf>
    <xf numFmtId="4" fontId="0" fillId="9" borderId="1" xfId="0" applyNumberFormat="1" applyFont="1" applyFill="1" applyBorder="1" applyAlignment="1" applyProtection="1">
      <alignment horizontal="right"/>
    </xf>
    <xf numFmtId="0" fontId="5" fillId="3" borderId="1"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10" fontId="5" fillId="0" borderId="0" xfId="0" applyNumberFormat="1"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167" fontId="14" fillId="0" borderId="1" xfId="0" applyNumberFormat="1" applyFont="1" applyFill="1" applyBorder="1" applyAlignment="1" applyProtection="1">
      <alignment horizontal="right" vertical="center"/>
      <protection hidden="1"/>
    </xf>
    <xf numFmtId="0" fontId="0" fillId="7" borderId="1" xfId="0" applyFont="1" applyFill="1" applyBorder="1" applyAlignment="1" applyProtection="1">
      <alignment horizontal="left" vertical="center"/>
    </xf>
    <xf numFmtId="4" fontId="0" fillId="7" borderId="1" xfId="0" applyNumberFormat="1" applyFont="1" applyFill="1" applyBorder="1" applyAlignment="1" applyProtection="1">
      <alignment horizontal="right" vertical="center"/>
    </xf>
    <xf numFmtId="4" fontId="0" fillId="7" borderId="1" xfId="0" applyNumberFormat="1" applyFill="1" applyBorder="1" applyAlignment="1" applyProtection="1">
      <alignment vertical="center"/>
    </xf>
    <xf numFmtId="4" fontId="0" fillId="7" borderId="1" xfId="0" applyNumberFormat="1" applyFill="1" applyBorder="1" applyAlignment="1" applyProtection="1">
      <alignment horizontal="right" vertical="center"/>
    </xf>
    <xf numFmtId="0" fontId="0" fillId="8" borderId="1" xfId="0" applyFont="1" applyFill="1" applyBorder="1" applyAlignment="1" applyProtection="1">
      <alignment horizontal="left" vertical="center"/>
    </xf>
    <xf numFmtId="4" fontId="0" fillId="8" borderId="1" xfId="0" applyNumberFormat="1" applyFont="1" applyFill="1" applyBorder="1" applyAlignment="1" applyProtection="1">
      <alignment horizontal="right" vertical="center"/>
    </xf>
    <xf numFmtId="4" fontId="0" fillId="8" borderId="1" xfId="0" applyNumberFormat="1" applyFill="1" applyBorder="1" applyAlignment="1" applyProtection="1">
      <alignment vertical="center"/>
    </xf>
    <xf numFmtId="4" fontId="0" fillId="8" borderId="1" xfId="0" applyNumberFormat="1" applyFill="1" applyBorder="1" applyAlignment="1" applyProtection="1">
      <alignment horizontal="right" vertical="center"/>
    </xf>
    <xf numFmtId="0" fontId="0" fillId="8" borderId="1" xfId="0" applyFont="1" applyFill="1" applyBorder="1" applyProtection="1"/>
    <xf numFmtId="4" fontId="0" fillId="7" borderId="1" xfId="0" applyNumberFormat="1" applyFont="1" applyFill="1" applyBorder="1" applyProtection="1"/>
    <xf numFmtId="0" fontId="4" fillId="0" borderId="1" xfId="0" applyNumberFormat="1" applyFont="1" applyFill="1" applyBorder="1" applyAlignment="1" applyProtection="1">
      <alignment horizontal="left" vertical="center" wrapText="1"/>
      <protection hidden="1"/>
    </xf>
    <xf numFmtId="0" fontId="16" fillId="0" borderId="1" xfId="0" applyNumberFormat="1" applyFont="1" applyFill="1" applyBorder="1" applyAlignment="1" applyProtection="1">
      <alignment horizontal="left" vertical="center" wrapText="1"/>
      <protection hidden="1"/>
    </xf>
    <xf numFmtId="0" fontId="16" fillId="5" borderId="1" xfId="0" applyNumberFormat="1" applyFont="1" applyFill="1" applyBorder="1" applyAlignment="1" applyProtection="1">
      <alignment horizontal="left" vertical="center" wrapText="1"/>
      <protection locked="0" hidden="1"/>
    </xf>
    <xf numFmtId="0" fontId="5" fillId="3" borderId="1"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9" fillId="0" borderId="1" xfId="0" applyNumberFormat="1" applyFont="1" applyBorder="1" applyAlignment="1" applyProtection="1">
      <alignment horizontal="left" vertical="center" indent="1"/>
      <protection hidden="1"/>
    </xf>
    <xf numFmtId="0" fontId="11" fillId="3" borderId="1" xfId="0" applyFont="1" applyFill="1" applyBorder="1" applyAlignment="1" applyProtection="1">
      <alignment horizontal="center" vertical="center"/>
      <protection hidden="1"/>
    </xf>
    <xf numFmtId="0" fontId="34" fillId="3" borderId="1" xfId="0" applyFont="1" applyFill="1" applyBorder="1" applyAlignment="1" applyProtection="1">
      <alignment horizontal="center" vertical="center"/>
      <protection hidden="1"/>
    </xf>
    <xf numFmtId="0" fontId="11" fillId="3" borderId="1" xfId="2"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12" fillId="3" borderId="1" xfId="0" applyNumberFormat="1" applyFont="1" applyFill="1" applyBorder="1" applyAlignment="1" applyProtection="1">
      <alignment horizontal="center" vertical="center"/>
      <protection hidden="1"/>
    </xf>
    <xf numFmtId="0" fontId="8"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9" fillId="3" borderId="1" xfId="0" applyNumberFormat="1" applyFont="1" applyFill="1" applyBorder="1" applyAlignment="1" applyProtection="1">
      <alignment horizontal="left" vertical="center" indent="1"/>
      <protection hidden="1"/>
    </xf>
    <xf numFmtId="10" fontId="8" fillId="3" borderId="1" xfId="0" applyNumberFormat="1" applyFont="1" applyFill="1" applyBorder="1" applyAlignment="1" applyProtection="1">
      <alignment horizontal="left" vertical="center"/>
      <protection hidden="1"/>
    </xf>
    <xf numFmtId="167" fontId="5" fillId="0" borderId="1" xfId="0" applyNumberFormat="1" applyFont="1" applyFill="1" applyBorder="1" applyAlignment="1" applyProtection="1">
      <alignment horizontal="right" vertical="center"/>
      <protection hidden="1"/>
    </xf>
    <xf numFmtId="10" fontId="33" fillId="3" borderId="1" xfId="0" applyNumberFormat="1" applyFont="1" applyFill="1" applyBorder="1" applyAlignment="1" applyProtection="1">
      <alignment horizontal="left" vertical="center"/>
      <protection hidden="1"/>
    </xf>
    <xf numFmtId="10" fontId="33" fillId="3" borderId="2" xfId="0" applyNumberFormat="1" applyFont="1" applyFill="1" applyBorder="1" applyAlignment="1" applyProtection="1">
      <alignment horizontal="left" vertical="center"/>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3" fillId="0" borderId="4" xfId="0" applyFont="1" applyFill="1" applyBorder="1" applyAlignment="1" applyProtection="1">
      <alignment horizontal="center"/>
    </xf>
    <xf numFmtId="0" fontId="13"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3" borderId="12" xfId="0" applyFont="1" applyFill="1" applyBorder="1" applyAlignment="1" applyProtection="1">
      <alignment horizontal="center" vertical="center" wrapText="1"/>
      <protection hidden="1"/>
    </xf>
    <xf numFmtId="10" fontId="12"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0" fontId="5" fillId="0" borderId="6" xfId="0" applyFont="1" applyFill="1" applyBorder="1" applyAlignment="1" applyProtection="1">
      <alignment horizontal="center"/>
    </xf>
    <xf numFmtId="10" fontId="5" fillId="0" borderId="0" xfId="0" applyNumberFormat="1" applyFont="1" applyFill="1" applyBorder="1" applyAlignment="1" applyProtection="1">
      <alignment horizontal="center" vertical="center"/>
      <protection hidden="1"/>
    </xf>
    <xf numFmtId="10" fontId="5" fillId="0" borderId="9" xfId="0" applyNumberFormat="1" applyFont="1" applyFill="1" applyBorder="1" applyAlignment="1" applyProtection="1">
      <alignment horizontal="center" vertical="center"/>
      <protection hidden="1"/>
    </xf>
    <xf numFmtId="10" fontId="33" fillId="3" borderId="2" xfId="0" applyNumberFormat="1" applyFont="1" applyFill="1" applyBorder="1" applyAlignment="1" applyProtection="1">
      <alignment horizontal="left" vertical="center" wrapText="1"/>
      <protection hidden="1"/>
    </xf>
    <xf numFmtId="10" fontId="33" fillId="3" borderId="13" xfId="0" applyNumberFormat="1" applyFont="1" applyFill="1" applyBorder="1" applyAlignment="1" applyProtection="1">
      <alignment horizontal="left" vertical="center" wrapText="1"/>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25" fillId="0" borderId="9" xfId="0" applyNumberFormat="1" applyFont="1" applyFill="1" applyBorder="1" applyAlignment="1" applyProtection="1">
      <alignment horizontal="right" vertical="center" indent="1"/>
      <protection hidden="1"/>
    </xf>
    <xf numFmtId="168" fontId="25" fillId="0" borderId="7" xfId="0" applyNumberFormat="1" applyFont="1" applyFill="1" applyBorder="1" applyAlignment="1" applyProtection="1">
      <alignment horizontal="right" vertical="center" indent="1"/>
      <protection hidden="1"/>
    </xf>
    <xf numFmtId="172" fontId="25" fillId="0" borderId="8" xfId="0" applyNumberFormat="1" applyFont="1" applyFill="1" applyBorder="1" applyAlignment="1" applyProtection="1">
      <alignment horizontal="right" vertical="center" indent="1"/>
      <protection hidden="1"/>
    </xf>
    <xf numFmtId="172" fontId="25" fillId="0" borderId="7" xfId="0" applyNumberFormat="1" applyFont="1" applyFill="1" applyBorder="1" applyAlignment="1" applyProtection="1">
      <alignment horizontal="right" vertical="center" indent="1"/>
      <protection hidden="1"/>
    </xf>
    <xf numFmtId="171" fontId="25" fillId="0" borderId="8" xfId="0" applyNumberFormat="1" applyFont="1" applyFill="1" applyBorder="1" applyAlignment="1" applyProtection="1">
      <alignment horizontal="right" vertical="center" indent="1"/>
      <protection hidden="1"/>
    </xf>
    <xf numFmtId="171" fontId="25" fillId="0" borderId="7" xfId="0" applyNumberFormat="1" applyFont="1" applyFill="1" applyBorder="1" applyAlignment="1" applyProtection="1">
      <alignment horizontal="right" vertical="center" indent="1"/>
      <protection hidden="1"/>
    </xf>
    <xf numFmtId="173" fontId="25" fillId="0" borderId="11" xfId="0" applyNumberFormat="1" applyFont="1" applyFill="1" applyBorder="1" applyAlignment="1" applyProtection="1">
      <alignment horizontal="right" vertical="center" indent="1"/>
      <protection hidden="1"/>
    </xf>
    <xf numFmtId="173" fontId="25" fillId="0" borderId="12" xfId="0" applyNumberFormat="1" applyFont="1" applyFill="1" applyBorder="1" applyAlignment="1" applyProtection="1">
      <alignment horizontal="right" vertical="center" indent="1"/>
      <protection hidden="1"/>
    </xf>
    <xf numFmtId="170" fontId="25" fillId="0" borderId="10" xfId="0" applyNumberFormat="1" applyFont="1" applyFill="1" applyBorder="1" applyAlignment="1" applyProtection="1">
      <alignment horizontal="right" vertical="center" indent="1"/>
      <protection hidden="1"/>
    </xf>
    <xf numFmtId="170" fontId="25" fillId="0" borderId="12" xfId="0" applyNumberFormat="1" applyFont="1" applyFill="1" applyBorder="1" applyAlignment="1" applyProtection="1">
      <alignment horizontal="right" vertical="center" indent="1"/>
      <protection hidden="1"/>
    </xf>
    <xf numFmtId="169" fontId="25" fillId="0" borderId="10" xfId="0" applyNumberFormat="1" applyFont="1" applyFill="1" applyBorder="1" applyAlignment="1" applyProtection="1">
      <alignment horizontal="right" vertical="center" indent="1"/>
      <protection hidden="1"/>
    </xf>
    <xf numFmtId="169" fontId="25" fillId="0" borderId="12" xfId="0" applyNumberFormat="1" applyFont="1" applyFill="1" applyBorder="1" applyAlignment="1" applyProtection="1">
      <alignment horizontal="right" vertical="center" indent="1"/>
      <protection hidden="1"/>
    </xf>
    <xf numFmtId="0" fontId="33" fillId="3" borderId="3" xfId="0" applyFont="1" applyFill="1" applyBorder="1" applyAlignment="1" applyProtection="1">
      <alignment horizontal="left" vertical="center"/>
    </xf>
    <xf numFmtId="0" fontId="33" fillId="3" borderId="6" xfId="0" applyFont="1" applyFill="1" applyBorder="1" applyAlignment="1" applyProtection="1">
      <alignment horizontal="left" vertical="center"/>
    </xf>
    <xf numFmtId="0" fontId="33" fillId="3" borderId="2" xfId="0" applyFont="1" applyFill="1" applyBorder="1" applyAlignment="1" applyProtection="1">
      <alignment horizontal="left" vertical="center"/>
    </xf>
    <xf numFmtId="0" fontId="33" fillId="3" borderId="14" xfId="0" applyFont="1" applyFill="1" applyBorder="1" applyAlignment="1" applyProtection="1">
      <alignment horizontal="left" vertical="center"/>
    </xf>
    <xf numFmtId="0" fontId="5" fillId="3" borderId="10" xfId="0" applyFont="1" applyFill="1" applyBorder="1" applyAlignment="1" applyProtection="1">
      <alignment horizontal="center" vertical="center" wrapText="1"/>
      <protection hidden="1"/>
    </xf>
    <xf numFmtId="0" fontId="13" fillId="3" borderId="10" xfId="0" applyFont="1" applyFill="1" applyBorder="1" applyAlignment="1" applyProtection="1">
      <alignment horizontal="center" vertical="center"/>
    </xf>
    <xf numFmtId="0" fontId="13" fillId="3" borderId="11" xfId="0" applyFont="1" applyFill="1" applyBorder="1" applyAlignment="1" applyProtection="1">
      <alignment horizontal="center" vertical="center"/>
    </xf>
    <xf numFmtId="0" fontId="13" fillId="3" borderId="12" xfId="0" applyFont="1" applyFill="1" applyBorder="1" applyAlignment="1" applyProtection="1">
      <alignment horizontal="center" vertical="center"/>
    </xf>
    <xf numFmtId="167" fontId="14" fillId="0" borderId="4" xfId="0" applyNumberFormat="1" applyFont="1" applyFill="1" applyBorder="1" applyAlignment="1" applyProtection="1">
      <alignment horizontal="right" vertical="center"/>
      <protection hidden="1"/>
    </xf>
    <xf numFmtId="167" fontId="14" fillId="0" borderId="8" xfId="0" applyNumberFormat="1" applyFont="1" applyFill="1" applyBorder="1" applyAlignment="1" applyProtection="1">
      <alignment horizontal="right" vertical="center"/>
      <protection hidden="1"/>
    </xf>
    <xf numFmtId="167" fontId="14" fillId="0" borderId="5" xfId="0" applyNumberFormat="1" applyFont="1" applyFill="1" applyBorder="1" applyAlignment="1" applyProtection="1">
      <alignment horizontal="right" vertical="center"/>
      <protection hidden="1"/>
    </xf>
    <xf numFmtId="167" fontId="14" fillId="0" borderId="9" xfId="0" applyNumberFormat="1" applyFont="1" applyFill="1" applyBorder="1" applyAlignment="1" applyProtection="1">
      <alignment horizontal="right" vertical="center"/>
      <protection hidden="1"/>
    </xf>
    <xf numFmtId="167" fontId="14" fillId="0" borderId="3" xfId="0" applyNumberFormat="1" applyFont="1" applyFill="1" applyBorder="1" applyAlignment="1" applyProtection="1">
      <alignment horizontal="right" vertical="center"/>
      <protection hidden="1"/>
    </xf>
    <xf numFmtId="167" fontId="14" fillId="0" borderId="7" xfId="0" applyNumberFormat="1" applyFont="1" applyFill="1" applyBorder="1" applyAlignment="1" applyProtection="1">
      <alignment horizontal="right" vertical="center"/>
      <protection hidden="1"/>
    </xf>
    <xf numFmtId="0" fontId="33" fillId="3" borderId="1" xfId="0" applyFont="1" applyFill="1" applyBorder="1" applyAlignment="1" applyProtection="1">
      <alignment horizontal="left" vertical="center"/>
    </xf>
    <xf numFmtId="167" fontId="14" fillId="0" borderId="1" xfId="0" applyNumberFormat="1" applyFont="1" applyFill="1" applyBorder="1" applyAlignment="1" applyProtection="1">
      <alignment horizontal="right" vertical="center"/>
      <protection hidden="1"/>
    </xf>
    <xf numFmtId="167" fontId="14" fillId="0" borderId="10" xfId="0" applyNumberFormat="1" applyFont="1" applyFill="1" applyBorder="1" applyAlignment="1" applyProtection="1">
      <alignment horizontal="right" vertical="center"/>
      <protection hidden="1"/>
    </xf>
    <xf numFmtId="167" fontId="14" fillId="0" borderId="11" xfId="0" applyNumberFormat="1" applyFont="1" applyFill="1" applyBorder="1" applyAlignment="1" applyProtection="1">
      <alignment horizontal="right" vertical="center"/>
      <protection hidden="1"/>
    </xf>
    <xf numFmtId="167" fontId="14" fillId="0" borderId="12" xfId="0" applyNumberFormat="1" applyFont="1" applyFill="1" applyBorder="1" applyAlignment="1" applyProtection="1">
      <alignment horizontal="right" vertical="center"/>
      <protection hidden="1"/>
    </xf>
    <xf numFmtId="164" fontId="4" fillId="6" borderId="10" xfId="0" applyNumberFormat="1" applyFont="1" applyFill="1" applyBorder="1" applyAlignment="1" applyProtection="1">
      <alignment horizontal="center" vertical="center"/>
    </xf>
    <xf numFmtId="164" fontId="4" fillId="6" borderId="11" xfId="0" applyNumberFormat="1" applyFont="1" applyFill="1" applyBorder="1" applyAlignment="1" applyProtection="1">
      <alignment horizontal="center" vertical="center"/>
    </xf>
    <xf numFmtId="164" fontId="4" fillId="6" borderId="12" xfId="0" applyNumberFormat="1" applyFont="1" applyFill="1" applyBorder="1" applyAlignment="1" applyProtection="1">
      <alignment horizontal="center" vertical="center"/>
    </xf>
    <xf numFmtId="0" fontId="6" fillId="3" borderId="1" xfId="0" applyFont="1" applyFill="1" applyBorder="1" applyAlignment="1" applyProtection="1">
      <alignment horizontal="center" vertical="center"/>
    </xf>
    <xf numFmtId="0" fontId="32" fillId="3" borderId="2" xfId="0" applyFont="1" applyFill="1" applyBorder="1" applyAlignment="1" applyProtection="1">
      <alignment horizontal="left" vertical="center" wrapText="1" indent="1"/>
    </xf>
    <xf numFmtId="0" fontId="6" fillId="3" borderId="14" xfId="0" applyFont="1" applyFill="1" applyBorder="1" applyAlignment="1" applyProtection="1">
      <alignment horizontal="left" vertical="center" indent="1"/>
    </xf>
    <xf numFmtId="0" fontId="6" fillId="3" borderId="13" xfId="0" applyFont="1" applyFill="1" applyBorder="1" applyAlignment="1" applyProtection="1">
      <alignment horizontal="left" vertical="center" indent="1"/>
    </xf>
    <xf numFmtId="0" fontId="6" fillId="3" borderId="2" xfId="0" applyFont="1" applyFill="1" applyBorder="1" applyAlignment="1" applyProtection="1">
      <alignment horizontal="center" vertical="center" wrapText="1"/>
    </xf>
    <xf numFmtId="0" fontId="6" fillId="3" borderId="14" xfId="0" applyFont="1" applyFill="1" applyBorder="1" applyAlignment="1" applyProtection="1">
      <alignment horizontal="center" vertical="center" wrapText="1"/>
    </xf>
    <xf numFmtId="0" fontId="6" fillId="3" borderId="13" xfId="0" applyFont="1" applyFill="1" applyBorder="1" applyAlignment="1" applyProtection="1">
      <alignment horizontal="center" vertical="center" wrapText="1"/>
    </xf>
    <xf numFmtId="0" fontId="27" fillId="0" borderId="0" xfId="0" applyFont="1" applyAlignment="1" applyProtection="1">
      <alignment horizontal="left" vertical="center" wrapText="1"/>
    </xf>
    <xf numFmtId="0" fontId="29" fillId="0" borderId="0" xfId="0" applyFont="1" applyAlignment="1" applyProtection="1">
      <alignment horizontal="left" vertical="center"/>
    </xf>
    <xf numFmtId="0" fontId="30" fillId="3" borderId="1" xfId="0" applyFont="1" applyFill="1" applyBorder="1" applyAlignment="1" applyProtection="1">
      <alignment horizontal="center" vertical="center"/>
    </xf>
    <xf numFmtId="0" fontId="1" fillId="0" borderId="0" xfId="2" applyBorder="1" applyAlignment="1" applyProtection="1">
      <alignment horizontal="left" vertical="center" wrapText="1"/>
      <protection locked="0"/>
    </xf>
    <xf numFmtId="0" fontId="22" fillId="0" borderId="0" xfId="2" applyFont="1" applyBorder="1" applyAlignment="1" applyProtection="1">
      <alignment horizontal="left" vertical="center" wrapText="1"/>
      <protection locked="0"/>
    </xf>
    <xf numFmtId="0" fontId="1" fillId="0" borderId="0" xfId="2" applyBorder="1" applyAlignment="1" applyProtection="1">
      <alignment horizontal="left" vertical="center"/>
      <protection locked="0"/>
    </xf>
    <xf numFmtId="0" fontId="22" fillId="0" borderId="0" xfId="2" applyFont="1" applyBorder="1" applyAlignment="1" applyProtection="1">
      <alignment horizontal="left" vertical="center"/>
      <protection locked="0"/>
    </xf>
    <xf numFmtId="0" fontId="6" fillId="3" borderId="13" xfId="0" applyFont="1" applyFill="1" applyBorder="1" applyAlignment="1" applyProtection="1">
      <alignment horizontal="center" vertical="center"/>
    </xf>
    <xf numFmtId="0" fontId="6" fillId="3" borderId="4" xfId="0" applyFont="1" applyFill="1" applyBorder="1" applyAlignment="1" applyProtection="1">
      <alignment horizontal="left" vertical="center" wrapText="1" indent="1"/>
    </xf>
    <xf numFmtId="0" fontId="6" fillId="3" borderId="15" xfId="0" applyFont="1" applyFill="1" applyBorder="1" applyAlignment="1" applyProtection="1">
      <alignment horizontal="left" vertical="center" wrapText="1" indent="1"/>
    </xf>
    <xf numFmtId="0" fontId="6" fillId="3" borderId="8" xfId="0" applyFont="1" applyFill="1" applyBorder="1" applyAlignment="1" applyProtection="1">
      <alignment horizontal="left" vertical="center" wrapText="1" indent="1"/>
    </xf>
    <xf numFmtId="0" fontId="6" fillId="3" borderId="3" xfId="0" applyFont="1" applyFill="1" applyBorder="1" applyAlignment="1" applyProtection="1">
      <alignment horizontal="left" vertical="center" wrapText="1" indent="1"/>
    </xf>
    <xf numFmtId="0" fontId="6" fillId="3" borderId="6" xfId="0" applyFont="1" applyFill="1" applyBorder="1" applyAlignment="1" applyProtection="1">
      <alignment horizontal="left" vertical="center" wrapText="1" indent="1"/>
    </xf>
    <xf numFmtId="0" fontId="6" fillId="3" borderId="7" xfId="0" applyFont="1" applyFill="1" applyBorder="1" applyAlignment="1" applyProtection="1">
      <alignment horizontal="left" vertical="center" wrapText="1" indent="1"/>
    </xf>
  </cellXfs>
  <cellStyles count="5">
    <cellStyle name="Hyperlink 2" xfId="4"/>
    <cellStyle name="Normal 2" xfId="3"/>
    <cellStyle name="Гиперссылка" xfId="2" builtinId="8"/>
    <cellStyle name="Обычный" xfId="0" builtinId="0"/>
    <cellStyle name="Финансовый" xfId="1" builtinId="3"/>
  </cellStyles>
  <dxfs count="48">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1"/>
      </font>
      <fill>
        <patternFill>
          <bgColor rgb="FFFF0000"/>
        </patternFill>
      </fill>
    </dxf>
    <dxf>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552450</xdr:colOff>
          <xdr:row>1</xdr:row>
          <xdr:rowOff>85725</xdr:rowOff>
        </xdr:from>
        <xdr:to>
          <xdr:col>3</xdr:col>
          <xdr:colOff>1638300</xdr:colOff>
          <xdr:row>1</xdr:row>
          <xdr:rowOff>438150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5153" name="Button 1" hidden="1">
              <a:extLst>
                <a:ext uri="{63B3BB69-23CF-44E3-9099-C40C66FF867C}">
                  <a14:compatExt spid="_x0000_s51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5154" name="Button 2" hidden="1">
              <a:extLst>
                <a:ext uri="{63B3BB69-23CF-44E3-9099-C40C66FF867C}">
                  <a14:compatExt spid="_x0000_s5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8208" name="Button 1" hidden="1">
              <a:extLst>
                <a:ext uri="{63B3BB69-23CF-44E3-9099-C40C66FF867C}">
                  <a14:compatExt spid="_x0000_s82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8209" name="Button 2" hidden="1">
              <a:extLst>
                <a:ext uri="{63B3BB69-23CF-44E3-9099-C40C66FF867C}">
                  <a14:compatExt spid="_x0000_s82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4831" name="Button 1" hidden="1">
              <a:extLst>
                <a:ext uri="{63B3BB69-23CF-44E3-9099-C40C66FF867C}">
                  <a14:compatExt spid="_x0000_s348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34832" name="Button 2" hidden="1">
              <a:extLst>
                <a:ext uri="{63B3BB69-23CF-44E3-9099-C40C66FF867C}">
                  <a14:compatExt spid="_x0000_s348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1485900</xdr:colOff>
          <xdr:row>1</xdr:row>
          <xdr:rowOff>85725</xdr:rowOff>
        </xdr:from>
        <xdr:to>
          <xdr:col>2</xdr:col>
          <xdr:colOff>3286125</xdr:colOff>
          <xdr:row>1</xdr:row>
          <xdr:rowOff>438150</xdr:rowOff>
        </xdr:to>
        <xdr:sp macro="" textlink="">
          <xdr:nvSpPr>
            <xdr:cNvPr id="23572" name="Button 3" hidden="1">
              <a:extLst>
                <a:ext uri="{63B3BB69-23CF-44E3-9099-C40C66FF867C}">
                  <a14:compatExt spid="_x0000_s235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23573" name="Button 1" hidden="1">
              <a:extLst>
                <a:ext uri="{63B3BB69-23CF-44E3-9099-C40C66FF867C}">
                  <a14:compatExt spid="_x0000_s235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23574" name="Button 2" hidden="1">
              <a:extLst>
                <a:ext uri="{63B3BB69-23CF-44E3-9099-C40C66FF867C}">
                  <a14:compatExt spid="_x0000_s235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1485900</xdr:colOff>
          <xdr:row>1</xdr:row>
          <xdr:rowOff>85725</xdr:rowOff>
        </xdr:from>
        <xdr:to>
          <xdr:col>2</xdr:col>
          <xdr:colOff>3286125</xdr:colOff>
          <xdr:row>1</xdr:row>
          <xdr:rowOff>438150</xdr:rowOff>
        </xdr:to>
        <xdr:sp macro="" textlink="">
          <xdr:nvSpPr>
            <xdr:cNvPr id="36880" name="Button 3" hidden="1">
              <a:extLst>
                <a:ext uri="{63B3BB69-23CF-44E3-9099-C40C66FF867C}">
                  <a14:compatExt spid="_x0000_s368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6881" name="Button 1" hidden="1">
              <a:extLst>
                <a:ext uri="{63B3BB69-23CF-44E3-9099-C40C66FF867C}">
                  <a14:compatExt spid="_x0000_s368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36882" name="Button 2" hidden="1">
              <a:extLst>
                <a:ext uri="{63B3BB69-23CF-44E3-9099-C40C66FF867C}">
                  <a14:compatExt spid="_x0000_s368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5855" name="Button 1" hidden="1">
              <a:extLst>
                <a:ext uri="{63B3BB69-23CF-44E3-9099-C40C66FF867C}">
                  <a14:compatExt spid="_x0000_s358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35856" name="Button 2" hidden="1">
              <a:extLst>
                <a:ext uri="{63B3BB69-23CF-44E3-9099-C40C66FF867C}">
                  <a14:compatExt spid="_x0000_s358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ru-RU" sz="1400" b="1" i="0" u="none" strike="noStrike" baseline="0">
                  <a:solidFill>
                    <a:srgbClr val="FF0000"/>
                  </a:solidFill>
                  <a:latin typeface="Calibri"/>
                </a:rPr>
                <a:t>Delete Row</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acea.ec.europa.eu/erasmus-plus/funding/capacity-building-in-field-higher-education-eaca042015_en" TargetMode="External"/><Relationship Id="rId1" Type="http://schemas.openxmlformats.org/officeDocument/2006/relationships/hyperlink" Target="http://ec.europa.eu/programmes/erasmus-plus/discover/guide/index_en.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7"/>
  <sheetViews>
    <sheetView showGridLines="0" tabSelected="1" topLeftCell="A31" zoomScale="85" zoomScaleNormal="85" zoomScaleSheetLayoutView="85" workbookViewId="0">
      <selection activeCell="C44" sqref="C44"/>
    </sheetView>
  </sheetViews>
  <sheetFormatPr defaultColWidth="9.140625" defaultRowHeight="18" x14ac:dyDescent="0.25"/>
  <cols>
    <col min="1" max="1" width="1.7109375" style="16" customWidth="1"/>
    <col min="2" max="2" width="10" style="16" customWidth="1"/>
    <col min="3" max="3" width="50" style="17" customWidth="1"/>
    <col min="4" max="4" width="50.7109375" style="16" customWidth="1"/>
    <col min="5" max="5" width="23.7109375" style="16" customWidth="1"/>
    <col min="6" max="12" width="20.7109375" style="16" customWidth="1"/>
    <col min="13" max="13" width="1.7109375" style="16" customWidth="1"/>
    <col min="14" max="16384" width="9.140625" style="16"/>
  </cols>
  <sheetData>
    <row r="1" spans="2:12" ht="9.9499999999999993" customHeight="1" x14ac:dyDescent="0.25">
      <c r="G1" s="18"/>
      <c r="H1" s="18"/>
      <c r="I1" s="18"/>
      <c r="J1" s="18"/>
      <c r="K1" s="18"/>
      <c r="L1" s="18"/>
    </row>
    <row r="2" spans="2:12" s="21" customFormat="1" x14ac:dyDescent="0.25">
      <c r="B2" s="19"/>
      <c r="C2" s="19"/>
      <c r="D2" s="20"/>
      <c r="E2" s="20"/>
      <c r="F2" s="20"/>
      <c r="G2" s="18"/>
      <c r="H2" s="18"/>
      <c r="I2" s="18"/>
      <c r="J2" s="18"/>
      <c r="K2" s="18"/>
      <c r="L2" s="18"/>
    </row>
    <row r="3" spans="2:12" s="21" customFormat="1" x14ac:dyDescent="0.25">
      <c r="B3" s="19"/>
      <c r="C3" s="19"/>
      <c r="D3" s="22" t="s">
        <v>137</v>
      </c>
      <c r="E3" s="23"/>
      <c r="F3" s="20"/>
      <c r="G3" s="18"/>
      <c r="H3" s="18"/>
      <c r="I3" s="18"/>
      <c r="J3" s="18"/>
      <c r="K3" s="18"/>
      <c r="L3" s="18"/>
    </row>
    <row r="4" spans="2:12" s="21" customFormat="1" ht="20.100000000000001" customHeight="1" x14ac:dyDescent="0.25">
      <c r="B4" s="19"/>
      <c r="D4" s="22" t="s">
        <v>354</v>
      </c>
      <c r="E4" s="24"/>
      <c r="F4" s="24"/>
      <c r="G4" s="24"/>
      <c r="H4" s="24"/>
      <c r="I4" s="24"/>
      <c r="J4" s="24"/>
      <c r="K4" s="24"/>
      <c r="L4" s="24"/>
    </row>
    <row r="5" spans="2:12" s="21" customFormat="1" ht="20.100000000000001" customHeight="1" x14ac:dyDescent="0.25">
      <c r="B5" s="19"/>
      <c r="D5" s="24"/>
      <c r="E5" s="24"/>
      <c r="F5" s="24"/>
      <c r="G5" s="24"/>
      <c r="H5" s="24"/>
      <c r="I5" s="24"/>
      <c r="J5" s="24"/>
      <c r="K5" s="24"/>
      <c r="L5" s="24"/>
    </row>
    <row r="6" spans="2:12" s="21" customFormat="1" ht="9.9499999999999993" customHeight="1" x14ac:dyDescent="0.25">
      <c r="B6" s="25"/>
      <c r="C6" s="25"/>
      <c r="D6" s="20"/>
      <c r="E6" s="20"/>
      <c r="F6" s="20"/>
      <c r="G6" s="20"/>
      <c r="H6" s="20"/>
      <c r="I6" s="20"/>
      <c r="J6" s="20"/>
      <c r="K6" s="20"/>
    </row>
    <row r="7" spans="2:12" s="21" customFormat="1" ht="24.95" customHeight="1" x14ac:dyDescent="0.25">
      <c r="B7" s="144" t="s">
        <v>1</v>
      </c>
      <c r="C7" s="144"/>
      <c r="D7" s="144"/>
      <c r="E7" s="144"/>
      <c r="F7" s="144"/>
      <c r="G7" s="144"/>
      <c r="H7" s="144"/>
      <c r="I7" s="144"/>
      <c r="J7" s="144"/>
      <c r="K7" s="144"/>
      <c r="L7" s="144"/>
    </row>
    <row r="8" spans="2:12" s="21" customFormat="1" ht="24.95" customHeight="1" x14ac:dyDescent="0.25">
      <c r="B8" s="145" t="s">
        <v>353</v>
      </c>
      <c r="C8" s="145"/>
      <c r="D8" s="145"/>
      <c r="E8" s="145"/>
      <c r="F8" s="145"/>
      <c r="G8" s="145"/>
      <c r="H8" s="145"/>
      <c r="I8" s="145"/>
      <c r="J8" s="145"/>
      <c r="K8" s="145"/>
      <c r="L8" s="145"/>
    </row>
    <row r="9" spans="2:12" s="21" customFormat="1" ht="24.95" customHeight="1" x14ac:dyDescent="0.25">
      <c r="B9" s="146" t="s">
        <v>134</v>
      </c>
      <c r="C9" s="146"/>
      <c r="D9" s="146"/>
      <c r="E9" s="146"/>
      <c r="F9" s="146"/>
      <c r="G9" s="146"/>
      <c r="H9" s="146"/>
      <c r="I9" s="146"/>
      <c r="J9" s="146"/>
      <c r="K9" s="146"/>
      <c r="L9" s="146"/>
    </row>
    <row r="10" spans="2:12" s="21" customFormat="1" ht="20.100000000000001" customHeight="1" x14ac:dyDescent="0.25">
      <c r="B10" s="25"/>
      <c r="C10" s="25"/>
      <c r="D10" s="20"/>
      <c r="E10" s="20"/>
      <c r="F10" s="20"/>
      <c r="G10" s="20"/>
      <c r="H10" s="20"/>
      <c r="I10" s="20"/>
      <c r="J10" s="20"/>
      <c r="K10" s="20"/>
    </row>
    <row r="11" spans="2:12" s="21" customFormat="1" ht="18" customHeight="1" x14ac:dyDescent="0.25">
      <c r="B11" s="147" t="s">
        <v>3</v>
      </c>
      <c r="C11" s="147"/>
      <c r="D11" s="26"/>
      <c r="E11" s="149" t="str">
        <f>IF(D11="","Please select Action Type",IF(OR(D11="Joint Project",D11="Structural Project"),"","Error Type of Action"))</f>
        <v>Please select Action Type</v>
      </c>
      <c r="F11" s="149"/>
      <c r="G11" s="149"/>
      <c r="H11" s="149"/>
      <c r="I11" s="149"/>
      <c r="J11" s="149"/>
      <c r="K11" s="149"/>
      <c r="L11" s="149"/>
    </row>
    <row r="12" spans="2:12" s="21" customFormat="1" ht="18" customHeight="1" x14ac:dyDescent="0.25">
      <c r="B12" s="147" t="s">
        <v>140</v>
      </c>
      <c r="C12" s="147"/>
      <c r="D12" s="26"/>
      <c r="E12" s="149" t="str">
        <f>IF(D12="","Please select duration",IF(OR(D12=24,D12=36),"","Error duration"))</f>
        <v>Please select duration</v>
      </c>
      <c r="F12" s="149"/>
      <c r="G12" s="149"/>
      <c r="H12" s="149"/>
      <c r="I12" s="149"/>
      <c r="J12" s="149"/>
      <c r="K12" s="149"/>
      <c r="L12" s="149"/>
    </row>
    <row r="13" spans="2:12" s="21" customFormat="1" ht="18" customHeight="1" x14ac:dyDescent="0.25">
      <c r="B13" s="147" t="s">
        <v>175</v>
      </c>
      <c r="C13" s="147"/>
      <c r="D13" s="26"/>
      <c r="E13" s="149" t="str">
        <f>IF(D13="","Please fill in Project Acronym","")</f>
        <v>Please fill in Project Acronym</v>
      </c>
      <c r="F13" s="149"/>
      <c r="G13" s="149"/>
      <c r="H13" s="149"/>
      <c r="I13" s="149"/>
      <c r="J13" s="149"/>
      <c r="K13" s="149"/>
      <c r="L13" s="149"/>
    </row>
    <row r="14" spans="2:12" s="21" customFormat="1" ht="18" customHeight="1" x14ac:dyDescent="0.25">
      <c r="B14" s="147" t="s">
        <v>176</v>
      </c>
      <c r="C14" s="147"/>
      <c r="D14" s="150"/>
      <c r="E14" s="151"/>
      <c r="F14" s="151"/>
      <c r="G14" s="151"/>
      <c r="H14" s="151"/>
      <c r="I14" s="151"/>
      <c r="J14" s="151"/>
      <c r="K14" s="151"/>
      <c r="L14" s="152"/>
    </row>
    <row r="15" spans="2:12" s="21" customFormat="1" ht="20.100000000000001" customHeight="1" x14ac:dyDescent="0.25">
      <c r="B15" s="20"/>
      <c r="C15" s="20"/>
      <c r="D15" s="20"/>
      <c r="E15" s="20"/>
      <c r="F15" s="27"/>
      <c r="G15" s="20"/>
      <c r="H15" s="20"/>
      <c r="I15" s="20"/>
      <c r="J15" s="20"/>
      <c r="K15" s="20"/>
    </row>
    <row r="16" spans="2:12" s="21" customFormat="1" ht="24.95" customHeight="1" x14ac:dyDescent="0.25">
      <c r="B16" s="148" t="s">
        <v>243</v>
      </c>
      <c r="C16" s="148"/>
      <c r="D16" s="148"/>
      <c r="E16" s="148"/>
      <c r="F16" s="148"/>
      <c r="G16" s="148"/>
      <c r="H16" s="148"/>
      <c r="I16" s="148"/>
      <c r="J16" s="148"/>
      <c r="K16" s="148"/>
      <c r="L16" s="148"/>
    </row>
    <row r="17" spans="2:12" s="21" customFormat="1" x14ac:dyDescent="0.25">
      <c r="B17" s="147" t="s">
        <v>172</v>
      </c>
      <c r="C17" s="147"/>
      <c r="D17" s="28">
        <f>'1. Staff costs'!D9</f>
        <v>0</v>
      </c>
      <c r="E17" s="143" t="str">
        <f>"Cannot exceed 40% of total A."</f>
        <v>Cannot exceed 40% of total A.</v>
      </c>
      <c r="F17" s="143"/>
      <c r="G17" s="143"/>
      <c r="H17" s="143"/>
      <c r="I17" s="143"/>
      <c r="J17" s="143"/>
      <c r="K17" s="143"/>
      <c r="L17" s="143"/>
    </row>
    <row r="18" spans="2:12" s="21" customFormat="1" x14ac:dyDescent="0.25">
      <c r="B18" s="147" t="s">
        <v>195</v>
      </c>
      <c r="C18" s="147"/>
      <c r="D18" s="28">
        <f>'2-3. Travel Costs&amp;Costs of Stay'!D8</f>
        <v>0</v>
      </c>
      <c r="E18" s="143"/>
      <c r="F18" s="143"/>
      <c r="G18" s="143"/>
      <c r="H18" s="143"/>
      <c r="I18" s="143"/>
      <c r="J18" s="143"/>
      <c r="K18" s="143"/>
      <c r="L18" s="143"/>
    </row>
    <row r="19" spans="2:12" s="21" customFormat="1" x14ac:dyDescent="0.25">
      <c r="B19" s="147" t="s">
        <v>196</v>
      </c>
      <c r="C19" s="147"/>
      <c r="D19" s="28">
        <f>'2-3. Travel Costs&amp;Costs of Stay'!D9</f>
        <v>0</v>
      </c>
      <c r="E19" s="143"/>
      <c r="F19" s="143"/>
      <c r="G19" s="143"/>
      <c r="H19" s="143"/>
      <c r="I19" s="143"/>
      <c r="J19" s="143"/>
      <c r="K19" s="143"/>
      <c r="L19" s="143"/>
    </row>
    <row r="20" spans="2:12" s="21" customFormat="1" x14ac:dyDescent="0.25">
      <c r="B20" s="147" t="s">
        <v>191</v>
      </c>
      <c r="C20" s="147"/>
      <c r="D20" s="28">
        <f>'4. Equipment Costs'!C4</f>
        <v>0</v>
      </c>
      <c r="E20" s="143" t="str">
        <f>"Cannot exceed 30% of total A."</f>
        <v>Cannot exceed 30% of total A.</v>
      </c>
      <c r="F20" s="143"/>
      <c r="G20" s="143"/>
      <c r="H20" s="143"/>
      <c r="I20" s="143"/>
      <c r="J20" s="143"/>
      <c r="K20" s="143"/>
      <c r="L20" s="143"/>
    </row>
    <row r="21" spans="2:12" s="21" customFormat="1" x14ac:dyDescent="0.25">
      <c r="B21" s="147" t="s">
        <v>192</v>
      </c>
      <c r="C21" s="147"/>
      <c r="D21" s="28">
        <f>'5. Subcontracting Costs'!C4</f>
        <v>0</v>
      </c>
      <c r="E21" s="143" t="str">
        <f>"Cannot exceed 10% of total A."</f>
        <v>Cannot exceed 10% of total A.</v>
      </c>
      <c r="F21" s="143"/>
      <c r="G21" s="143"/>
      <c r="H21" s="143"/>
      <c r="I21" s="143"/>
      <c r="J21" s="143"/>
      <c r="K21" s="143"/>
      <c r="L21" s="143"/>
    </row>
    <row r="22" spans="2:12" ht="24.95" customHeight="1" x14ac:dyDescent="0.25">
      <c r="B22" s="142" t="s">
        <v>206</v>
      </c>
      <c r="C22" s="142"/>
      <c r="D22" s="29">
        <f>SUM(D17:D21)</f>
        <v>0</v>
      </c>
      <c r="E22" s="153" t="str">
        <f>"Should be equal or above EUR 500.000,00 and cannot exceed EUR 1.000.000,00"</f>
        <v>Should be equal or above EUR 500.000,00 and cannot exceed EUR 1.000.000,00</v>
      </c>
      <c r="F22" s="153"/>
      <c r="G22" s="153"/>
      <c r="H22" s="153"/>
      <c r="I22" s="153"/>
      <c r="J22" s="153"/>
      <c r="K22" s="153"/>
      <c r="L22" s="153"/>
    </row>
    <row r="23" spans="2:12" ht="8.1" customHeight="1" x14ac:dyDescent="0.25">
      <c r="B23" s="30"/>
      <c r="C23" s="30"/>
      <c r="D23" s="31"/>
      <c r="E23" s="32"/>
      <c r="F23" s="33"/>
      <c r="G23" s="33"/>
      <c r="H23" s="33"/>
      <c r="I23" s="33"/>
      <c r="J23" s="33"/>
      <c r="K23" s="33"/>
      <c r="L23" s="33"/>
    </row>
    <row r="24" spans="2:12" ht="18" customHeight="1" x14ac:dyDescent="0.25">
      <c r="B24" s="142" t="s">
        <v>334</v>
      </c>
      <c r="C24" s="142"/>
      <c r="D24" s="155">
        <f>SUM(J24:J27)</f>
        <v>0</v>
      </c>
      <c r="E24" s="153" t="s">
        <v>236</v>
      </c>
      <c r="F24" s="153"/>
      <c r="G24" s="142" t="s">
        <v>220</v>
      </c>
      <c r="H24" s="142"/>
      <c r="I24" s="140" t="s">
        <v>346</v>
      </c>
      <c r="J24" s="107">
        <f>SUMIF('B. Special Mob Strand - Student'!E:E,G24,'B. Special Mob Strand - Student'!N:N)</f>
        <v>0</v>
      </c>
      <c r="K24" s="140" t="s">
        <v>335</v>
      </c>
      <c r="L24" s="106">
        <f>SUMIFS('B. Special Mob Strand - Student'!G:G,'B. Special Mob Strand - Student'!E:E,G24,'B. Special Mob Strand - Student'!O:O,"&lt;&gt;Error")</f>
        <v>0</v>
      </c>
    </row>
    <row r="25" spans="2:12" ht="18" customHeight="1" x14ac:dyDescent="0.25">
      <c r="B25" s="142"/>
      <c r="C25" s="142"/>
      <c r="D25" s="155"/>
      <c r="E25" s="153"/>
      <c r="F25" s="153"/>
      <c r="G25" s="142" t="s">
        <v>221</v>
      </c>
      <c r="H25" s="142"/>
      <c r="I25" s="141"/>
      <c r="J25" s="107">
        <f>SUMIF('B. Special Mob Strand - Student'!E:E,G25,'B. Special Mob Strand - Student'!N:N)</f>
        <v>0</v>
      </c>
      <c r="K25" s="140"/>
      <c r="L25" s="106">
        <f>SUMIFS('B. Special Mob Strand - Student'!G:G,'B. Special Mob Strand - Student'!E:E,G25,'B. Special Mob Strand - Student'!O:O,"&lt;&gt;Error")</f>
        <v>0</v>
      </c>
    </row>
    <row r="26" spans="2:12" ht="18" customHeight="1" x14ac:dyDescent="0.25">
      <c r="B26" s="142"/>
      <c r="C26" s="142"/>
      <c r="D26" s="155"/>
      <c r="E26" s="153"/>
      <c r="F26" s="153"/>
      <c r="G26" s="142" t="s">
        <v>224</v>
      </c>
      <c r="H26" s="142"/>
      <c r="I26" s="141"/>
      <c r="J26" s="107">
        <f>SUMIF('B. Special Mob Strand - Staff'!E:E,G26,'B. Special Mob Strand - Staff'!N:N)</f>
        <v>0</v>
      </c>
      <c r="K26" s="140"/>
      <c r="L26" s="106">
        <f>SUMIFS('B. Special Mob Strand - Staff'!G:G,'B. Special Mob Strand - Staff'!E:E,G26,'B. Special Mob Strand - Staff'!O:O,"&lt;&gt;Error")</f>
        <v>0</v>
      </c>
    </row>
    <row r="27" spans="2:12" ht="18" customHeight="1" x14ac:dyDescent="0.25">
      <c r="B27" s="142"/>
      <c r="C27" s="142"/>
      <c r="D27" s="155"/>
      <c r="E27" s="153"/>
      <c r="F27" s="153"/>
      <c r="G27" s="142" t="s">
        <v>225</v>
      </c>
      <c r="H27" s="142"/>
      <c r="I27" s="141"/>
      <c r="J27" s="107">
        <f>SUMIF('B. Special Mob Strand - Staff'!E:E,G27,'B. Special Mob Strand - Staff'!N:N)</f>
        <v>0</v>
      </c>
      <c r="K27" s="140"/>
      <c r="L27" s="106">
        <f>SUMIFS('B. Special Mob Strand - Staff'!G:G,'B. Special Mob Strand - Staff'!E:E,G27,'B. Special Mob Strand - Staff'!O:O,"&lt;&gt;Error")</f>
        <v>0</v>
      </c>
    </row>
    <row r="28" spans="2:12" ht="8.1" customHeight="1" x14ac:dyDescent="0.25">
      <c r="B28" s="30"/>
      <c r="C28" s="30"/>
      <c r="D28" s="31"/>
      <c r="E28" s="32"/>
      <c r="F28" s="33"/>
      <c r="G28" s="33"/>
      <c r="H28" s="33"/>
      <c r="I28" s="33"/>
      <c r="J28" s="33"/>
      <c r="K28" s="33"/>
      <c r="L28" s="33"/>
    </row>
    <row r="29" spans="2:12" s="21" customFormat="1" ht="24.95" customHeight="1" x14ac:dyDescent="0.25">
      <c r="B29" s="142" t="s">
        <v>207</v>
      </c>
      <c r="C29" s="142"/>
      <c r="D29" s="29">
        <f>D22+D24</f>
        <v>0</v>
      </c>
      <c r="E29" s="154"/>
      <c r="F29" s="154"/>
      <c r="G29" s="154"/>
      <c r="H29" s="154"/>
      <c r="I29" s="154"/>
      <c r="J29" s="154"/>
      <c r="K29" s="154"/>
      <c r="L29" s="154"/>
    </row>
    <row r="30" spans="2:12" s="21" customFormat="1" ht="20.100000000000001" customHeight="1" x14ac:dyDescent="0.25">
      <c r="B30" s="20"/>
      <c r="C30" s="20"/>
      <c r="D30" s="20"/>
      <c r="E30" s="20"/>
      <c r="F30" s="27"/>
      <c r="G30" s="20"/>
      <c r="H30" s="20"/>
      <c r="I30" s="20"/>
      <c r="J30" s="20"/>
      <c r="K30" s="20"/>
    </row>
    <row r="31" spans="2:12" s="21" customFormat="1" ht="24.95" customHeight="1" x14ac:dyDescent="0.25">
      <c r="B31" s="148" t="s">
        <v>185</v>
      </c>
      <c r="C31" s="148"/>
      <c r="D31" s="148"/>
      <c r="E31" s="148"/>
      <c r="F31" s="148"/>
      <c r="G31" s="148"/>
      <c r="H31" s="148"/>
      <c r="I31" s="148"/>
      <c r="J31" s="148"/>
      <c r="K31" s="148"/>
      <c r="L31" s="148"/>
    </row>
    <row r="32" spans="2:12" s="21" customFormat="1" ht="54" x14ac:dyDescent="0.25">
      <c r="B32" s="122" t="s">
        <v>151</v>
      </c>
      <c r="C32" s="35" t="s">
        <v>152</v>
      </c>
      <c r="D32" s="35" t="s">
        <v>0</v>
      </c>
      <c r="E32" s="36" t="s">
        <v>182</v>
      </c>
      <c r="F32" s="36" t="s">
        <v>200</v>
      </c>
      <c r="G32" s="36" t="s">
        <v>201</v>
      </c>
      <c r="H32" s="36" t="s">
        <v>202</v>
      </c>
      <c r="I32" s="36" t="s">
        <v>203</v>
      </c>
      <c r="J32" s="36" t="s">
        <v>204</v>
      </c>
      <c r="K32" s="37" t="s">
        <v>205</v>
      </c>
      <c r="L32" s="38" t="s">
        <v>347</v>
      </c>
    </row>
    <row r="33" spans="2:12" x14ac:dyDescent="0.25">
      <c r="B33" s="123" t="s">
        <v>9</v>
      </c>
      <c r="C33" s="44" t="s">
        <v>383</v>
      </c>
      <c r="D33" s="39" t="s">
        <v>42</v>
      </c>
      <c r="E33" s="40" t="str">
        <f t="shared" ref="E33:E87" si="0">IFERROR(IF(D33&lt;&gt;"",VLOOKUP(D33,CountryType,2,FALSE),""),"Country not found")</f>
        <v>Programme Countries</v>
      </c>
      <c r="F33" s="41">
        <f>SUMIF('1. Staff costs'!C:C,B33,'1. Staff costs'!S:S)</f>
        <v>0</v>
      </c>
      <c r="G33" s="41">
        <f>SUMIF('2-3. Travel Costs&amp;Costs of Stay'!C:C,B33,'2-3. Travel Costs&amp;Costs of Stay'!L:L)</f>
        <v>0</v>
      </c>
      <c r="H33" s="41">
        <f>SUMIF('2-3. Travel Costs&amp;Costs of Stay'!C:C,B33,'2-3. Travel Costs&amp;Costs of Stay'!M:M)</f>
        <v>0</v>
      </c>
      <c r="I33" s="41">
        <f>SUMIF('4. Equipment Costs'!C:C,B33,'4. Equipment Costs'!H:H)</f>
        <v>0</v>
      </c>
      <c r="J33" s="41">
        <f>SUMIF('5. Subcontracting Costs'!C:C,B33,'5. Subcontracting Costs'!H:H)</f>
        <v>0</v>
      </c>
      <c r="K33" s="42">
        <f>SUMIF('B. Special Mob Strand - Student'!B:B,B33,'B. Special Mob Strand - Student'!N:N)+SUMIF('B. Special Mob Strand - Staff'!B:B,B33,'B. Special Mob Strand - Staff'!N:N)</f>
        <v>0</v>
      </c>
      <c r="L33" s="43">
        <f>SUM(F33:K33)</f>
        <v>0</v>
      </c>
    </row>
    <row r="34" spans="2:12" x14ac:dyDescent="0.25">
      <c r="B34" s="123" t="s">
        <v>10</v>
      </c>
      <c r="C34" s="44" t="s">
        <v>401</v>
      </c>
      <c r="D34" s="39" t="s">
        <v>39</v>
      </c>
      <c r="E34" s="40" t="str">
        <f t="shared" si="0"/>
        <v>Programme Countries</v>
      </c>
      <c r="F34" s="41">
        <f>SUMIF('1. Staff costs'!C:C,B34,'1. Staff costs'!S:S)</f>
        <v>0</v>
      </c>
      <c r="G34" s="41">
        <f>SUMIF('2-3. Travel Costs&amp;Costs of Stay'!C:C,B34,'2-3. Travel Costs&amp;Costs of Stay'!L:L)</f>
        <v>0</v>
      </c>
      <c r="H34" s="41">
        <f>SUMIF('2-3. Travel Costs&amp;Costs of Stay'!C:C,B34,'2-3. Travel Costs&amp;Costs of Stay'!M:M)</f>
        <v>0</v>
      </c>
      <c r="I34" s="41">
        <f>SUMIF('4. Equipment Costs'!C:C,B34,'4. Equipment Costs'!H:H)</f>
        <v>0</v>
      </c>
      <c r="J34" s="41">
        <f>SUMIF('5. Subcontracting Costs'!C:C,B34,'5. Subcontracting Costs'!H:H)</f>
        <v>0</v>
      </c>
      <c r="K34" s="42">
        <f>SUMIF('B. Special Mob Strand - Student'!B:B,B34,'B. Special Mob Strand - Student'!N:N)+SUMIF('B. Special Mob Strand - Staff'!B:B,B34,'B. Special Mob Strand - Staff'!N:N)</f>
        <v>0</v>
      </c>
      <c r="L34" s="43">
        <f t="shared" ref="L34:L87" si="1">SUM(F34:K34)</f>
        <v>0</v>
      </c>
    </row>
    <row r="35" spans="2:12" x14ac:dyDescent="0.25">
      <c r="B35" s="123" t="s">
        <v>11</v>
      </c>
      <c r="C35" s="44" t="s">
        <v>384</v>
      </c>
      <c r="D35" s="39" t="s">
        <v>52</v>
      </c>
      <c r="E35" s="40" t="str">
        <f t="shared" si="0"/>
        <v>Programme Countries</v>
      </c>
      <c r="F35" s="41">
        <f>SUMIF('1. Staff costs'!C:C,B35,'1. Staff costs'!S:S)</f>
        <v>0</v>
      </c>
      <c r="G35" s="41">
        <f>SUMIF('2-3. Travel Costs&amp;Costs of Stay'!C:C,B35,'2-3. Travel Costs&amp;Costs of Stay'!L:L)</f>
        <v>0</v>
      </c>
      <c r="H35" s="41">
        <f>SUMIF('2-3. Travel Costs&amp;Costs of Stay'!C:C,B35,'2-3. Travel Costs&amp;Costs of Stay'!M:M)</f>
        <v>0</v>
      </c>
      <c r="I35" s="41">
        <f>SUMIF('4. Equipment Costs'!C:C,B35,'4. Equipment Costs'!H:H)</f>
        <v>0</v>
      </c>
      <c r="J35" s="41">
        <f>SUMIF('5. Subcontracting Costs'!C:C,B35,'5. Subcontracting Costs'!H:H)</f>
        <v>0</v>
      </c>
      <c r="K35" s="42">
        <f>SUMIF('B. Special Mob Strand - Student'!B:B,B35,'B. Special Mob Strand - Student'!N:N)+SUMIF('B. Special Mob Strand - Staff'!B:B,B35,'B. Special Mob Strand - Staff'!N:N)</f>
        <v>0</v>
      </c>
      <c r="L35" s="43">
        <f t="shared" si="1"/>
        <v>0</v>
      </c>
    </row>
    <row r="36" spans="2:12" x14ac:dyDescent="0.25">
      <c r="B36" s="123" t="s">
        <v>12</v>
      </c>
      <c r="C36" s="44" t="s">
        <v>385</v>
      </c>
      <c r="D36" s="39" t="s">
        <v>37</v>
      </c>
      <c r="E36" s="40" t="str">
        <f t="shared" si="0"/>
        <v>Programme Countries</v>
      </c>
      <c r="F36" s="41">
        <f>SUMIF('1. Staff costs'!C:C,B36,'1. Staff costs'!S:S)</f>
        <v>0</v>
      </c>
      <c r="G36" s="41">
        <f>SUMIF('2-3. Travel Costs&amp;Costs of Stay'!C:C,B36,'2-3. Travel Costs&amp;Costs of Stay'!L:L)</f>
        <v>0</v>
      </c>
      <c r="H36" s="41">
        <f>SUMIF('2-3. Travel Costs&amp;Costs of Stay'!C:C,B36,'2-3. Travel Costs&amp;Costs of Stay'!M:M)</f>
        <v>0</v>
      </c>
      <c r="I36" s="41">
        <f>SUMIF('4. Equipment Costs'!C:C,B36,'4. Equipment Costs'!H:H)</f>
        <v>0</v>
      </c>
      <c r="J36" s="41">
        <f>SUMIF('5. Subcontracting Costs'!C:C,B36,'5. Subcontracting Costs'!H:H)</f>
        <v>0</v>
      </c>
      <c r="K36" s="42">
        <f>SUMIF('B. Special Mob Strand - Student'!B:B,B36,'B. Special Mob Strand - Student'!N:N)+SUMIF('B. Special Mob Strand - Staff'!B:B,B36,'B. Special Mob Strand - Staff'!N:N)</f>
        <v>0</v>
      </c>
      <c r="L36" s="43">
        <f t="shared" si="1"/>
        <v>0</v>
      </c>
    </row>
    <row r="37" spans="2:12" x14ac:dyDescent="0.25">
      <c r="B37" s="123" t="s">
        <v>13</v>
      </c>
      <c r="C37" s="44" t="s">
        <v>400</v>
      </c>
      <c r="D37" s="39" t="s">
        <v>42</v>
      </c>
      <c r="E37" s="40" t="str">
        <f t="shared" si="0"/>
        <v>Programme Countries</v>
      </c>
      <c r="F37" s="41">
        <f>SUMIF('1. Staff costs'!C:C,B37,'1. Staff costs'!S:S)</f>
        <v>0</v>
      </c>
      <c r="G37" s="41">
        <f>SUMIF('2-3. Travel Costs&amp;Costs of Stay'!C:C,B37,'2-3. Travel Costs&amp;Costs of Stay'!L:L)</f>
        <v>0</v>
      </c>
      <c r="H37" s="41">
        <f>SUMIF('2-3. Travel Costs&amp;Costs of Stay'!C:C,B37,'2-3. Travel Costs&amp;Costs of Stay'!M:M)</f>
        <v>0</v>
      </c>
      <c r="I37" s="41">
        <f>SUMIF('4. Equipment Costs'!C:C,B37,'4. Equipment Costs'!H:H)</f>
        <v>0</v>
      </c>
      <c r="J37" s="41">
        <f>SUMIF('5. Subcontracting Costs'!C:C,B37,'5. Subcontracting Costs'!H:H)</f>
        <v>0</v>
      </c>
      <c r="K37" s="42">
        <f>SUMIF('B. Special Mob Strand - Student'!B:B,B37,'B. Special Mob Strand - Student'!N:N)+SUMIF('B. Special Mob Strand - Staff'!B:B,B37,'B. Special Mob Strand - Staff'!N:N)</f>
        <v>0</v>
      </c>
      <c r="L37" s="43">
        <f t="shared" si="1"/>
        <v>0</v>
      </c>
    </row>
    <row r="38" spans="2:12" x14ac:dyDescent="0.25">
      <c r="B38" s="123" t="s">
        <v>14</v>
      </c>
      <c r="C38" s="44" t="s">
        <v>402</v>
      </c>
      <c r="D38" s="39" t="s">
        <v>69</v>
      </c>
      <c r="E38" s="40" t="str">
        <f t="shared" si="0"/>
        <v>Partner Countries</v>
      </c>
      <c r="F38" s="41">
        <f>SUMIF('1. Staff costs'!C:C,B38,'1. Staff costs'!S:S)</f>
        <v>0</v>
      </c>
      <c r="G38" s="41">
        <f>SUMIF('2-3. Travel Costs&amp;Costs of Stay'!C:C,B38,'2-3. Travel Costs&amp;Costs of Stay'!L:L)</f>
        <v>0</v>
      </c>
      <c r="H38" s="41">
        <f>SUMIF('2-3. Travel Costs&amp;Costs of Stay'!C:C,B38,'2-3. Travel Costs&amp;Costs of Stay'!M:M)</f>
        <v>0</v>
      </c>
      <c r="I38" s="41">
        <f>SUMIF('4. Equipment Costs'!C:C,B38,'4. Equipment Costs'!H:H)</f>
        <v>0</v>
      </c>
      <c r="J38" s="41">
        <f>SUMIF('5. Subcontracting Costs'!C:C,B38,'5. Subcontracting Costs'!H:H)</f>
        <v>0</v>
      </c>
      <c r="K38" s="42">
        <f>SUMIF('B. Special Mob Strand - Student'!B:B,B38,'B. Special Mob Strand - Student'!N:N)+SUMIF('B. Special Mob Strand - Staff'!B:B,B38,'B. Special Mob Strand - Staff'!N:N)</f>
        <v>0</v>
      </c>
      <c r="L38" s="43">
        <f t="shared" si="1"/>
        <v>0</v>
      </c>
    </row>
    <row r="39" spans="2:12" x14ac:dyDescent="0.25">
      <c r="B39" s="123" t="s">
        <v>15</v>
      </c>
      <c r="C39" s="44" t="s">
        <v>403</v>
      </c>
      <c r="D39" s="39" t="s">
        <v>69</v>
      </c>
      <c r="E39" s="40" t="str">
        <f t="shared" si="0"/>
        <v>Partner Countries</v>
      </c>
      <c r="F39" s="41">
        <f>SUMIF('1. Staff costs'!C:C,B39,'1. Staff costs'!S:S)</f>
        <v>0</v>
      </c>
      <c r="G39" s="41">
        <f>SUMIF('2-3. Travel Costs&amp;Costs of Stay'!C:C,B39,'2-3. Travel Costs&amp;Costs of Stay'!L:L)</f>
        <v>0</v>
      </c>
      <c r="H39" s="41">
        <f>SUMIF('2-3. Travel Costs&amp;Costs of Stay'!C:C,B39,'2-3. Travel Costs&amp;Costs of Stay'!M:M)</f>
        <v>0</v>
      </c>
      <c r="I39" s="41">
        <f>SUMIF('4. Equipment Costs'!C:C,B39,'4. Equipment Costs'!H:H)</f>
        <v>0</v>
      </c>
      <c r="J39" s="41">
        <f>SUMIF('5. Subcontracting Costs'!C:C,B39,'5. Subcontracting Costs'!H:H)</f>
        <v>0</v>
      </c>
      <c r="K39" s="42">
        <f>SUMIF('B. Special Mob Strand - Student'!B:B,B39,'B. Special Mob Strand - Student'!N:N)+SUMIF('B. Special Mob Strand - Staff'!B:B,B39,'B. Special Mob Strand - Staff'!N:N)</f>
        <v>0</v>
      </c>
      <c r="L39" s="43">
        <f t="shared" si="1"/>
        <v>0</v>
      </c>
    </row>
    <row r="40" spans="2:12" x14ac:dyDescent="0.25">
      <c r="B40" s="123" t="s">
        <v>16</v>
      </c>
      <c r="C40" s="44" t="s">
        <v>404</v>
      </c>
      <c r="D40" s="39" t="s">
        <v>69</v>
      </c>
      <c r="E40" s="40" t="str">
        <f t="shared" si="0"/>
        <v>Partner Countries</v>
      </c>
      <c r="F40" s="41">
        <f>SUMIF('1. Staff costs'!C:C,B40,'1. Staff costs'!S:S)</f>
        <v>0</v>
      </c>
      <c r="G40" s="41">
        <f>SUMIF('2-3. Travel Costs&amp;Costs of Stay'!C:C,B40,'2-3. Travel Costs&amp;Costs of Stay'!L:L)</f>
        <v>0</v>
      </c>
      <c r="H40" s="41">
        <f>SUMIF('2-3. Travel Costs&amp;Costs of Stay'!C:C,B40,'2-3. Travel Costs&amp;Costs of Stay'!M:M)</f>
        <v>0</v>
      </c>
      <c r="I40" s="41">
        <f>SUMIF('4. Equipment Costs'!C:C,B40,'4. Equipment Costs'!H:H)</f>
        <v>0</v>
      </c>
      <c r="J40" s="41">
        <f>SUMIF('5. Subcontracting Costs'!C:C,B40,'5. Subcontracting Costs'!H:H)</f>
        <v>0</v>
      </c>
      <c r="K40" s="42">
        <f>SUMIF('B. Special Mob Strand - Student'!B:B,B40,'B. Special Mob Strand - Student'!N:N)+SUMIF('B. Special Mob Strand - Staff'!B:B,B40,'B. Special Mob Strand - Staff'!N:N)</f>
        <v>0</v>
      </c>
      <c r="L40" s="43">
        <f t="shared" si="1"/>
        <v>0</v>
      </c>
    </row>
    <row r="41" spans="2:12" x14ac:dyDescent="0.25">
      <c r="B41" s="123" t="s">
        <v>17</v>
      </c>
      <c r="C41" s="44" t="s">
        <v>386</v>
      </c>
      <c r="D41" s="39" t="s">
        <v>83</v>
      </c>
      <c r="E41" s="40" t="str">
        <f>IFERROR(IF(D41&lt;&gt;"",VLOOKUP(D41,CountryType,2,FALSE),""),"Country not found")</f>
        <v>Partner Countries</v>
      </c>
      <c r="F41" s="41">
        <f>SUMIF('1. Staff costs'!C:C,B41,'1. Staff costs'!S:S)</f>
        <v>0</v>
      </c>
      <c r="G41" s="41">
        <f>SUMIF('2-3. Travel Costs&amp;Costs of Stay'!C:C,B41,'2-3. Travel Costs&amp;Costs of Stay'!L:L)</f>
        <v>0</v>
      </c>
      <c r="H41" s="41">
        <f>SUMIF('2-3. Travel Costs&amp;Costs of Stay'!C:C,B41,'2-3. Travel Costs&amp;Costs of Stay'!M:M)</f>
        <v>0</v>
      </c>
      <c r="I41" s="41">
        <f>SUMIF('4. Equipment Costs'!C:C,B41,'4. Equipment Costs'!H:H)</f>
        <v>0</v>
      </c>
      <c r="J41" s="41">
        <f>SUMIF('5. Subcontracting Costs'!C:C,B41,'5. Subcontracting Costs'!H:H)</f>
        <v>0</v>
      </c>
      <c r="K41" s="42">
        <f>SUMIF('B. Special Mob Strand - Student'!B:B,B41,'B. Special Mob Strand - Student'!N:N)+SUMIF('B. Special Mob Strand - Staff'!B:B,B41,'B. Special Mob Strand - Staff'!N:N)</f>
        <v>0</v>
      </c>
      <c r="L41" s="43">
        <f t="shared" si="1"/>
        <v>0</v>
      </c>
    </row>
    <row r="42" spans="2:12" x14ac:dyDescent="0.25">
      <c r="B42" s="123" t="s">
        <v>18</v>
      </c>
      <c r="C42" s="44" t="s">
        <v>387</v>
      </c>
      <c r="D42" s="39" t="s">
        <v>83</v>
      </c>
      <c r="E42" s="40" t="str">
        <f>IFERROR(IF(D42&lt;&gt;"",VLOOKUP(D42,CountryType,2,FALSE),""),"Country not found")</f>
        <v>Partner Countries</v>
      </c>
      <c r="F42" s="41">
        <f>SUMIF('1. Staff costs'!C:C,B42,'1. Staff costs'!S:S)</f>
        <v>0</v>
      </c>
      <c r="G42" s="41">
        <f>SUMIF('2-3. Travel Costs&amp;Costs of Stay'!C:C,B42,'2-3. Travel Costs&amp;Costs of Stay'!L:L)</f>
        <v>0</v>
      </c>
      <c r="H42" s="41">
        <f>SUMIF('2-3. Travel Costs&amp;Costs of Stay'!C:C,B42,'2-3. Travel Costs&amp;Costs of Stay'!M:M)</f>
        <v>0</v>
      </c>
      <c r="I42" s="41">
        <f>SUMIF('4. Equipment Costs'!C:C,B42,'4. Equipment Costs'!H:H)</f>
        <v>0</v>
      </c>
      <c r="J42" s="41">
        <f>SUMIF('5. Subcontracting Costs'!C:C,B42,'5. Subcontracting Costs'!H:H)</f>
        <v>0</v>
      </c>
      <c r="K42" s="42">
        <f>SUMIF('B. Special Mob Strand - Student'!B:B,B42,'B. Special Mob Strand - Student'!N:N)+SUMIF('B. Special Mob Strand - Staff'!B:B,B42,'B. Special Mob Strand - Staff'!N:N)</f>
        <v>0</v>
      </c>
      <c r="L42" s="43">
        <f t="shared" si="1"/>
        <v>0</v>
      </c>
    </row>
    <row r="43" spans="2:12" x14ac:dyDescent="0.25">
      <c r="B43" s="123" t="s">
        <v>19</v>
      </c>
      <c r="C43" s="44" t="s">
        <v>388</v>
      </c>
      <c r="D43" s="39" t="s">
        <v>83</v>
      </c>
      <c r="E43" s="40" t="str">
        <f>IFERROR(IF(D43&lt;&gt;"",VLOOKUP(D43,CountryType,2,FALSE),""),"Country not found")</f>
        <v>Partner Countries</v>
      </c>
      <c r="F43" s="41">
        <f>SUMIF('1. Staff costs'!C:C,B43,'1. Staff costs'!S:S)</f>
        <v>0</v>
      </c>
      <c r="G43" s="41">
        <f>SUMIF('2-3. Travel Costs&amp;Costs of Stay'!C:C,B43,'2-3. Travel Costs&amp;Costs of Stay'!L:L)</f>
        <v>0</v>
      </c>
      <c r="H43" s="41">
        <f>SUMIF('2-3. Travel Costs&amp;Costs of Stay'!C:C,B43,'2-3. Travel Costs&amp;Costs of Stay'!M:M)</f>
        <v>0</v>
      </c>
      <c r="I43" s="41">
        <f>SUMIF('4. Equipment Costs'!C:C,B43,'4. Equipment Costs'!H:H)</f>
        <v>0</v>
      </c>
      <c r="J43" s="41">
        <f>SUMIF('5. Subcontracting Costs'!C:C,B43,'5. Subcontracting Costs'!H:H)</f>
        <v>0</v>
      </c>
      <c r="K43" s="42">
        <f>SUMIF('B. Special Mob Strand - Student'!B:B,B43,'B. Special Mob Strand - Student'!N:N)+SUMIF('B. Special Mob Strand - Staff'!B:B,B43,'B. Special Mob Strand - Staff'!N:N)</f>
        <v>0</v>
      </c>
      <c r="L43" s="43">
        <f t="shared" si="1"/>
        <v>0</v>
      </c>
    </row>
    <row r="44" spans="2:12" x14ac:dyDescent="0.25">
      <c r="B44" s="123" t="s">
        <v>20</v>
      </c>
      <c r="C44" s="44" t="s">
        <v>406</v>
      </c>
      <c r="D44" s="39" t="s">
        <v>83</v>
      </c>
      <c r="E44" s="40" t="str">
        <f>IFERROR(IF(D44&lt;&gt;"",VLOOKUP(D44,CountryType,2,FALSE),""),"Country not found")</f>
        <v>Partner Countries</v>
      </c>
      <c r="F44" s="41">
        <f>SUMIF('1. Staff costs'!C:C,B44,'1. Staff costs'!S:S)</f>
        <v>0</v>
      </c>
      <c r="G44" s="41">
        <f>SUMIF('2-3. Travel Costs&amp;Costs of Stay'!C:C,B44,'2-3. Travel Costs&amp;Costs of Stay'!L:L)</f>
        <v>0</v>
      </c>
      <c r="H44" s="41">
        <f>SUMIF('2-3. Travel Costs&amp;Costs of Stay'!C:C,B44,'2-3. Travel Costs&amp;Costs of Stay'!M:M)</f>
        <v>0</v>
      </c>
      <c r="I44" s="41">
        <f>SUMIF('4. Equipment Costs'!C:C,B44,'4. Equipment Costs'!H:H)</f>
        <v>0</v>
      </c>
      <c r="J44" s="41">
        <f>SUMIF('5. Subcontracting Costs'!C:C,B44,'5. Subcontracting Costs'!H:H)</f>
        <v>0</v>
      </c>
      <c r="K44" s="42">
        <f>SUMIF('B. Special Mob Strand - Student'!B:B,B44,'B. Special Mob Strand - Student'!N:N)+SUMIF('B. Special Mob Strand - Staff'!B:B,B44,'B. Special Mob Strand - Staff'!N:N)</f>
        <v>0</v>
      </c>
      <c r="L44" s="43">
        <f t="shared" si="1"/>
        <v>0</v>
      </c>
    </row>
    <row r="45" spans="2:12" x14ac:dyDescent="0.25">
      <c r="B45" s="123" t="s">
        <v>161</v>
      </c>
      <c r="C45" s="44" t="s">
        <v>389</v>
      </c>
      <c r="D45" s="39" t="s">
        <v>83</v>
      </c>
      <c r="E45" s="40" t="str">
        <f>IFERROR(IF(D45&lt;&gt;"",VLOOKUP(D45,CountryType,2,FALSE),""),"Country not found")</f>
        <v>Partner Countries</v>
      </c>
      <c r="F45" s="41">
        <f>SUMIF('1. Staff costs'!C:C,B45,'1. Staff costs'!S:S)</f>
        <v>0</v>
      </c>
      <c r="G45" s="41">
        <f>SUMIF('2-3. Travel Costs&amp;Costs of Stay'!C:C,B45,'2-3. Travel Costs&amp;Costs of Stay'!L:L)</f>
        <v>0</v>
      </c>
      <c r="H45" s="41">
        <f>SUMIF('2-3. Travel Costs&amp;Costs of Stay'!C:C,B45,'2-3. Travel Costs&amp;Costs of Stay'!M:M)</f>
        <v>0</v>
      </c>
      <c r="I45" s="41">
        <f>SUMIF('4. Equipment Costs'!C:C,B45,'4. Equipment Costs'!H:H)</f>
        <v>0</v>
      </c>
      <c r="J45" s="41">
        <f>SUMIF('5. Subcontracting Costs'!C:C,B45,'5. Subcontracting Costs'!H:H)</f>
        <v>0</v>
      </c>
      <c r="K45" s="42">
        <f>SUMIF('B. Special Mob Strand - Student'!B:B,B45,'B. Special Mob Strand - Student'!N:N)+SUMIF('B. Special Mob Strand - Staff'!B:B,B45,'B. Special Mob Strand - Staff'!N:N)</f>
        <v>0</v>
      </c>
      <c r="L45" s="43">
        <f t="shared" si="1"/>
        <v>0</v>
      </c>
    </row>
    <row r="46" spans="2:12" x14ac:dyDescent="0.25">
      <c r="B46" s="123" t="s">
        <v>21</v>
      </c>
      <c r="C46" s="44" t="s">
        <v>390</v>
      </c>
      <c r="D46" s="39" t="s">
        <v>103</v>
      </c>
      <c r="E46" s="40" t="str">
        <f>IFERROR(IF(D46&lt;&gt;"",VLOOKUP(D46,CountryType,2,FALSE),""),"Country not found")</f>
        <v>Partner Countries</v>
      </c>
      <c r="F46" s="41">
        <f>SUMIF('1. Staff costs'!C:C,B46,'1. Staff costs'!S:S)</f>
        <v>0</v>
      </c>
      <c r="G46" s="41">
        <f>SUMIF('2-3. Travel Costs&amp;Costs of Stay'!C:C,B46,'2-3. Travel Costs&amp;Costs of Stay'!L:L)</f>
        <v>0</v>
      </c>
      <c r="H46" s="41">
        <f>SUMIF('2-3. Travel Costs&amp;Costs of Stay'!C:C,B46,'2-3. Travel Costs&amp;Costs of Stay'!M:M)</f>
        <v>0</v>
      </c>
      <c r="I46" s="41">
        <f>SUMIF('4. Equipment Costs'!C:C,B46,'4. Equipment Costs'!H:H)</f>
        <v>0</v>
      </c>
      <c r="J46" s="41">
        <f>SUMIF('5. Subcontracting Costs'!C:C,B46,'5. Subcontracting Costs'!H:H)</f>
        <v>0</v>
      </c>
      <c r="K46" s="42">
        <f>SUMIF('B. Special Mob Strand - Student'!B:B,B46,'B. Special Mob Strand - Student'!N:N)+SUMIF('B. Special Mob Strand - Staff'!B:B,B46,'B. Special Mob Strand - Staff'!N:N)</f>
        <v>0</v>
      </c>
      <c r="L46" s="43">
        <f t="shared" si="1"/>
        <v>0</v>
      </c>
    </row>
    <row r="47" spans="2:12" x14ac:dyDescent="0.25">
      <c r="B47" s="123" t="s">
        <v>22</v>
      </c>
      <c r="C47" s="44" t="s">
        <v>391</v>
      </c>
      <c r="D47" s="39" t="s">
        <v>103</v>
      </c>
      <c r="E47" s="40" t="str">
        <f>IFERROR(IF(D47&lt;&gt;"",VLOOKUP(D47,CountryType,2,FALSE),""),"Country not found")</f>
        <v>Partner Countries</v>
      </c>
      <c r="F47" s="41">
        <f>SUMIF('1. Staff costs'!C:C,B47,'1. Staff costs'!S:S)</f>
        <v>0</v>
      </c>
      <c r="G47" s="41">
        <f>SUMIF('2-3. Travel Costs&amp;Costs of Stay'!C:C,B47,'2-3. Travel Costs&amp;Costs of Stay'!L:L)</f>
        <v>0</v>
      </c>
      <c r="H47" s="41">
        <f>SUMIF('2-3. Travel Costs&amp;Costs of Stay'!C:C,B47,'2-3. Travel Costs&amp;Costs of Stay'!M:M)</f>
        <v>0</v>
      </c>
      <c r="I47" s="41">
        <f>SUMIF('4. Equipment Costs'!C:C,B47,'4. Equipment Costs'!H:H)</f>
        <v>0</v>
      </c>
      <c r="J47" s="41">
        <f>SUMIF('5. Subcontracting Costs'!C:C,B47,'5. Subcontracting Costs'!H:H)</f>
        <v>0</v>
      </c>
      <c r="K47" s="42">
        <f>SUMIF('B. Special Mob Strand - Student'!B:B,B47,'B. Special Mob Strand - Student'!N:N)+SUMIF('B. Special Mob Strand - Staff'!B:B,B47,'B. Special Mob Strand - Staff'!N:N)</f>
        <v>0</v>
      </c>
      <c r="L47" s="43">
        <f t="shared" si="1"/>
        <v>0</v>
      </c>
    </row>
    <row r="48" spans="2:12" x14ac:dyDescent="0.25">
      <c r="B48" s="123" t="s">
        <v>23</v>
      </c>
      <c r="C48" s="44" t="s">
        <v>392</v>
      </c>
      <c r="D48" s="39" t="s">
        <v>103</v>
      </c>
      <c r="E48" s="40" t="str">
        <f>IFERROR(IF(D48&lt;&gt;"",VLOOKUP(D48,CountryType,2,FALSE),""),"Country not found")</f>
        <v>Partner Countries</v>
      </c>
      <c r="F48" s="41">
        <f>SUMIF('1. Staff costs'!C:C,B48,'1. Staff costs'!S:S)</f>
        <v>0</v>
      </c>
      <c r="G48" s="41">
        <f>SUMIF('2-3. Travel Costs&amp;Costs of Stay'!C:C,B48,'2-3. Travel Costs&amp;Costs of Stay'!L:L)</f>
        <v>0</v>
      </c>
      <c r="H48" s="41">
        <f>SUMIF('2-3. Travel Costs&amp;Costs of Stay'!C:C,B48,'2-3. Travel Costs&amp;Costs of Stay'!M:M)</f>
        <v>0</v>
      </c>
      <c r="I48" s="41">
        <f>SUMIF('4. Equipment Costs'!C:C,B48,'4. Equipment Costs'!H:H)</f>
        <v>0</v>
      </c>
      <c r="J48" s="41">
        <f>SUMIF('5. Subcontracting Costs'!C:C,B48,'5. Subcontracting Costs'!H:H)</f>
        <v>0</v>
      </c>
      <c r="K48" s="42">
        <f>SUMIF('B. Special Mob Strand - Student'!B:B,B48,'B. Special Mob Strand - Student'!N:N)+SUMIF('B. Special Mob Strand - Staff'!B:B,B48,'B. Special Mob Strand - Staff'!N:N)</f>
        <v>0</v>
      </c>
      <c r="L48" s="43">
        <f t="shared" si="1"/>
        <v>0</v>
      </c>
    </row>
    <row r="49" spans="2:12" ht="36" x14ac:dyDescent="0.25">
      <c r="B49" s="123" t="s">
        <v>24</v>
      </c>
      <c r="C49" s="44" t="s">
        <v>393</v>
      </c>
      <c r="D49" s="39" t="s">
        <v>103</v>
      </c>
      <c r="E49" s="40" t="str">
        <f>IFERROR(IF(D49&lt;&gt;"",VLOOKUP(D49,CountryType,2,FALSE),""),"Country not found")</f>
        <v>Partner Countries</v>
      </c>
      <c r="F49" s="41">
        <f>SUMIF('1. Staff costs'!C:C,B49,'1. Staff costs'!S:S)</f>
        <v>0</v>
      </c>
      <c r="G49" s="41">
        <f>SUMIF('2-3. Travel Costs&amp;Costs of Stay'!C:C,B49,'2-3. Travel Costs&amp;Costs of Stay'!L:L)</f>
        <v>0</v>
      </c>
      <c r="H49" s="41">
        <f>SUMIF('2-3. Travel Costs&amp;Costs of Stay'!C:C,B49,'2-3. Travel Costs&amp;Costs of Stay'!M:M)</f>
        <v>0</v>
      </c>
      <c r="I49" s="41">
        <f>SUMIF('4. Equipment Costs'!C:C,B49,'4. Equipment Costs'!H:H)</f>
        <v>0</v>
      </c>
      <c r="J49" s="41">
        <f>SUMIF('5. Subcontracting Costs'!C:C,B49,'5. Subcontracting Costs'!H:H)</f>
        <v>0</v>
      </c>
      <c r="K49" s="42">
        <f>SUMIF('B. Special Mob Strand - Student'!B:B,B49,'B. Special Mob Strand - Student'!N:N)+SUMIF('B. Special Mob Strand - Staff'!B:B,B49,'B. Special Mob Strand - Staff'!N:N)</f>
        <v>0</v>
      </c>
      <c r="L49" s="43">
        <f t="shared" si="1"/>
        <v>0</v>
      </c>
    </row>
    <row r="50" spans="2:12" x14ac:dyDescent="0.25">
      <c r="B50" s="123" t="s">
        <v>25</v>
      </c>
      <c r="C50" s="44" t="s">
        <v>394</v>
      </c>
      <c r="D50" s="39" t="s">
        <v>103</v>
      </c>
      <c r="E50" s="40" t="str">
        <f>IFERROR(IF(D50&lt;&gt;"",VLOOKUP(D50,CountryType,2,FALSE),""),"Country not found")</f>
        <v>Partner Countries</v>
      </c>
      <c r="F50" s="41">
        <f>SUMIF('1. Staff costs'!C:C,B50,'1. Staff costs'!S:S)</f>
        <v>0</v>
      </c>
      <c r="G50" s="41">
        <f>SUMIF('2-3. Travel Costs&amp;Costs of Stay'!C:C,B50,'2-3. Travel Costs&amp;Costs of Stay'!L:L)</f>
        <v>0</v>
      </c>
      <c r="H50" s="41">
        <f>SUMIF('2-3. Travel Costs&amp;Costs of Stay'!C:C,B50,'2-3. Travel Costs&amp;Costs of Stay'!M:M)</f>
        <v>0</v>
      </c>
      <c r="I50" s="41">
        <f>SUMIF('4. Equipment Costs'!C:C,B50,'4. Equipment Costs'!H:H)</f>
        <v>0</v>
      </c>
      <c r="J50" s="41">
        <f>SUMIF('5. Subcontracting Costs'!C:C,B50,'5. Subcontracting Costs'!H:H)</f>
        <v>0</v>
      </c>
      <c r="K50" s="42">
        <f>SUMIF('B. Special Mob Strand - Student'!B:B,B50,'B. Special Mob Strand - Student'!N:N)+SUMIF('B. Special Mob Strand - Staff'!B:B,B50,'B. Special Mob Strand - Staff'!N:N)</f>
        <v>0</v>
      </c>
      <c r="L50" s="43">
        <f t="shared" si="1"/>
        <v>0</v>
      </c>
    </row>
    <row r="51" spans="2:12" x14ac:dyDescent="0.25">
      <c r="B51" s="123" t="s">
        <v>26</v>
      </c>
      <c r="C51" s="44" t="s">
        <v>395</v>
      </c>
      <c r="D51" s="39" t="s">
        <v>377</v>
      </c>
      <c r="E51" s="40" t="str">
        <f>IFERROR(IF(D51&lt;&gt;"",VLOOKUP(D51,CountryType,2,FALSE),""),"Country not found")</f>
        <v>Partner Countries</v>
      </c>
      <c r="F51" s="41">
        <f>SUMIF('1. Staff costs'!C:C,B51,'1. Staff costs'!S:S)</f>
        <v>0</v>
      </c>
      <c r="G51" s="41">
        <f>SUMIF('2-3. Travel Costs&amp;Costs of Stay'!C:C,B51,'2-3. Travel Costs&amp;Costs of Stay'!L:L)</f>
        <v>0</v>
      </c>
      <c r="H51" s="41">
        <f>SUMIF('2-3. Travel Costs&amp;Costs of Stay'!C:C,B51,'2-3. Travel Costs&amp;Costs of Stay'!M:M)</f>
        <v>0</v>
      </c>
      <c r="I51" s="41">
        <f>SUMIF('4. Equipment Costs'!C:C,B51,'4. Equipment Costs'!H:H)</f>
        <v>0</v>
      </c>
      <c r="J51" s="41">
        <f>SUMIF('5. Subcontracting Costs'!C:C,B51,'5. Subcontracting Costs'!H:H)</f>
        <v>0</v>
      </c>
      <c r="K51" s="42">
        <f>SUMIF('B. Special Mob Strand - Student'!B:B,B51,'B. Special Mob Strand - Student'!N:N)+SUMIF('B. Special Mob Strand - Staff'!B:B,B51,'B. Special Mob Strand - Staff'!N:N)</f>
        <v>0</v>
      </c>
      <c r="L51" s="43">
        <f t="shared" si="1"/>
        <v>0</v>
      </c>
    </row>
    <row r="52" spans="2:12" x14ac:dyDescent="0.25">
      <c r="B52" s="123" t="s">
        <v>27</v>
      </c>
      <c r="C52" s="44" t="s">
        <v>396</v>
      </c>
      <c r="D52" s="39" t="s">
        <v>377</v>
      </c>
      <c r="E52" s="40" t="str">
        <f>IFERROR(IF(D52&lt;&gt;"",VLOOKUP(D52,CountryType,2,FALSE),""),"Country not found")</f>
        <v>Partner Countries</v>
      </c>
      <c r="F52" s="41">
        <f>SUMIF('1. Staff costs'!C:C,B52,'1. Staff costs'!S:S)</f>
        <v>0</v>
      </c>
      <c r="G52" s="41">
        <f>SUMIF('2-3. Travel Costs&amp;Costs of Stay'!C:C,B52,'2-3. Travel Costs&amp;Costs of Stay'!L:L)</f>
        <v>0</v>
      </c>
      <c r="H52" s="41">
        <f>SUMIF('2-3. Travel Costs&amp;Costs of Stay'!C:C,B52,'2-3. Travel Costs&amp;Costs of Stay'!M:M)</f>
        <v>0</v>
      </c>
      <c r="I52" s="41">
        <f>SUMIF('4. Equipment Costs'!C:C,B52,'4. Equipment Costs'!H:H)</f>
        <v>0</v>
      </c>
      <c r="J52" s="41">
        <f>SUMIF('5. Subcontracting Costs'!C:C,B52,'5. Subcontracting Costs'!H:H)</f>
        <v>0</v>
      </c>
      <c r="K52" s="42">
        <f>SUMIF('B. Special Mob Strand - Student'!B:B,B52,'B. Special Mob Strand - Student'!N:N)+SUMIF('B. Special Mob Strand - Staff'!B:B,B52,'B. Special Mob Strand - Staff'!N:N)</f>
        <v>0</v>
      </c>
      <c r="L52" s="43">
        <f t="shared" si="1"/>
        <v>0</v>
      </c>
    </row>
    <row r="53" spans="2:12" x14ac:dyDescent="0.25">
      <c r="B53" s="123" t="s">
        <v>112</v>
      </c>
      <c r="C53" s="44" t="s">
        <v>397</v>
      </c>
      <c r="D53" s="39" t="s">
        <v>377</v>
      </c>
      <c r="E53" s="40" t="str">
        <f>IFERROR(IF(D53&lt;&gt;"",VLOOKUP(D53,CountryType,2,FALSE),""),"Country not found")</f>
        <v>Partner Countries</v>
      </c>
      <c r="F53" s="41">
        <f>SUMIF('1. Staff costs'!C:C,B53,'1. Staff costs'!S:S)</f>
        <v>0</v>
      </c>
      <c r="G53" s="41">
        <f>SUMIF('2-3. Travel Costs&amp;Costs of Stay'!C:C,B53,'2-3. Travel Costs&amp;Costs of Stay'!L:L)</f>
        <v>0</v>
      </c>
      <c r="H53" s="41">
        <f>SUMIF('2-3. Travel Costs&amp;Costs of Stay'!C:C,B53,'2-3. Travel Costs&amp;Costs of Stay'!M:M)</f>
        <v>0</v>
      </c>
      <c r="I53" s="41">
        <f>SUMIF('4. Equipment Costs'!C:C,B53,'4. Equipment Costs'!H:H)</f>
        <v>0</v>
      </c>
      <c r="J53" s="41">
        <f>SUMIF('5. Subcontracting Costs'!C:C,B53,'5. Subcontracting Costs'!H:H)</f>
        <v>0</v>
      </c>
      <c r="K53" s="42">
        <f>SUMIF('B. Special Mob Strand - Student'!B:B,B53,'B. Special Mob Strand - Student'!N:N)+SUMIF('B. Special Mob Strand - Staff'!B:B,B53,'B. Special Mob Strand - Staff'!N:N)</f>
        <v>0</v>
      </c>
      <c r="L53" s="43">
        <f t="shared" si="1"/>
        <v>0</v>
      </c>
    </row>
    <row r="54" spans="2:12" x14ac:dyDescent="0.25">
      <c r="B54" s="123" t="s">
        <v>113</v>
      </c>
      <c r="C54" s="44" t="s">
        <v>405</v>
      </c>
      <c r="D54" s="39" t="s">
        <v>377</v>
      </c>
      <c r="E54" s="40" t="str">
        <f>IFERROR(IF(D54&lt;&gt;"",VLOOKUP(D54,CountryType,2,FALSE),""),"Country not found")</f>
        <v>Partner Countries</v>
      </c>
      <c r="F54" s="41">
        <f>SUMIF('1. Staff costs'!C:C,B54,'1. Staff costs'!S:S)</f>
        <v>0</v>
      </c>
      <c r="G54" s="41">
        <f>SUMIF('2-3. Travel Costs&amp;Costs of Stay'!C:C,B54,'2-3. Travel Costs&amp;Costs of Stay'!L:L)</f>
        <v>0</v>
      </c>
      <c r="H54" s="41">
        <f>SUMIF('2-3. Travel Costs&amp;Costs of Stay'!C:C,B54,'2-3. Travel Costs&amp;Costs of Stay'!M:M)</f>
        <v>0</v>
      </c>
      <c r="I54" s="41">
        <f>SUMIF('4. Equipment Costs'!C:C,B54,'4. Equipment Costs'!H:H)</f>
        <v>0</v>
      </c>
      <c r="J54" s="41">
        <f>SUMIF('5. Subcontracting Costs'!C:C,B54,'5. Subcontracting Costs'!H:H)</f>
        <v>0</v>
      </c>
      <c r="K54" s="42">
        <f>SUMIF('B. Special Mob Strand - Student'!B:B,B54,'B. Special Mob Strand - Student'!N:N)+SUMIF('B. Special Mob Strand - Staff'!B:B,B54,'B. Special Mob Strand - Staff'!N:N)</f>
        <v>0</v>
      </c>
      <c r="L54" s="43">
        <f t="shared" si="1"/>
        <v>0</v>
      </c>
    </row>
    <row r="55" spans="2:12" x14ac:dyDescent="0.25">
      <c r="B55" s="123" t="s">
        <v>114</v>
      </c>
      <c r="C55" s="44" t="s">
        <v>398</v>
      </c>
      <c r="D55" s="39" t="s">
        <v>377</v>
      </c>
      <c r="E55" s="40" t="str">
        <f>IFERROR(IF(D55&lt;&gt;"",VLOOKUP(D55,CountryType,2,FALSE),""),"Country not found")</f>
        <v>Partner Countries</v>
      </c>
      <c r="F55" s="41">
        <f>SUMIF('1. Staff costs'!C:C,B55,'1. Staff costs'!S:S)</f>
        <v>0</v>
      </c>
      <c r="G55" s="41">
        <f>SUMIF('2-3. Travel Costs&amp;Costs of Stay'!C:C,B55,'2-3. Travel Costs&amp;Costs of Stay'!L:L)</f>
        <v>0</v>
      </c>
      <c r="H55" s="41">
        <f>SUMIF('2-3. Travel Costs&amp;Costs of Stay'!C:C,B55,'2-3. Travel Costs&amp;Costs of Stay'!M:M)</f>
        <v>0</v>
      </c>
      <c r="I55" s="41">
        <f>SUMIF('4. Equipment Costs'!C:C,B55,'4. Equipment Costs'!H:H)</f>
        <v>0</v>
      </c>
      <c r="J55" s="41">
        <f>SUMIF('5. Subcontracting Costs'!C:C,B55,'5. Subcontracting Costs'!H:H)</f>
        <v>0</v>
      </c>
      <c r="K55" s="42">
        <f>SUMIF('B. Special Mob Strand - Student'!B:B,B55,'B. Special Mob Strand - Student'!N:N)+SUMIF('B. Special Mob Strand - Staff'!B:B,B55,'B. Special Mob Strand - Staff'!N:N)</f>
        <v>0</v>
      </c>
      <c r="L55" s="43">
        <f t="shared" si="1"/>
        <v>0</v>
      </c>
    </row>
    <row r="56" spans="2:12" ht="36" x14ac:dyDescent="0.25">
      <c r="B56" s="123" t="s">
        <v>115</v>
      </c>
      <c r="C56" s="44" t="s">
        <v>399</v>
      </c>
      <c r="D56" s="39" t="s">
        <v>377</v>
      </c>
      <c r="E56" s="40" t="str">
        <f>IFERROR(IF(D56&lt;&gt;"",VLOOKUP(D56,CountryType,2,FALSE),""),"Country not found")</f>
        <v>Partner Countries</v>
      </c>
      <c r="F56" s="41">
        <f>SUMIF('1. Staff costs'!C:C,B56,'1. Staff costs'!S:S)</f>
        <v>0</v>
      </c>
      <c r="G56" s="41">
        <f>SUMIF('2-3. Travel Costs&amp;Costs of Stay'!C:C,B56,'2-3. Travel Costs&amp;Costs of Stay'!L:L)</f>
        <v>0</v>
      </c>
      <c r="H56" s="41">
        <f>SUMIF('2-3. Travel Costs&amp;Costs of Stay'!C:C,B56,'2-3. Travel Costs&amp;Costs of Stay'!M:M)</f>
        <v>0</v>
      </c>
      <c r="I56" s="41">
        <f>SUMIF('4. Equipment Costs'!C:C,B56,'4. Equipment Costs'!H:H)</f>
        <v>0</v>
      </c>
      <c r="J56" s="41">
        <f>SUMIF('5. Subcontracting Costs'!C:C,B56,'5. Subcontracting Costs'!H:H)</f>
        <v>0</v>
      </c>
      <c r="K56" s="42">
        <f>SUMIF('B. Special Mob Strand - Student'!B:B,B56,'B. Special Mob Strand - Student'!N:N)+SUMIF('B. Special Mob Strand - Staff'!B:B,B56,'B. Special Mob Strand - Staff'!N:N)</f>
        <v>0</v>
      </c>
      <c r="L56" s="43">
        <f t="shared" si="1"/>
        <v>0</v>
      </c>
    </row>
    <row r="57" spans="2:12" x14ac:dyDescent="0.25">
      <c r="B57" s="123" t="s">
        <v>116</v>
      </c>
      <c r="C57" s="44"/>
      <c r="D57" s="39"/>
      <c r="E57" s="40" t="str">
        <f>IFERROR(IF(D57&lt;&gt;"",VLOOKUP(D57,CountryType,2,FALSE),""),"Country not found")</f>
        <v/>
      </c>
      <c r="F57" s="41">
        <f>SUMIF('1. Staff costs'!C:C,B57,'1. Staff costs'!S:S)</f>
        <v>0</v>
      </c>
      <c r="G57" s="41">
        <f>SUMIF('2-3. Travel Costs&amp;Costs of Stay'!C:C,B57,'2-3. Travel Costs&amp;Costs of Stay'!L:L)</f>
        <v>0</v>
      </c>
      <c r="H57" s="41">
        <f>SUMIF('2-3. Travel Costs&amp;Costs of Stay'!C:C,B57,'2-3. Travel Costs&amp;Costs of Stay'!M:M)</f>
        <v>0</v>
      </c>
      <c r="I57" s="41">
        <f>SUMIF('4. Equipment Costs'!C:C,B57,'4. Equipment Costs'!H:H)</f>
        <v>0</v>
      </c>
      <c r="J57" s="41">
        <f>SUMIF('5. Subcontracting Costs'!C:C,B57,'5. Subcontracting Costs'!H:H)</f>
        <v>0</v>
      </c>
      <c r="K57" s="42">
        <f>SUMIF('B. Special Mob Strand - Student'!B:B,B57,'B. Special Mob Strand - Student'!N:N)+SUMIF('B. Special Mob Strand - Staff'!B:B,B57,'B. Special Mob Strand - Staff'!N:N)</f>
        <v>0</v>
      </c>
      <c r="L57" s="43">
        <f t="shared" si="1"/>
        <v>0</v>
      </c>
    </row>
    <row r="58" spans="2:12" x14ac:dyDescent="0.25">
      <c r="B58" s="123" t="s">
        <v>117</v>
      </c>
      <c r="C58" s="44"/>
      <c r="D58" s="39"/>
      <c r="E58" s="40" t="str">
        <f t="shared" si="0"/>
        <v/>
      </c>
      <c r="F58" s="41">
        <f>SUMIF('1. Staff costs'!C:C,B58,'1. Staff costs'!S:S)</f>
        <v>0</v>
      </c>
      <c r="G58" s="41">
        <f>SUMIF('2-3. Travel Costs&amp;Costs of Stay'!C:C,B58,'2-3. Travel Costs&amp;Costs of Stay'!L:L)</f>
        <v>0</v>
      </c>
      <c r="H58" s="41">
        <f>SUMIF('2-3. Travel Costs&amp;Costs of Stay'!C:C,B58,'2-3. Travel Costs&amp;Costs of Stay'!M:M)</f>
        <v>0</v>
      </c>
      <c r="I58" s="41">
        <f>SUMIF('4. Equipment Costs'!C:C,B58,'4. Equipment Costs'!H:H)</f>
        <v>0</v>
      </c>
      <c r="J58" s="41">
        <f>SUMIF('5. Subcontracting Costs'!C:C,B58,'5. Subcontracting Costs'!H:H)</f>
        <v>0</v>
      </c>
      <c r="K58" s="42">
        <f>SUMIF('B. Special Mob Strand - Student'!B:B,B58,'B. Special Mob Strand - Student'!N:N)+SUMIF('B. Special Mob Strand - Staff'!B:B,B58,'B. Special Mob Strand - Staff'!N:N)</f>
        <v>0</v>
      </c>
      <c r="L58" s="43">
        <f t="shared" si="1"/>
        <v>0</v>
      </c>
    </row>
    <row r="59" spans="2:12" x14ac:dyDescent="0.25">
      <c r="B59" s="123" t="s">
        <v>118</v>
      </c>
      <c r="C59" s="44"/>
      <c r="D59" s="39"/>
      <c r="E59" s="40" t="str">
        <f t="shared" si="0"/>
        <v/>
      </c>
      <c r="F59" s="41">
        <f>SUMIF('1. Staff costs'!C:C,B59,'1. Staff costs'!S:S)</f>
        <v>0</v>
      </c>
      <c r="G59" s="41">
        <f>SUMIF('2-3. Travel Costs&amp;Costs of Stay'!C:C,B59,'2-3. Travel Costs&amp;Costs of Stay'!L:L)</f>
        <v>0</v>
      </c>
      <c r="H59" s="41">
        <f>SUMIF('2-3. Travel Costs&amp;Costs of Stay'!C:C,B59,'2-3. Travel Costs&amp;Costs of Stay'!M:M)</f>
        <v>0</v>
      </c>
      <c r="I59" s="41">
        <f>SUMIF('4. Equipment Costs'!C:C,B59,'4. Equipment Costs'!H:H)</f>
        <v>0</v>
      </c>
      <c r="J59" s="41">
        <f>SUMIF('5. Subcontracting Costs'!C:C,B59,'5. Subcontracting Costs'!H:H)</f>
        <v>0</v>
      </c>
      <c r="K59" s="42">
        <f>SUMIF('B. Special Mob Strand - Student'!B:B,B59,'B. Special Mob Strand - Student'!N:N)+SUMIF('B. Special Mob Strand - Staff'!B:B,B59,'B. Special Mob Strand - Staff'!N:N)</f>
        <v>0</v>
      </c>
      <c r="L59" s="43">
        <f t="shared" si="1"/>
        <v>0</v>
      </c>
    </row>
    <row r="60" spans="2:12" x14ac:dyDescent="0.25">
      <c r="B60" s="123" t="s">
        <v>119</v>
      </c>
      <c r="C60" s="44"/>
      <c r="D60" s="39"/>
      <c r="E60" s="40" t="str">
        <f t="shared" si="0"/>
        <v/>
      </c>
      <c r="F60" s="41">
        <f>SUMIF('1. Staff costs'!C:C,B60,'1. Staff costs'!S:S)</f>
        <v>0</v>
      </c>
      <c r="G60" s="41">
        <f>SUMIF('2-3. Travel Costs&amp;Costs of Stay'!C:C,B60,'2-3. Travel Costs&amp;Costs of Stay'!L:L)</f>
        <v>0</v>
      </c>
      <c r="H60" s="41">
        <f>SUMIF('2-3. Travel Costs&amp;Costs of Stay'!C:C,B60,'2-3. Travel Costs&amp;Costs of Stay'!M:M)</f>
        <v>0</v>
      </c>
      <c r="I60" s="41">
        <f>SUMIF('4. Equipment Costs'!C:C,B60,'4. Equipment Costs'!H:H)</f>
        <v>0</v>
      </c>
      <c r="J60" s="41">
        <f>SUMIF('5. Subcontracting Costs'!C:C,B60,'5. Subcontracting Costs'!H:H)</f>
        <v>0</v>
      </c>
      <c r="K60" s="42">
        <f>SUMIF('B. Special Mob Strand - Student'!B:B,B60,'B. Special Mob Strand - Student'!N:N)+SUMIF('B. Special Mob Strand - Staff'!B:B,B60,'B. Special Mob Strand - Staff'!N:N)</f>
        <v>0</v>
      </c>
      <c r="L60" s="43">
        <f t="shared" si="1"/>
        <v>0</v>
      </c>
    </row>
    <row r="61" spans="2:12" x14ac:dyDescent="0.25">
      <c r="B61" s="123" t="s">
        <v>120</v>
      </c>
      <c r="C61" s="44"/>
      <c r="D61" s="39"/>
      <c r="E61" s="40" t="str">
        <f t="shared" si="0"/>
        <v/>
      </c>
      <c r="F61" s="41">
        <f>SUMIF('1. Staff costs'!C:C,B61,'1. Staff costs'!S:S)</f>
        <v>0</v>
      </c>
      <c r="G61" s="41">
        <f>SUMIF('2-3. Travel Costs&amp;Costs of Stay'!C:C,B61,'2-3. Travel Costs&amp;Costs of Stay'!L:L)</f>
        <v>0</v>
      </c>
      <c r="H61" s="41">
        <f>SUMIF('2-3. Travel Costs&amp;Costs of Stay'!C:C,B61,'2-3. Travel Costs&amp;Costs of Stay'!M:M)</f>
        <v>0</v>
      </c>
      <c r="I61" s="41">
        <f>SUMIF('4. Equipment Costs'!C:C,B61,'4. Equipment Costs'!H:H)</f>
        <v>0</v>
      </c>
      <c r="J61" s="41">
        <f>SUMIF('5. Subcontracting Costs'!C:C,B61,'5. Subcontracting Costs'!H:H)</f>
        <v>0</v>
      </c>
      <c r="K61" s="42">
        <f>SUMIF('B. Special Mob Strand - Student'!B:B,B61,'B. Special Mob Strand - Student'!N:N)+SUMIF('B. Special Mob Strand - Staff'!B:B,B61,'B. Special Mob Strand - Staff'!N:N)</f>
        <v>0</v>
      </c>
      <c r="L61" s="43">
        <f t="shared" si="1"/>
        <v>0</v>
      </c>
    </row>
    <row r="62" spans="2:12" x14ac:dyDescent="0.25">
      <c r="B62" s="123" t="s">
        <v>121</v>
      </c>
      <c r="C62" s="44"/>
      <c r="D62" s="39"/>
      <c r="E62" s="40" t="str">
        <f t="shared" si="0"/>
        <v/>
      </c>
      <c r="F62" s="41">
        <f>SUMIF('1. Staff costs'!C:C,B62,'1. Staff costs'!S:S)</f>
        <v>0</v>
      </c>
      <c r="G62" s="41">
        <f>SUMIF('2-3. Travel Costs&amp;Costs of Stay'!C:C,B62,'2-3. Travel Costs&amp;Costs of Stay'!L:L)</f>
        <v>0</v>
      </c>
      <c r="H62" s="41">
        <f>SUMIF('2-3. Travel Costs&amp;Costs of Stay'!C:C,B62,'2-3. Travel Costs&amp;Costs of Stay'!M:M)</f>
        <v>0</v>
      </c>
      <c r="I62" s="41">
        <f>SUMIF('4. Equipment Costs'!C:C,B62,'4. Equipment Costs'!H:H)</f>
        <v>0</v>
      </c>
      <c r="J62" s="41">
        <f>SUMIF('5. Subcontracting Costs'!C:C,B62,'5. Subcontracting Costs'!H:H)</f>
        <v>0</v>
      </c>
      <c r="K62" s="42">
        <f>SUMIF('B. Special Mob Strand - Student'!B:B,B62,'B. Special Mob Strand - Student'!N:N)+SUMIF('B. Special Mob Strand - Staff'!B:B,B62,'B. Special Mob Strand - Staff'!N:N)</f>
        <v>0</v>
      </c>
      <c r="L62" s="43">
        <f t="shared" si="1"/>
        <v>0</v>
      </c>
    </row>
    <row r="63" spans="2:12" x14ac:dyDescent="0.25">
      <c r="B63" s="123" t="s">
        <v>122</v>
      </c>
      <c r="C63" s="44"/>
      <c r="D63" s="39"/>
      <c r="E63" s="40" t="str">
        <f t="shared" si="0"/>
        <v/>
      </c>
      <c r="F63" s="41">
        <f>SUMIF('1. Staff costs'!C:C,B63,'1. Staff costs'!S:S)</f>
        <v>0</v>
      </c>
      <c r="G63" s="41">
        <f>SUMIF('2-3. Travel Costs&amp;Costs of Stay'!C:C,B63,'2-3. Travel Costs&amp;Costs of Stay'!L:L)</f>
        <v>0</v>
      </c>
      <c r="H63" s="41">
        <f>SUMIF('2-3. Travel Costs&amp;Costs of Stay'!C:C,B63,'2-3. Travel Costs&amp;Costs of Stay'!M:M)</f>
        <v>0</v>
      </c>
      <c r="I63" s="41">
        <f>SUMIF('4. Equipment Costs'!C:C,B63,'4. Equipment Costs'!H:H)</f>
        <v>0</v>
      </c>
      <c r="J63" s="41">
        <f>SUMIF('5. Subcontracting Costs'!C:C,B63,'5. Subcontracting Costs'!H:H)</f>
        <v>0</v>
      </c>
      <c r="K63" s="42">
        <f>SUMIF('B. Special Mob Strand - Student'!B:B,B63,'B. Special Mob Strand - Student'!N:N)+SUMIF('B. Special Mob Strand - Staff'!B:B,B63,'B. Special Mob Strand - Staff'!N:N)</f>
        <v>0</v>
      </c>
      <c r="L63" s="43">
        <f t="shared" si="1"/>
        <v>0</v>
      </c>
    </row>
    <row r="64" spans="2:12" x14ac:dyDescent="0.25">
      <c r="B64" s="123" t="s">
        <v>123</v>
      </c>
      <c r="C64" s="44"/>
      <c r="D64" s="39"/>
      <c r="E64" s="40" t="str">
        <f t="shared" si="0"/>
        <v/>
      </c>
      <c r="F64" s="41">
        <f>SUMIF('1. Staff costs'!C:C,B64,'1. Staff costs'!S:S)</f>
        <v>0</v>
      </c>
      <c r="G64" s="41">
        <f>SUMIF('2-3. Travel Costs&amp;Costs of Stay'!C:C,B64,'2-3. Travel Costs&amp;Costs of Stay'!L:L)</f>
        <v>0</v>
      </c>
      <c r="H64" s="41">
        <f>SUMIF('2-3. Travel Costs&amp;Costs of Stay'!C:C,B64,'2-3. Travel Costs&amp;Costs of Stay'!M:M)</f>
        <v>0</v>
      </c>
      <c r="I64" s="41">
        <f>SUMIF('4. Equipment Costs'!C:C,B64,'4. Equipment Costs'!H:H)</f>
        <v>0</v>
      </c>
      <c r="J64" s="41">
        <f>SUMIF('5. Subcontracting Costs'!C:C,B64,'5. Subcontracting Costs'!H:H)</f>
        <v>0</v>
      </c>
      <c r="K64" s="42">
        <f>SUMIF('B. Special Mob Strand - Student'!B:B,B64,'B. Special Mob Strand - Student'!N:N)+SUMIF('B. Special Mob Strand - Staff'!B:B,B64,'B. Special Mob Strand - Staff'!N:N)</f>
        <v>0</v>
      </c>
      <c r="L64" s="43">
        <f t="shared" si="1"/>
        <v>0</v>
      </c>
    </row>
    <row r="65" spans="2:12" x14ac:dyDescent="0.25">
      <c r="B65" s="123" t="s">
        <v>124</v>
      </c>
      <c r="C65" s="44"/>
      <c r="D65" s="39"/>
      <c r="E65" s="40" t="str">
        <f t="shared" si="0"/>
        <v/>
      </c>
      <c r="F65" s="41">
        <f>SUMIF('1. Staff costs'!C:C,B65,'1. Staff costs'!S:S)</f>
        <v>0</v>
      </c>
      <c r="G65" s="41">
        <f>SUMIF('2-3. Travel Costs&amp;Costs of Stay'!C:C,B65,'2-3. Travel Costs&amp;Costs of Stay'!L:L)</f>
        <v>0</v>
      </c>
      <c r="H65" s="41">
        <f>SUMIF('2-3. Travel Costs&amp;Costs of Stay'!C:C,B65,'2-3. Travel Costs&amp;Costs of Stay'!M:M)</f>
        <v>0</v>
      </c>
      <c r="I65" s="41">
        <f>SUMIF('4. Equipment Costs'!C:C,B65,'4. Equipment Costs'!H:H)</f>
        <v>0</v>
      </c>
      <c r="J65" s="41">
        <f>SUMIF('5. Subcontracting Costs'!C:C,B65,'5. Subcontracting Costs'!H:H)</f>
        <v>0</v>
      </c>
      <c r="K65" s="42">
        <f>SUMIF('B. Special Mob Strand - Student'!B:B,B65,'B. Special Mob Strand - Student'!N:N)+SUMIF('B. Special Mob Strand - Staff'!B:B,B65,'B. Special Mob Strand - Staff'!N:N)</f>
        <v>0</v>
      </c>
      <c r="L65" s="43">
        <f t="shared" si="1"/>
        <v>0</v>
      </c>
    </row>
    <row r="66" spans="2:12" x14ac:dyDescent="0.25">
      <c r="B66" s="123" t="s">
        <v>125</v>
      </c>
      <c r="C66" s="44"/>
      <c r="D66" s="39"/>
      <c r="E66" s="40" t="str">
        <f t="shared" si="0"/>
        <v/>
      </c>
      <c r="F66" s="41">
        <f>SUMIF('1. Staff costs'!C:C,B66,'1. Staff costs'!S:S)</f>
        <v>0</v>
      </c>
      <c r="G66" s="41">
        <f>SUMIF('2-3. Travel Costs&amp;Costs of Stay'!C:C,B66,'2-3. Travel Costs&amp;Costs of Stay'!L:L)</f>
        <v>0</v>
      </c>
      <c r="H66" s="41">
        <f>SUMIF('2-3. Travel Costs&amp;Costs of Stay'!C:C,B66,'2-3. Travel Costs&amp;Costs of Stay'!M:M)</f>
        <v>0</v>
      </c>
      <c r="I66" s="41">
        <f>SUMIF('4. Equipment Costs'!C:C,B66,'4. Equipment Costs'!H:H)</f>
        <v>0</v>
      </c>
      <c r="J66" s="41">
        <f>SUMIF('5. Subcontracting Costs'!C:C,B66,'5. Subcontracting Costs'!H:H)</f>
        <v>0</v>
      </c>
      <c r="K66" s="42">
        <f>SUMIF('B. Special Mob Strand - Student'!B:B,B66,'B. Special Mob Strand - Student'!N:N)+SUMIF('B. Special Mob Strand - Staff'!B:B,B66,'B. Special Mob Strand - Staff'!N:N)</f>
        <v>0</v>
      </c>
      <c r="L66" s="43">
        <f t="shared" si="1"/>
        <v>0</v>
      </c>
    </row>
    <row r="67" spans="2:12" x14ac:dyDescent="0.25">
      <c r="B67" s="123" t="s">
        <v>126</v>
      </c>
      <c r="C67" s="44"/>
      <c r="D67" s="39"/>
      <c r="E67" s="40" t="str">
        <f t="shared" si="0"/>
        <v/>
      </c>
      <c r="F67" s="41">
        <f>SUMIF('1. Staff costs'!C:C,B67,'1. Staff costs'!S:S)</f>
        <v>0</v>
      </c>
      <c r="G67" s="41">
        <f>SUMIF('2-3. Travel Costs&amp;Costs of Stay'!C:C,B67,'2-3. Travel Costs&amp;Costs of Stay'!L:L)</f>
        <v>0</v>
      </c>
      <c r="H67" s="41">
        <f>SUMIF('2-3. Travel Costs&amp;Costs of Stay'!C:C,B67,'2-3. Travel Costs&amp;Costs of Stay'!M:M)</f>
        <v>0</v>
      </c>
      <c r="I67" s="41">
        <f>SUMIF('4. Equipment Costs'!C:C,B67,'4. Equipment Costs'!H:H)</f>
        <v>0</v>
      </c>
      <c r="J67" s="41">
        <f>SUMIF('5. Subcontracting Costs'!C:C,B67,'5. Subcontracting Costs'!H:H)</f>
        <v>0</v>
      </c>
      <c r="K67" s="42">
        <f>SUMIF('B. Special Mob Strand - Student'!B:B,B67,'B. Special Mob Strand - Student'!N:N)+SUMIF('B. Special Mob Strand - Staff'!B:B,B67,'B. Special Mob Strand - Staff'!N:N)</f>
        <v>0</v>
      </c>
      <c r="L67" s="43">
        <f t="shared" si="1"/>
        <v>0</v>
      </c>
    </row>
    <row r="68" spans="2:12" x14ac:dyDescent="0.25">
      <c r="B68" s="123" t="s">
        <v>127</v>
      </c>
      <c r="C68" s="44"/>
      <c r="D68" s="39"/>
      <c r="E68" s="40" t="str">
        <f t="shared" si="0"/>
        <v/>
      </c>
      <c r="F68" s="41">
        <f>SUMIF('1. Staff costs'!C:C,B68,'1. Staff costs'!S:S)</f>
        <v>0</v>
      </c>
      <c r="G68" s="41">
        <f>SUMIF('2-3. Travel Costs&amp;Costs of Stay'!C:C,B68,'2-3. Travel Costs&amp;Costs of Stay'!L:L)</f>
        <v>0</v>
      </c>
      <c r="H68" s="41">
        <f>SUMIF('2-3. Travel Costs&amp;Costs of Stay'!C:C,B68,'2-3. Travel Costs&amp;Costs of Stay'!M:M)</f>
        <v>0</v>
      </c>
      <c r="I68" s="41">
        <f>SUMIF('4. Equipment Costs'!C:C,B68,'4. Equipment Costs'!H:H)</f>
        <v>0</v>
      </c>
      <c r="J68" s="41">
        <f>SUMIF('5. Subcontracting Costs'!C:C,B68,'5. Subcontracting Costs'!H:H)</f>
        <v>0</v>
      </c>
      <c r="K68" s="42">
        <f>SUMIF('B. Special Mob Strand - Student'!B:B,B68,'B. Special Mob Strand - Student'!N:N)+SUMIF('B. Special Mob Strand - Staff'!B:B,B68,'B. Special Mob Strand - Staff'!N:N)</f>
        <v>0</v>
      </c>
      <c r="L68" s="43">
        <f t="shared" si="1"/>
        <v>0</v>
      </c>
    </row>
    <row r="69" spans="2:12" x14ac:dyDescent="0.25">
      <c r="B69" s="123" t="s">
        <v>128</v>
      </c>
      <c r="C69" s="44"/>
      <c r="D69" s="39"/>
      <c r="E69" s="40" t="str">
        <f t="shared" si="0"/>
        <v/>
      </c>
      <c r="F69" s="41">
        <f>SUMIF('1. Staff costs'!C:C,B69,'1. Staff costs'!S:S)</f>
        <v>0</v>
      </c>
      <c r="G69" s="41">
        <f>SUMIF('2-3. Travel Costs&amp;Costs of Stay'!C:C,B69,'2-3. Travel Costs&amp;Costs of Stay'!L:L)</f>
        <v>0</v>
      </c>
      <c r="H69" s="41">
        <f>SUMIF('2-3. Travel Costs&amp;Costs of Stay'!C:C,B69,'2-3. Travel Costs&amp;Costs of Stay'!M:M)</f>
        <v>0</v>
      </c>
      <c r="I69" s="41">
        <f>SUMIF('4. Equipment Costs'!C:C,B69,'4. Equipment Costs'!H:H)</f>
        <v>0</v>
      </c>
      <c r="J69" s="41">
        <f>SUMIF('5. Subcontracting Costs'!C:C,B69,'5. Subcontracting Costs'!H:H)</f>
        <v>0</v>
      </c>
      <c r="K69" s="42">
        <f>SUMIF('B. Special Mob Strand - Student'!B:B,B69,'B. Special Mob Strand - Student'!N:N)+SUMIF('B. Special Mob Strand - Staff'!B:B,B69,'B. Special Mob Strand - Staff'!N:N)</f>
        <v>0</v>
      </c>
      <c r="L69" s="43">
        <f t="shared" si="1"/>
        <v>0</v>
      </c>
    </row>
    <row r="70" spans="2:12" x14ac:dyDescent="0.25">
      <c r="B70" s="123" t="s">
        <v>129</v>
      </c>
      <c r="C70" s="44"/>
      <c r="D70" s="39"/>
      <c r="E70" s="40" t="str">
        <f t="shared" si="0"/>
        <v/>
      </c>
      <c r="F70" s="41">
        <f>SUMIF('1. Staff costs'!C:C,B70,'1. Staff costs'!S:S)</f>
        <v>0</v>
      </c>
      <c r="G70" s="41">
        <f>SUMIF('2-3. Travel Costs&amp;Costs of Stay'!C:C,B70,'2-3. Travel Costs&amp;Costs of Stay'!L:L)</f>
        <v>0</v>
      </c>
      <c r="H70" s="41">
        <f>SUMIF('2-3. Travel Costs&amp;Costs of Stay'!C:C,B70,'2-3. Travel Costs&amp;Costs of Stay'!M:M)</f>
        <v>0</v>
      </c>
      <c r="I70" s="41">
        <f>SUMIF('4. Equipment Costs'!C:C,B70,'4. Equipment Costs'!H:H)</f>
        <v>0</v>
      </c>
      <c r="J70" s="41">
        <f>SUMIF('5. Subcontracting Costs'!C:C,B70,'5. Subcontracting Costs'!H:H)</f>
        <v>0</v>
      </c>
      <c r="K70" s="42">
        <f>SUMIF('B. Special Mob Strand - Student'!B:B,B70,'B. Special Mob Strand - Student'!N:N)+SUMIF('B. Special Mob Strand - Staff'!B:B,B70,'B. Special Mob Strand - Staff'!N:N)</f>
        <v>0</v>
      </c>
      <c r="L70" s="43">
        <f t="shared" si="1"/>
        <v>0</v>
      </c>
    </row>
    <row r="71" spans="2:12" x14ac:dyDescent="0.25">
      <c r="B71" s="123" t="s">
        <v>130</v>
      </c>
      <c r="C71" s="44"/>
      <c r="D71" s="39"/>
      <c r="E71" s="40" t="str">
        <f t="shared" si="0"/>
        <v/>
      </c>
      <c r="F71" s="41">
        <f>SUMIF('1. Staff costs'!C:C,B71,'1. Staff costs'!S:S)</f>
        <v>0</v>
      </c>
      <c r="G71" s="41">
        <f>SUMIF('2-3. Travel Costs&amp;Costs of Stay'!C:C,B71,'2-3. Travel Costs&amp;Costs of Stay'!L:L)</f>
        <v>0</v>
      </c>
      <c r="H71" s="41">
        <f>SUMIF('2-3. Travel Costs&amp;Costs of Stay'!C:C,B71,'2-3. Travel Costs&amp;Costs of Stay'!M:M)</f>
        <v>0</v>
      </c>
      <c r="I71" s="41">
        <f>SUMIF('4. Equipment Costs'!C:C,B71,'4. Equipment Costs'!H:H)</f>
        <v>0</v>
      </c>
      <c r="J71" s="41">
        <f>SUMIF('5. Subcontracting Costs'!C:C,B71,'5. Subcontracting Costs'!H:H)</f>
        <v>0</v>
      </c>
      <c r="K71" s="42">
        <f>SUMIF('B. Special Mob Strand - Student'!B:B,B71,'B. Special Mob Strand - Student'!N:N)+SUMIF('B. Special Mob Strand - Staff'!B:B,B71,'B. Special Mob Strand - Staff'!N:N)</f>
        <v>0</v>
      </c>
      <c r="L71" s="43">
        <f t="shared" si="1"/>
        <v>0</v>
      </c>
    </row>
    <row r="72" spans="2:12" x14ac:dyDescent="0.25">
      <c r="B72" s="123" t="s">
        <v>131</v>
      </c>
      <c r="C72" s="44"/>
      <c r="D72" s="39"/>
      <c r="E72" s="40" t="str">
        <f t="shared" si="0"/>
        <v/>
      </c>
      <c r="F72" s="41">
        <f>SUMIF('1. Staff costs'!C:C,B72,'1. Staff costs'!S:S)</f>
        <v>0</v>
      </c>
      <c r="G72" s="41">
        <f>SUMIF('2-3. Travel Costs&amp;Costs of Stay'!C:C,B72,'2-3. Travel Costs&amp;Costs of Stay'!L:L)</f>
        <v>0</v>
      </c>
      <c r="H72" s="41">
        <f>SUMIF('2-3. Travel Costs&amp;Costs of Stay'!C:C,B72,'2-3. Travel Costs&amp;Costs of Stay'!M:M)</f>
        <v>0</v>
      </c>
      <c r="I72" s="41">
        <f>SUMIF('4. Equipment Costs'!C:C,B72,'4. Equipment Costs'!H:H)</f>
        <v>0</v>
      </c>
      <c r="J72" s="41">
        <f>SUMIF('5. Subcontracting Costs'!C:C,B72,'5. Subcontracting Costs'!H:H)</f>
        <v>0</v>
      </c>
      <c r="K72" s="42">
        <f>SUMIF('B. Special Mob Strand - Student'!B:B,B72,'B. Special Mob Strand - Student'!N:N)+SUMIF('B. Special Mob Strand - Staff'!B:B,B72,'B. Special Mob Strand - Staff'!N:N)</f>
        <v>0</v>
      </c>
      <c r="L72" s="43">
        <f t="shared" si="1"/>
        <v>0</v>
      </c>
    </row>
    <row r="73" spans="2:12" x14ac:dyDescent="0.25">
      <c r="B73" s="123" t="s">
        <v>141</v>
      </c>
      <c r="C73" s="44"/>
      <c r="D73" s="39"/>
      <c r="E73" s="40" t="str">
        <f t="shared" si="0"/>
        <v/>
      </c>
      <c r="F73" s="41">
        <f>SUMIF('1. Staff costs'!C:C,B73,'1. Staff costs'!S:S)</f>
        <v>0</v>
      </c>
      <c r="G73" s="41">
        <f>SUMIF('2-3. Travel Costs&amp;Costs of Stay'!C:C,B73,'2-3. Travel Costs&amp;Costs of Stay'!L:L)</f>
        <v>0</v>
      </c>
      <c r="H73" s="41">
        <f>SUMIF('2-3. Travel Costs&amp;Costs of Stay'!C:C,B73,'2-3. Travel Costs&amp;Costs of Stay'!M:M)</f>
        <v>0</v>
      </c>
      <c r="I73" s="41">
        <f>SUMIF('4. Equipment Costs'!C:C,B73,'4. Equipment Costs'!H:H)</f>
        <v>0</v>
      </c>
      <c r="J73" s="41">
        <f>SUMIF('5. Subcontracting Costs'!C:C,B73,'5. Subcontracting Costs'!H:H)</f>
        <v>0</v>
      </c>
      <c r="K73" s="42">
        <f>SUMIF('B. Special Mob Strand - Student'!B:B,B73,'B. Special Mob Strand - Student'!N:N)+SUMIF('B. Special Mob Strand - Staff'!B:B,B73,'B. Special Mob Strand - Staff'!N:N)</f>
        <v>0</v>
      </c>
      <c r="L73" s="43">
        <f t="shared" si="1"/>
        <v>0</v>
      </c>
    </row>
    <row r="74" spans="2:12" x14ac:dyDescent="0.25">
      <c r="B74" s="123" t="s">
        <v>142</v>
      </c>
      <c r="C74" s="44"/>
      <c r="D74" s="39"/>
      <c r="E74" s="40" t="str">
        <f t="shared" si="0"/>
        <v/>
      </c>
      <c r="F74" s="41">
        <f>SUMIF('1. Staff costs'!C:C,B74,'1. Staff costs'!S:S)</f>
        <v>0</v>
      </c>
      <c r="G74" s="41">
        <f>SUMIF('2-3. Travel Costs&amp;Costs of Stay'!C:C,B74,'2-3. Travel Costs&amp;Costs of Stay'!L:L)</f>
        <v>0</v>
      </c>
      <c r="H74" s="41">
        <f>SUMIF('2-3. Travel Costs&amp;Costs of Stay'!C:C,B74,'2-3. Travel Costs&amp;Costs of Stay'!M:M)</f>
        <v>0</v>
      </c>
      <c r="I74" s="41">
        <f>SUMIF('4. Equipment Costs'!C:C,B74,'4. Equipment Costs'!H:H)</f>
        <v>0</v>
      </c>
      <c r="J74" s="41">
        <f>SUMIF('5. Subcontracting Costs'!C:C,B74,'5. Subcontracting Costs'!H:H)</f>
        <v>0</v>
      </c>
      <c r="K74" s="42">
        <f>SUMIF('B. Special Mob Strand - Student'!B:B,B74,'B. Special Mob Strand - Student'!N:N)+SUMIF('B. Special Mob Strand - Staff'!B:B,B74,'B. Special Mob Strand - Staff'!N:N)</f>
        <v>0</v>
      </c>
      <c r="L74" s="43">
        <f t="shared" si="1"/>
        <v>0</v>
      </c>
    </row>
    <row r="75" spans="2:12" x14ac:dyDescent="0.25">
      <c r="B75" s="123" t="s">
        <v>143</v>
      </c>
      <c r="C75" s="44"/>
      <c r="D75" s="39"/>
      <c r="E75" s="40" t="str">
        <f t="shared" si="0"/>
        <v/>
      </c>
      <c r="F75" s="41">
        <f>SUMIF('1. Staff costs'!C:C,B75,'1. Staff costs'!S:S)</f>
        <v>0</v>
      </c>
      <c r="G75" s="41">
        <f>SUMIF('2-3. Travel Costs&amp;Costs of Stay'!C:C,B75,'2-3. Travel Costs&amp;Costs of Stay'!L:L)</f>
        <v>0</v>
      </c>
      <c r="H75" s="41">
        <f>SUMIF('2-3. Travel Costs&amp;Costs of Stay'!C:C,B75,'2-3. Travel Costs&amp;Costs of Stay'!M:M)</f>
        <v>0</v>
      </c>
      <c r="I75" s="41">
        <f>SUMIF('4. Equipment Costs'!C:C,B75,'4. Equipment Costs'!H:H)</f>
        <v>0</v>
      </c>
      <c r="J75" s="41">
        <f>SUMIF('5. Subcontracting Costs'!C:C,B75,'5. Subcontracting Costs'!H:H)</f>
        <v>0</v>
      </c>
      <c r="K75" s="42">
        <f>SUMIF('B. Special Mob Strand - Student'!B:B,B75,'B. Special Mob Strand - Student'!N:N)+SUMIF('B. Special Mob Strand - Staff'!B:B,B75,'B. Special Mob Strand - Staff'!N:N)</f>
        <v>0</v>
      </c>
      <c r="L75" s="43">
        <f t="shared" si="1"/>
        <v>0</v>
      </c>
    </row>
    <row r="76" spans="2:12" x14ac:dyDescent="0.25">
      <c r="B76" s="123" t="s">
        <v>144</v>
      </c>
      <c r="C76" s="44"/>
      <c r="D76" s="39"/>
      <c r="E76" s="40" t="str">
        <f t="shared" si="0"/>
        <v/>
      </c>
      <c r="F76" s="41">
        <f>SUMIF('1. Staff costs'!C:C,B76,'1. Staff costs'!S:S)</f>
        <v>0</v>
      </c>
      <c r="G76" s="41">
        <f>SUMIF('2-3. Travel Costs&amp;Costs of Stay'!C:C,B76,'2-3. Travel Costs&amp;Costs of Stay'!L:L)</f>
        <v>0</v>
      </c>
      <c r="H76" s="41">
        <f>SUMIF('2-3. Travel Costs&amp;Costs of Stay'!C:C,B76,'2-3. Travel Costs&amp;Costs of Stay'!M:M)</f>
        <v>0</v>
      </c>
      <c r="I76" s="41">
        <f>SUMIF('4. Equipment Costs'!C:C,B76,'4. Equipment Costs'!H:H)</f>
        <v>0</v>
      </c>
      <c r="J76" s="41">
        <f>SUMIF('5. Subcontracting Costs'!C:C,B76,'5. Subcontracting Costs'!H:H)</f>
        <v>0</v>
      </c>
      <c r="K76" s="42">
        <f>SUMIF('B. Special Mob Strand - Student'!B:B,B76,'B. Special Mob Strand - Student'!N:N)+SUMIF('B. Special Mob Strand - Staff'!B:B,B76,'B. Special Mob Strand - Staff'!N:N)</f>
        <v>0</v>
      </c>
      <c r="L76" s="43">
        <f t="shared" si="1"/>
        <v>0</v>
      </c>
    </row>
    <row r="77" spans="2:12" x14ac:dyDescent="0.25">
      <c r="B77" s="123" t="s">
        <v>145</v>
      </c>
      <c r="C77" s="44"/>
      <c r="D77" s="39"/>
      <c r="E77" s="40" t="str">
        <f t="shared" si="0"/>
        <v/>
      </c>
      <c r="F77" s="41">
        <f>SUMIF('1. Staff costs'!C:C,B77,'1. Staff costs'!S:S)</f>
        <v>0</v>
      </c>
      <c r="G77" s="41">
        <f>SUMIF('2-3. Travel Costs&amp;Costs of Stay'!C:C,B77,'2-3. Travel Costs&amp;Costs of Stay'!L:L)</f>
        <v>0</v>
      </c>
      <c r="H77" s="41">
        <f>SUMIF('2-3. Travel Costs&amp;Costs of Stay'!C:C,B77,'2-3. Travel Costs&amp;Costs of Stay'!M:M)</f>
        <v>0</v>
      </c>
      <c r="I77" s="41">
        <f>SUMIF('4. Equipment Costs'!C:C,B77,'4. Equipment Costs'!H:H)</f>
        <v>0</v>
      </c>
      <c r="J77" s="41">
        <f>SUMIF('5. Subcontracting Costs'!C:C,B77,'5. Subcontracting Costs'!H:H)</f>
        <v>0</v>
      </c>
      <c r="K77" s="42">
        <f>SUMIF('B. Special Mob Strand - Student'!B:B,B77,'B. Special Mob Strand - Student'!N:N)+SUMIF('B. Special Mob Strand - Staff'!B:B,B77,'B. Special Mob Strand - Staff'!N:N)</f>
        <v>0</v>
      </c>
      <c r="L77" s="43">
        <f t="shared" si="1"/>
        <v>0</v>
      </c>
    </row>
    <row r="78" spans="2:12" x14ac:dyDescent="0.25">
      <c r="B78" s="123" t="s">
        <v>146</v>
      </c>
      <c r="C78" s="44"/>
      <c r="D78" s="39"/>
      <c r="E78" s="40" t="str">
        <f t="shared" si="0"/>
        <v/>
      </c>
      <c r="F78" s="41">
        <f>SUMIF('1. Staff costs'!C:C,B78,'1. Staff costs'!S:S)</f>
        <v>0</v>
      </c>
      <c r="G78" s="41">
        <f>SUMIF('2-3. Travel Costs&amp;Costs of Stay'!C:C,B78,'2-3. Travel Costs&amp;Costs of Stay'!L:L)</f>
        <v>0</v>
      </c>
      <c r="H78" s="41">
        <f>SUMIF('2-3. Travel Costs&amp;Costs of Stay'!C:C,B78,'2-3. Travel Costs&amp;Costs of Stay'!M:M)</f>
        <v>0</v>
      </c>
      <c r="I78" s="41">
        <f>SUMIF('4. Equipment Costs'!C:C,B78,'4. Equipment Costs'!H:H)</f>
        <v>0</v>
      </c>
      <c r="J78" s="41">
        <f>SUMIF('5. Subcontracting Costs'!C:C,B78,'5. Subcontracting Costs'!H:H)</f>
        <v>0</v>
      </c>
      <c r="K78" s="42">
        <f>SUMIF('B. Special Mob Strand - Student'!B:B,B78,'B. Special Mob Strand - Student'!N:N)+SUMIF('B. Special Mob Strand - Staff'!B:B,B78,'B. Special Mob Strand - Staff'!N:N)</f>
        <v>0</v>
      </c>
      <c r="L78" s="43">
        <f t="shared" si="1"/>
        <v>0</v>
      </c>
    </row>
    <row r="79" spans="2:12" x14ac:dyDescent="0.25">
      <c r="B79" s="123" t="s">
        <v>147</v>
      </c>
      <c r="C79" s="44"/>
      <c r="D79" s="39"/>
      <c r="E79" s="40" t="str">
        <f t="shared" si="0"/>
        <v/>
      </c>
      <c r="F79" s="41">
        <f>SUMIF('1. Staff costs'!C:C,B79,'1. Staff costs'!S:S)</f>
        <v>0</v>
      </c>
      <c r="G79" s="41">
        <f>SUMIF('2-3. Travel Costs&amp;Costs of Stay'!C:C,B79,'2-3. Travel Costs&amp;Costs of Stay'!L:L)</f>
        <v>0</v>
      </c>
      <c r="H79" s="41">
        <f>SUMIF('2-3. Travel Costs&amp;Costs of Stay'!C:C,B79,'2-3. Travel Costs&amp;Costs of Stay'!M:M)</f>
        <v>0</v>
      </c>
      <c r="I79" s="41">
        <f>SUMIF('4. Equipment Costs'!C:C,B79,'4. Equipment Costs'!H:H)</f>
        <v>0</v>
      </c>
      <c r="J79" s="41">
        <f>SUMIF('5. Subcontracting Costs'!C:C,B79,'5. Subcontracting Costs'!H:H)</f>
        <v>0</v>
      </c>
      <c r="K79" s="42">
        <f>SUMIF('B. Special Mob Strand - Student'!B:B,B79,'B. Special Mob Strand - Student'!N:N)+SUMIF('B. Special Mob Strand - Staff'!B:B,B79,'B. Special Mob Strand - Staff'!N:N)</f>
        <v>0</v>
      </c>
      <c r="L79" s="43">
        <f t="shared" si="1"/>
        <v>0</v>
      </c>
    </row>
    <row r="80" spans="2:12" x14ac:dyDescent="0.25">
      <c r="B80" s="123" t="s">
        <v>148</v>
      </c>
      <c r="C80" s="44"/>
      <c r="D80" s="39"/>
      <c r="E80" s="40" t="str">
        <f t="shared" si="0"/>
        <v/>
      </c>
      <c r="F80" s="41">
        <f>SUMIF('1. Staff costs'!C:C,B80,'1. Staff costs'!S:S)</f>
        <v>0</v>
      </c>
      <c r="G80" s="41">
        <f>SUMIF('2-3. Travel Costs&amp;Costs of Stay'!C:C,B80,'2-3. Travel Costs&amp;Costs of Stay'!L:L)</f>
        <v>0</v>
      </c>
      <c r="H80" s="41">
        <f>SUMIF('2-3. Travel Costs&amp;Costs of Stay'!C:C,B80,'2-3. Travel Costs&amp;Costs of Stay'!M:M)</f>
        <v>0</v>
      </c>
      <c r="I80" s="41">
        <f>SUMIF('4. Equipment Costs'!C:C,B80,'4. Equipment Costs'!H:H)</f>
        <v>0</v>
      </c>
      <c r="J80" s="41">
        <f>SUMIF('5. Subcontracting Costs'!C:C,B80,'5. Subcontracting Costs'!H:H)</f>
        <v>0</v>
      </c>
      <c r="K80" s="42">
        <f>SUMIF('B. Special Mob Strand - Student'!B:B,B80,'B. Special Mob Strand - Student'!N:N)+SUMIF('B. Special Mob Strand - Staff'!B:B,B80,'B. Special Mob Strand - Staff'!N:N)</f>
        <v>0</v>
      </c>
      <c r="L80" s="43">
        <f t="shared" si="1"/>
        <v>0</v>
      </c>
    </row>
    <row r="81" spans="2:12" x14ac:dyDescent="0.25">
      <c r="B81" s="123" t="s">
        <v>149</v>
      </c>
      <c r="C81" s="44"/>
      <c r="D81" s="39"/>
      <c r="E81" s="40" t="str">
        <f t="shared" si="0"/>
        <v/>
      </c>
      <c r="F81" s="41">
        <f>SUMIF('1. Staff costs'!C:C,B81,'1. Staff costs'!S:S)</f>
        <v>0</v>
      </c>
      <c r="G81" s="41">
        <f>SUMIF('2-3. Travel Costs&amp;Costs of Stay'!C:C,B81,'2-3. Travel Costs&amp;Costs of Stay'!L:L)</f>
        <v>0</v>
      </c>
      <c r="H81" s="41">
        <f>SUMIF('2-3. Travel Costs&amp;Costs of Stay'!C:C,B81,'2-3. Travel Costs&amp;Costs of Stay'!M:M)</f>
        <v>0</v>
      </c>
      <c r="I81" s="41">
        <f>SUMIF('4. Equipment Costs'!C:C,B81,'4. Equipment Costs'!H:H)</f>
        <v>0</v>
      </c>
      <c r="J81" s="41">
        <f>SUMIF('5. Subcontracting Costs'!C:C,B81,'5. Subcontracting Costs'!H:H)</f>
        <v>0</v>
      </c>
      <c r="K81" s="42">
        <f>SUMIF('B. Special Mob Strand - Student'!B:B,B81,'B. Special Mob Strand - Student'!N:N)+SUMIF('B. Special Mob Strand - Staff'!B:B,B81,'B. Special Mob Strand - Staff'!N:N)</f>
        <v>0</v>
      </c>
      <c r="L81" s="43">
        <f t="shared" si="1"/>
        <v>0</v>
      </c>
    </row>
    <row r="82" spans="2:12" x14ac:dyDescent="0.25">
      <c r="B82" s="123" t="s">
        <v>150</v>
      </c>
      <c r="C82" s="44"/>
      <c r="D82" s="39"/>
      <c r="E82" s="40" t="str">
        <f t="shared" si="0"/>
        <v/>
      </c>
      <c r="F82" s="41">
        <f>SUMIF('1. Staff costs'!C:C,B82,'1. Staff costs'!S:S)</f>
        <v>0</v>
      </c>
      <c r="G82" s="41">
        <f>SUMIF('2-3. Travel Costs&amp;Costs of Stay'!C:C,B82,'2-3. Travel Costs&amp;Costs of Stay'!L:L)</f>
        <v>0</v>
      </c>
      <c r="H82" s="41">
        <f>SUMIF('2-3. Travel Costs&amp;Costs of Stay'!C:C,B82,'2-3. Travel Costs&amp;Costs of Stay'!M:M)</f>
        <v>0</v>
      </c>
      <c r="I82" s="41">
        <f>SUMIF('4. Equipment Costs'!C:C,B82,'4. Equipment Costs'!H:H)</f>
        <v>0</v>
      </c>
      <c r="J82" s="41">
        <f>SUMIF('5. Subcontracting Costs'!C:C,B82,'5. Subcontracting Costs'!H:H)</f>
        <v>0</v>
      </c>
      <c r="K82" s="42">
        <f>SUMIF('B. Special Mob Strand - Student'!B:B,B82,'B. Special Mob Strand - Student'!N:N)+SUMIF('B. Special Mob Strand - Staff'!B:B,B82,'B. Special Mob Strand - Staff'!N:N)</f>
        <v>0</v>
      </c>
      <c r="L82" s="43">
        <f t="shared" si="1"/>
        <v>0</v>
      </c>
    </row>
    <row r="83" spans="2:12" x14ac:dyDescent="0.25">
      <c r="B83" s="123" t="s">
        <v>163</v>
      </c>
      <c r="C83" s="44"/>
      <c r="D83" s="39"/>
      <c r="E83" s="40" t="str">
        <f t="shared" si="0"/>
        <v/>
      </c>
      <c r="F83" s="41">
        <f>SUMIF('1. Staff costs'!C:C,B83,'1. Staff costs'!S:S)</f>
        <v>0</v>
      </c>
      <c r="G83" s="41">
        <f>SUMIF('2-3. Travel Costs&amp;Costs of Stay'!C:C,B83,'2-3. Travel Costs&amp;Costs of Stay'!L:L)</f>
        <v>0</v>
      </c>
      <c r="H83" s="41">
        <f>SUMIF('2-3. Travel Costs&amp;Costs of Stay'!C:C,B83,'2-3. Travel Costs&amp;Costs of Stay'!M:M)</f>
        <v>0</v>
      </c>
      <c r="I83" s="41">
        <f>SUMIF('4. Equipment Costs'!C:C,B83,'4. Equipment Costs'!H:H)</f>
        <v>0</v>
      </c>
      <c r="J83" s="41">
        <f>SUMIF('5. Subcontracting Costs'!C:C,B83,'5. Subcontracting Costs'!H:H)</f>
        <v>0</v>
      </c>
      <c r="K83" s="42">
        <f>SUMIF('B. Special Mob Strand - Student'!B:B,B83,'B. Special Mob Strand - Student'!N:N)+SUMIF('B. Special Mob Strand - Staff'!B:B,B83,'B. Special Mob Strand - Staff'!N:N)</f>
        <v>0</v>
      </c>
      <c r="L83" s="43">
        <f t="shared" si="1"/>
        <v>0</v>
      </c>
    </row>
    <row r="84" spans="2:12" x14ac:dyDescent="0.25">
      <c r="B84" s="123" t="s">
        <v>164</v>
      </c>
      <c r="C84" s="44"/>
      <c r="D84" s="39"/>
      <c r="E84" s="40" t="str">
        <f t="shared" si="0"/>
        <v/>
      </c>
      <c r="F84" s="41">
        <f>SUMIF('1. Staff costs'!C:C,B84,'1. Staff costs'!S:S)</f>
        <v>0</v>
      </c>
      <c r="G84" s="41">
        <f>SUMIF('2-3. Travel Costs&amp;Costs of Stay'!C:C,B84,'2-3. Travel Costs&amp;Costs of Stay'!L:L)</f>
        <v>0</v>
      </c>
      <c r="H84" s="41">
        <f>SUMIF('2-3. Travel Costs&amp;Costs of Stay'!C:C,B84,'2-3. Travel Costs&amp;Costs of Stay'!M:M)</f>
        <v>0</v>
      </c>
      <c r="I84" s="41">
        <f>SUMIF('4. Equipment Costs'!C:C,B84,'4. Equipment Costs'!H:H)</f>
        <v>0</v>
      </c>
      <c r="J84" s="41">
        <f>SUMIF('5. Subcontracting Costs'!C:C,B84,'5. Subcontracting Costs'!H:H)</f>
        <v>0</v>
      </c>
      <c r="K84" s="42">
        <f>SUMIF('B. Special Mob Strand - Student'!B:B,B84,'B. Special Mob Strand - Student'!N:N)+SUMIF('B. Special Mob Strand - Staff'!B:B,B84,'B. Special Mob Strand - Staff'!N:N)</f>
        <v>0</v>
      </c>
      <c r="L84" s="43">
        <f t="shared" si="1"/>
        <v>0</v>
      </c>
    </row>
    <row r="85" spans="2:12" x14ac:dyDescent="0.25">
      <c r="B85" s="123" t="s">
        <v>165</v>
      </c>
      <c r="C85" s="44"/>
      <c r="D85" s="39"/>
      <c r="E85" s="40" t="str">
        <f t="shared" si="0"/>
        <v/>
      </c>
      <c r="F85" s="41">
        <f>SUMIF('1. Staff costs'!C:C,B85,'1. Staff costs'!S:S)</f>
        <v>0</v>
      </c>
      <c r="G85" s="41">
        <f>SUMIF('2-3. Travel Costs&amp;Costs of Stay'!C:C,B85,'2-3. Travel Costs&amp;Costs of Stay'!L:L)</f>
        <v>0</v>
      </c>
      <c r="H85" s="41">
        <f>SUMIF('2-3. Travel Costs&amp;Costs of Stay'!C:C,B85,'2-3. Travel Costs&amp;Costs of Stay'!M:M)</f>
        <v>0</v>
      </c>
      <c r="I85" s="41">
        <f>SUMIF('4. Equipment Costs'!C:C,B85,'4. Equipment Costs'!H:H)</f>
        <v>0</v>
      </c>
      <c r="J85" s="41">
        <f>SUMIF('5. Subcontracting Costs'!C:C,B85,'5. Subcontracting Costs'!H:H)</f>
        <v>0</v>
      </c>
      <c r="K85" s="42">
        <f>SUMIF('B. Special Mob Strand - Student'!B:B,B85,'B. Special Mob Strand - Student'!N:N)+SUMIF('B. Special Mob Strand - Staff'!B:B,B85,'B. Special Mob Strand - Staff'!N:N)</f>
        <v>0</v>
      </c>
      <c r="L85" s="43">
        <f t="shared" si="1"/>
        <v>0</v>
      </c>
    </row>
    <row r="86" spans="2:12" x14ac:dyDescent="0.25">
      <c r="B86" s="123" t="s">
        <v>166</v>
      </c>
      <c r="C86" s="44"/>
      <c r="D86" s="39"/>
      <c r="E86" s="40" t="str">
        <f t="shared" si="0"/>
        <v/>
      </c>
      <c r="F86" s="41">
        <f>SUMIF('1. Staff costs'!C:C,B86,'1. Staff costs'!S:S)</f>
        <v>0</v>
      </c>
      <c r="G86" s="41">
        <f>SUMIF('2-3. Travel Costs&amp;Costs of Stay'!C:C,B86,'2-3. Travel Costs&amp;Costs of Stay'!L:L)</f>
        <v>0</v>
      </c>
      <c r="H86" s="41">
        <f>SUMIF('2-3. Travel Costs&amp;Costs of Stay'!C:C,B86,'2-3. Travel Costs&amp;Costs of Stay'!M:M)</f>
        <v>0</v>
      </c>
      <c r="I86" s="41">
        <f>SUMIF('4. Equipment Costs'!C:C,B86,'4. Equipment Costs'!H:H)</f>
        <v>0</v>
      </c>
      <c r="J86" s="41">
        <f>SUMIF('5. Subcontracting Costs'!C:C,B86,'5. Subcontracting Costs'!H:H)</f>
        <v>0</v>
      </c>
      <c r="K86" s="42">
        <f>SUMIF('B. Special Mob Strand - Student'!B:B,B86,'B. Special Mob Strand - Student'!N:N)+SUMIF('B. Special Mob Strand - Staff'!B:B,B86,'B. Special Mob Strand - Staff'!N:N)</f>
        <v>0</v>
      </c>
      <c r="L86" s="43">
        <f t="shared" si="1"/>
        <v>0</v>
      </c>
    </row>
    <row r="87" spans="2:12" x14ac:dyDescent="0.25">
      <c r="B87" s="123" t="s">
        <v>167</v>
      </c>
      <c r="C87" s="44"/>
      <c r="D87" s="39"/>
      <c r="E87" s="40" t="str">
        <f t="shared" si="0"/>
        <v/>
      </c>
      <c r="F87" s="41">
        <f>SUMIF('1. Staff costs'!C:C,B87,'1. Staff costs'!S:S)</f>
        <v>0</v>
      </c>
      <c r="G87" s="41">
        <f>SUMIF('2-3. Travel Costs&amp;Costs of Stay'!C:C,B87,'2-3. Travel Costs&amp;Costs of Stay'!L:L)</f>
        <v>0</v>
      </c>
      <c r="H87" s="41">
        <f>SUMIF('2-3. Travel Costs&amp;Costs of Stay'!C:C,B87,'2-3. Travel Costs&amp;Costs of Stay'!M:M)</f>
        <v>0</v>
      </c>
      <c r="I87" s="41">
        <f>SUMIF('4. Equipment Costs'!C:C,B87,'4. Equipment Costs'!H:H)</f>
        <v>0</v>
      </c>
      <c r="J87" s="41">
        <f>SUMIF('5. Subcontracting Costs'!C:C,B87,'5. Subcontracting Costs'!H:H)</f>
        <v>0</v>
      </c>
      <c r="K87" s="42">
        <f>SUMIF('B. Special Mob Strand - Student'!B:B,B87,'B. Special Mob Strand - Student'!N:N)+SUMIF('B. Special Mob Strand - Staff'!B:B,B87,'B. Special Mob Strand - Staff'!N:N)</f>
        <v>0</v>
      </c>
      <c r="L87" s="43">
        <f t="shared" si="1"/>
        <v>0</v>
      </c>
    </row>
  </sheetData>
  <sheetProtection password="E359" sheet="1" objects="1" scenarios="1" selectLockedCells="1"/>
  <mergeCells count="36">
    <mergeCell ref="B31:L31"/>
    <mergeCell ref="B18:C18"/>
    <mergeCell ref="B19:C19"/>
    <mergeCell ref="B20:C20"/>
    <mergeCell ref="B21:C21"/>
    <mergeCell ref="B29:C29"/>
    <mergeCell ref="B22:C22"/>
    <mergeCell ref="E22:L22"/>
    <mergeCell ref="E29:L29"/>
    <mergeCell ref="E21:L21"/>
    <mergeCell ref="E20:L20"/>
    <mergeCell ref="E19:L19"/>
    <mergeCell ref="E18:L18"/>
    <mergeCell ref="B24:C27"/>
    <mergeCell ref="D24:D27"/>
    <mergeCell ref="E24:F27"/>
    <mergeCell ref="E17:L17"/>
    <mergeCell ref="B7:L7"/>
    <mergeCell ref="B8:L8"/>
    <mergeCell ref="B9:L9"/>
    <mergeCell ref="B11:C11"/>
    <mergeCell ref="B12:C12"/>
    <mergeCell ref="B13:C13"/>
    <mergeCell ref="B16:L16"/>
    <mergeCell ref="B17:C17"/>
    <mergeCell ref="E13:L13"/>
    <mergeCell ref="E12:L12"/>
    <mergeCell ref="E11:L11"/>
    <mergeCell ref="B14:C14"/>
    <mergeCell ref="D14:L14"/>
    <mergeCell ref="I24:I27"/>
    <mergeCell ref="K24:K27"/>
    <mergeCell ref="G27:H27"/>
    <mergeCell ref="G26:H26"/>
    <mergeCell ref="G25:H25"/>
    <mergeCell ref="G24:H24"/>
  </mergeCells>
  <conditionalFormatting sqref="D17">
    <cfRule type="expression" dxfId="47" priority="16">
      <formula>D17&gt;ROUND(D22*0.4,2)</formula>
    </cfRule>
  </conditionalFormatting>
  <conditionalFormatting sqref="D20">
    <cfRule type="expression" dxfId="46" priority="14">
      <formula>D20&gt;ROUND(D22*0.3,2)</formula>
    </cfRule>
  </conditionalFormatting>
  <conditionalFormatting sqref="D21">
    <cfRule type="expression" dxfId="45" priority="12">
      <formula>D21&gt;ROUND(D22*0.1,2)</formula>
    </cfRule>
  </conditionalFormatting>
  <conditionalFormatting sqref="D22">
    <cfRule type="cellIs" dxfId="44" priority="10" operator="notBetween">
      <formula>500000</formula>
      <formula>1000000</formula>
    </cfRule>
  </conditionalFormatting>
  <conditionalFormatting sqref="D24:D27">
    <cfRule type="expression" dxfId="43" priority="1">
      <formula>D24&gt;ROUND(D22*0.8,2)</formula>
    </cfRule>
  </conditionalFormatting>
  <dataValidations xWindow="516" yWindow="728" count="6">
    <dataValidation type="list" allowBlank="1" showInputMessage="1" showErrorMessage="1" error="Click arrow to select Action Type" prompt="Click arrow to select Action Type" sqref="D11">
      <formula1>ActionType</formula1>
    </dataValidation>
    <dataValidation type="list" allowBlank="1" showInputMessage="1" showErrorMessage="1" error="Click arrow to select Duration" prompt="Click arrow to select Duration" sqref="D12">
      <formula1>Duration</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130 characters" prompt="Max 130 characters" sqref="D14:L14">
      <formula1>0</formula1>
      <formula2>130</formula2>
    </dataValidation>
    <dataValidation type="textLength" allowBlank="1" showInputMessage="1" showErrorMessage="1" error="Max 60 characters" prompt="Max 60 characters" sqref="C33:C87">
      <formula1>0</formula1>
      <formula2>60</formula2>
    </dataValidation>
    <dataValidation type="list" allowBlank="1" showInputMessage="1" showErrorMessage="1" error="Click arrow to select Country " prompt="Click arrow to select Country " sqref="D33:D87">
      <formula1>CountryALL</formula1>
    </dataValidation>
  </dataValidations>
  <printOptions horizontalCentered="1"/>
  <pageMargins left="0.39370078740157483" right="0.39370078740157483" top="0.74803149606299213" bottom="0.74803149606299213" header="0.31496062992125984" footer="0.31496062992125984"/>
  <pageSetup paperSize="9" scale="33" orientation="portrait" r:id="rId1"/>
  <headerFooter>
    <oddFooter>&amp;CPage &amp;P of 3</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25" operator="containsText" id="{E65218D7-2FC9-4B62-9B72-6C3DD4C05A77}">
            <xm:f>NOT(ISERROR(SEARCH("Country not found",E33)))</xm:f>
            <xm:f>"Country not found"</xm:f>
            <x14:dxf>
              <font>
                <b/>
                <i val="0"/>
                <color theme="1"/>
              </font>
              <fill>
                <patternFill>
                  <bgColor rgb="FFFF0000"/>
                </patternFill>
              </fill>
            </x14:dxf>
          </x14:cfRule>
          <xm:sqref>E33:E87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7" customWidth="1"/>
    <col min="6" max="6" width="20.7109375" style="17" customWidth="1"/>
    <col min="7" max="19" width="20.7109375" style="16" customWidth="1"/>
    <col min="20" max="20" width="11.7109375" style="16" bestFit="1" customWidth="1"/>
    <col min="21" max="21" width="1.7109375" style="16" customWidth="1"/>
    <col min="22" max="16384" width="9.140625" style="16"/>
  </cols>
  <sheetData>
    <row r="1" spans="2:20" ht="8.1" customHeight="1" x14ac:dyDescent="0.25"/>
    <row r="2" spans="2:20" s="46" customFormat="1" ht="39.950000000000003" customHeight="1" x14ac:dyDescent="0.25">
      <c r="B2" s="165" t="s">
        <v>172</v>
      </c>
      <c r="C2" s="165"/>
      <c r="D2" s="165"/>
      <c r="E2" s="165"/>
      <c r="F2" s="165"/>
      <c r="G2" s="165"/>
      <c r="H2" s="165"/>
      <c r="I2" s="165"/>
      <c r="J2" s="165"/>
      <c r="K2" s="165"/>
      <c r="L2" s="165"/>
      <c r="M2" s="165"/>
      <c r="N2" s="165"/>
      <c r="O2" s="165"/>
      <c r="P2" s="165"/>
      <c r="Q2" s="165"/>
      <c r="R2" s="165"/>
      <c r="S2" s="165"/>
      <c r="T2" s="165"/>
    </row>
    <row r="3" spans="2:20" s="46" customFormat="1" ht="8.1" customHeight="1" x14ac:dyDescent="0.25">
      <c r="B3" s="162"/>
      <c r="C3" s="163"/>
      <c r="D3" s="163"/>
      <c r="E3" s="163"/>
      <c r="F3" s="163"/>
      <c r="G3" s="163"/>
      <c r="H3" s="163"/>
      <c r="I3" s="163"/>
      <c r="J3" s="163"/>
      <c r="K3" s="163"/>
      <c r="L3" s="163"/>
      <c r="M3" s="163"/>
      <c r="N3" s="163"/>
      <c r="O3" s="163"/>
      <c r="P3" s="163"/>
      <c r="Q3" s="163"/>
      <c r="R3" s="163"/>
      <c r="S3" s="163"/>
      <c r="T3" s="67"/>
    </row>
    <row r="4" spans="2:20" s="46" customFormat="1" ht="24.95" customHeight="1" x14ac:dyDescent="0.25">
      <c r="B4" s="158"/>
      <c r="C4" s="159"/>
      <c r="D4" s="118" t="s">
        <v>190</v>
      </c>
      <c r="E4" s="118" t="s">
        <v>188</v>
      </c>
      <c r="G4" s="171"/>
      <c r="H4" s="171"/>
      <c r="I4" s="171"/>
      <c r="J4" s="171"/>
      <c r="K4" s="171"/>
      <c r="L4" s="171"/>
      <c r="M4" s="171"/>
      <c r="N4" s="171"/>
      <c r="O4" s="171"/>
      <c r="P4" s="171"/>
      <c r="Q4" s="171"/>
      <c r="R4" s="171"/>
      <c r="S4" s="171"/>
      <c r="T4" s="172"/>
    </row>
    <row r="5" spans="2:20" s="46" customFormat="1" ht="17.100000000000001" customHeight="1" x14ac:dyDescent="0.25">
      <c r="B5" s="156" t="s">
        <v>135</v>
      </c>
      <c r="C5" s="157"/>
      <c r="D5" s="126">
        <f>SUM(H:H)</f>
        <v>0</v>
      </c>
      <c r="E5" s="68">
        <f>SUMIF(T:T,"&lt;&gt;Error",F:F)</f>
        <v>0</v>
      </c>
      <c r="G5" s="171"/>
      <c r="H5" s="171"/>
      <c r="I5" s="171"/>
      <c r="J5" s="171"/>
      <c r="K5" s="171"/>
      <c r="L5" s="171"/>
      <c r="M5" s="171"/>
      <c r="N5" s="171"/>
      <c r="O5" s="171"/>
      <c r="P5" s="171"/>
      <c r="Q5" s="171"/>
      <c r="R5" s="171"/>
      <c r="S5" s="171"/>
      <c r="T5" s="172"/>
    </row>
    <row r="6" spans="2:20" s="46" customFormat="1" ht="17.100000000000001" customHeight="1" x14ac:dyDescent="0.25">
      <c r="B6" s="173" t="s">
        <v>133</v>
      </c>
      <c r="C6" s="174"/>
      <c r="D6" s="126">
        <f>SUM(K:K)</f>
        <v>0</v>
      </c>
      <c r="E6" s="68">
        <f>SUMIF(T:T,"&lt;&gt;Error",I:I)</f>
        <v>0</v>
      </c>
      <c r="G6" s="171"/>
      <c r="H6" s="171"/>
      <c r="I6" s="171"/>
      <c r="J6" s="171"/>
      <c r="K6" s="171"/>
      <c r="L6" s="171"/>
      <c r="M6" s="171"/>
      <c r="N6" s="171"/>
      <c r="O6" s="171"/>
      <c r="P6" s="171"/>
      <c r="Q6" s="171"/>
      <c r="R6" s="171"/>
      <c r="S6" s="171"/>
      <c r="T6" s="172"/>
    </row>
    <row r="7" spans="2:20" s="46" customFormat="1" ht="17.100000000000001" customHeight="1" x14ac:dyDescent="0.25">
      <c r="B7" s="156" t="s">
        <v>361</v>
      </c>
      <c r="C7" s="157"/>
      <c r="D7" s="126">
        <f>SUM(N:N)</f>
        <v>0</v>
      </c>
      <c r="E7" s="68">
        <f>SUMIF(T:T,"&lt;&gt;Error",L:L)</f>
        <v>0</v>
      </c>
      <c r="G7" s="171"/>
      <c r="H7" s="171"/>
      <c r="I7" s="171"/>
      <c r="J7" s="171"/>
      <c r="K7" s="171"/>
      <c r="L7" s="171"/>
      <c r="M7" s="171"/>
      <c r="N7" s="171"/>
      <c r="O7" s="171"/>
      <c r="P7" s="171"/>
      <c r="Q7" s="171"/>
      <c r="R7" s="171"/>
      <c r="S7" s="171"/>
      <c r="T7" s="172"/>
    </row>
    <row r="8" spans="2:20" s="46" customFormat="1" ht="17.100000000000001" customHeight="1" x14ac:dyDescent="0.25">
      <c r="B8" s="156" t="s">
        <v>359</v>
      </c>
      <c r="C8" s="157"/>
      <c r="D8" s="126">
        <f>SUM(Q:Q)</f>
        <v>0</v>
      </c>
      <c r="E8" s="68">
        <f>SUMIF(T:T,"&lt;&gt;Error",O:O)</f>
        <v>0</v>
      </c>
      <c r="G8" s="171"/>
      <c r="H8" s="171"/>
      <c r="I8" s="171"/>
      <c r="J8" s="171"/>
      <c r="K8" s="171"/>
      <c r="L8" s="171"/>
      <c r="M8" s="171"/>
      <c r="N8" s="171"/>
      <c r="O8" s="171"/>
      <c r="P8" s="171"/>
      <c r="Q8" s="171"/>
      <c r="R8" s="171"/>
      <c r="S8" s="171"/>
      <c r="T8" s="172"/>
    </row>
    <row r="9" spans="2:20" s="46" customFormat="1" ht="24.95" customHeight="1" x14ac:dyDescent="0.25">
      <c r="B9" s="160"/>
      <c r="C9" s="161"/>
      <c r="D9" s="70">
        <f>SUM(D5:D8)</f>
        <v>0</v>
      </c>
      <c r="E9" s="69">
        <f>SUM(E5:E8)</f>
        <v>0</v>
      </c>
      <c r="G9" s="171"/>
      <c r="H9" s="171"/>
      <c r="I9" s="171"/>
      <c r="J9" s="171"/>
      <c r="K9" s="171"/>
      <c r="L9" s="171"/>
      <c r="M9" s="171"/>
      <c r="N9" s="171"/>
      <c r="O9" s="171"/>
      <c r="P9" s="171"/>
      <c r="Q9" s="171"/>
      <c r="R9" s="171"/>
      <c r="S9" s="171"/>
      <c r="T9" s="172"/>
    </row>
    <row r="10" spans="2:20" s="46" customFormat="1" ht="8.1" customHeight="1" x14ac:dyDescent="0.25">
      <c r="B10" s="158"/>
      <c r="C10" s="170"/>
      <c r="D10" s="170"/>
      <c r="E10" s="170"/>
      <c r="F10" s="170"/>
      <c r="G10" s="170"/>
      <c r="H10" s="170"/>
      <c r="I10" s="170"/>
      <c r="J10" s="170"/>
      <c r="K10" s="170"/>
      <c r="L10" s="170"/>
      <c r="M10" s="170"/>
      <c r="N10" s="170"/>
      <c r="O10" s="170"/>
      <c r="P10" s="170"/>
      <c r="Q10" s="170"/>
      <c r="R10" s="170"/>
      <c r="S10" s="170"/>
      <c r="T10" s="71"/>
    </row>
    <row r="11" spans="2:20" s="125" customFormat="1" ht="16.5" customHeight="1" x14ac:dyDescent="0.25">
      <c r="B11" s="164" t="s">
        <v>168</v>
      </c>
      <c r="C11" s="164" t="s">
        <v>151</v>
      </c>
      <c r="D11" s="164" t="s">
        <v>237</v>
      </c>
      <c r="E11" s="164" t="s">
        <v>238</v>
      </c>
      <c r="F11" s="166" t="str">
        <f>Rates!E3</f>
        <v>Manager</v>
      </c>
      <c r="G11" s="166"/>
      <c r="H11" s="166"/>
      <c r="I11" s="167" t="str">
        <f>Rates!F3</f>
        <v>Teacher/Trainer/Researcher</v>
      </c>
      <c r="J11" s="168"/>
      <c r="K11" s="169"/>
      <c r="L11" s="166" t="str">
        <f>Rates!G3</f>
        <v>Technical Staff</v>
      </c>
      <c r="M11" s="166"/>
      <c r="N11" s="166"/>
      <c r="O11" s="166" t="str">
        <f>Rates!H3</f>
        <v>Administrative Staff</v>
      </c>
      <c r="P11" s="166"/>
      <c r="Q11" s="166"/>
      <c r="R11" s="164" t="s">
        <v>210</v>
      </c>
      <c r="S11" s="164" t="s">
        <v>169</v>
      </c>
      <c r="T11" s="164" t="s">
        <v>239</v>
      </c>
    </row>
    <row r="12" spans="2:20" s="125" customFormat="1" ht="42" customHeight="1" x14ac:dyDescent="0.25">
      <c r="B12" s="141"/>
      <c r="C12" s="141"/>
      <c r="D12" s="141"/>
      <c r="E12" s="141"/>
      <c r="F12" s="122" t="s">
        <v>222</v>
      </c>
      <c r="G12" s="72" t="s">
        <v>229</v>
      </c>
      <c r="H12" s="122" t="s">
        <v>170</v>
      </c>
      <c r="I12" s="122" t="s">
        <v>222</v>
      </c>
      <c r="J12" s="72" t="s">
        <v>229</v>
      </c>
      <c r="K12" s="122" t="s">
        <v>170</v>
      </c>
      <c r="L12" s="122" t="s">
        <v>222</v>
      </c>
      <c r="M12" s="72" t="s">
        <v>229</v>
      </c>
      <c r="N12" s="122" t="s">
        <v>170</v>
      </c>
      <c r="O12" s="122" t="s">
        <v>222</v>
      </c>
      <c r="P12" s="72" t="s">
        <v>229</v>
      </c>
      <c r="Q12" s="122" t="s">
        <v>170</v>
      </c>
      <c r="R12" s="141"/>
      <c r="S12" s="141"/>
      <c r="T12" s="141"/>
    </row>
    <row r="13" spans="2:20"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74">
        <v>0</v>
      </c>
      <c r="G13" s="75">
        <f>IF(T13="Error",0,INDEX(Rates,MATCH(E13,CountryALL,0),MATCH($F$11,Category,0)))</f>
        <v>0</v>
      </c>
      <c r="H13" s="76">
        <f>IFERROR(IF(T13="Error",0,ROUND(F13*G13,2)),0)</f>
        <v>0</v>
      </c>
      <c r="I13" s="74">
        <v>0</v>
      </c>
      <c r="J13" s="75">
        <f>IF(T13="Error",0,INDEX(Rates,MATCH(E13,CountryALL,0),MATCH($I$11,Category,0)))</f>
        <v>0</v>
      </c>
      <c r="K13" s="76">
        <f>IFERROR(IF(T13="Error",0,ROUND(I13*J13,2)),0)</f>
        <v>0</v>
      </c>
      <c r="L13" s="74">
        <v>0</v>
      </c>
      <c r="M13" s="75">
        <f>IF(T13="Error",0,INDEX(Rates,MATCH(E13,CountryALL,0),MATCH($L$11,Category,0)))</f>
        <v>0</v>
      </c>
      <c r="N13" s="76">
        <f>IFERROR(IF(T13="Error",0,ROUND(L13*M13,2)),0)</f>
        <v>0</v>
      </c>
      <c r="O13" s="74">
        <v>0</v>
      </c>
      <c r="P13" s="75">
        <f>IF(T13="Error",0,INDEX(Rates,MATCH(E13,CountryALL,0),MATCH($O$11,Category,0)))</f>
        <v>0</v>
      </c>
      <c r="Q13" s="76">
        <f>IFERROR(IF(T13="Error",0,ROUND(O13*P13,2)),0)</f>
        <v>0</v>
      </c>
      <c r="R13" s="77">
        <f>IF(T13="Error",0,F13+I13+L13+O13)</f>
        <v>0</v>
      </c>
      <c r="S13" s="78">
        <f>IF(T13="Error",0,H13+K13+N13+Q13)</f>
        <v>0</v>
      </c>
      <c r="T13" s="79" t="str">
        <f>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74">
        <v>0</v>
      </c>
      <c r="G14" s="75">
        <f>IF(T14="Error",0,INDEX(Rates,MATCH(E14,CountryALL,0),MATCH($F$11,Category,0)))</f>
        <v>0</v>
      </c>
      <c r="H14" s="76">
        <f>IFERROR(IF(T14="Error",0,ROUND(F14*G14,2)),0)</f>
        <v>0</v>
      </c>
      <c r="I14" s="74">
        <v>0</v>
      </c>
      <c r="J14" s="75">
        <f>IF(T14="Error",0,INDEX(Rates,MATCH(E14,CountryALL,0),MATCH($I$11,Category,0)))</f>
        <v>0</v>
      </c>
      <c r="K14" s="76">
        <f>IFERROR(IF(T14="Error",0,ROUND(I14*J14,2)),0)</f>
        <v>0</v>
      </c>
      <c r="L14" s="74">
        <v>0</v>
      </c>
      <c r="M14" s="75">
        <f>IF(T14="Error",0,INDEX(Rates,MATCH(E14,CountryALL,0),MATCH($L$11,Category,0)))</f>
        <v>0</v>
      </c>
      <c r="N14" s="76">
        <f>IFERROR(IF(T14="Error",0,ROUND(L14*M14,2)),0)</f>
        <v>0</v>
      </c>
      <c r="O14" s="74">
        <v>0</v>
      </c>
      <c r="P14" s="75">
        <f>IF(T14="Error",0,INDEX(Rates,MATCH(E14,CountryALL,0),MATCH($O$11,Category,0)))</f>
        <v>0</v>
      </c>
      <c r="Q14" s="76">
        <f>IFERROR(IF(T14="Error",0,ROUND(O14*P14,2)),0)</f>
        <v>0</v>
      </c>
      <c r="R14" s="77">
        <f>IF(T14="Error",0,F14+I14+L14+O14)</f>
        <v>0</v>
      </c>
      <c r="S14" s="78">
        <f>IF(T14="Error",0,H14+K14+N14+Q14)</f>
        <v>0</v>
      </c>
      <c r="T14" s="79" t="str">
        <f>IF(OR(COUNTIF(WorkPackage,B14)=0,COUNTIF(PartnerN°,C14)=0,D14="",COUNTIF(CountryALL,E14)=0,ISNUMBER(F14)=FALSE,ISNUMBER(I14)=FALSE,ISNUMBER(L14)=FALSE,ISNUMBER(O14)=FALSE,IF(ISNUMBER(F14)=TRUE,F14=INT(F14*10)/10=FALSE),IF(ISNUMBER(I14)=TRUE,I14=INT(I14*10)/10=FALSE),IF(ISNUMBER(L14)=TRUE,L14=INT(L14*10)/10=FALSE),IF(ISNUMBER(O14)=TRUE,O14=INT(O14*10)/10=FALSE)),"Error","")</f>
        <v>Error</v>
      </c>
    </row>
  </sheetData>
  <sheetProtection password="E359" sheet="1" objects="1" scenarios="1" selectLockedCells="1"/>
  <dataConsolidate/>
  <mergeCells count="21">
    <mergeCell ref="T11:T12"/>
    <mergeCell ref="B2:T2"/>
    <mergeCell ref="S11:S12"/>
    <mergeCell ref="F11:H11"/>
    <mergeCell ref="I11:K11"/>
    <mergeCell ref="L11:N11"/>
    <mergeCell ref="O11:Q11"/>
    <mergeCell ref="B10:S10"/>
    <mergeCell ref="G4:T9"/>
    <mergeCell ref="B11:B12"/>
    <mergeCell ref="E11:E12"/>
    <mergeCell ref="D11:D12"/>
    <mergeCell ref="C11:C12"/>
    <mergeCell ref="B8:C8"/>
    <mergeCell ref="B7:C7"/>
    <mergeCell ref="B6:C6"/>
    <mergeCell ref="B5:C5"/>
    <mergeCell ref="B4:C4"/>
    <mergeCell ref="B9:C9"/>
    <mergeCell ref="B3:S3"/>
    <mergeCell ref="R11:R12"/>
  </mergeCells>
  <conditionalFormatting sqref="T13:T14">
    <cfRule type="containsText" dxfId="41" priority="555" operator="containsText" text="Error">
      <formula>NOT(ISERROR(SEARCH("Error",T13)))</formula>
    </cfRule>
  </conditionalFormatting>
  <conditionalFormatting sqref="D13:E14">
    <cfRule type="containsBlanks" dxfId="40" priority="551">
      <formula>LEN(TRIM(D13))=0</formula>
    </cfRule>
  </conditionalFormatting>
  <dataValidations count="4">
    <dataValidation allowBlank="1" showInputMessage="1" errorTitle="Warning: Max Ceilings exceeded" error="Please be aware that this exceed the &quot;Ceilings&quot; for the maximum amounts for staff cost by country" sqref="J13:J14 M13:M14 G13:G14 P13:P14"/>
    <dataValidation type="custom" allowBlank="1" showInputMessage="1" showErrorMessage="1" error="Format error (1 decimal only)" prompt="Please encode number of days - 1 decimal only" sqref="I13:I14 F13:F14 L13:L14 O13:O14">
      <formula1>F13=INT(F13*10)/10</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30.7109375" style="16" customWidth="1"/>
    <col min="7" max="7" width="15.7109375" style="16" customWidth="1"/>
    <col min="8" max="8" width="13.42578125" style="16" customWidth="1"/>
    <col min="9" max="9" width="30.7109375" style="16" customWidth="1"/>
    <col min="10" max="10" width="24.7109375" style="16" bestFit="1" customWidth="1"/>
    <col min="11" max="11" width="12.7109375" style="16" customWidth="1"/>
    <col min="12" max="14" width="20.7109375" style="16" customWidth="1"/>
    <col min="15" max="15" width="11.7109375" style="16" bestFit="1" customWidth="1"/>
    <col min="16" max="16" width="1.7109375" style="16" customWidth="1"/>
    <col min="17" max="16384" width="9.140625" style="16"/>
  </cols>
  <sheetData>
    <row r="1" spans="2:15" ht="8.1" customHeight="1" x14ac:dyDescent="0.25"/>
    <row r="2" spans="2:15" s="46" customFormat="1" ht="39.950000000000003" customHeight="1" x14ac:dyDescent="0.25">
      <c r="B2" s="165" t="s">
        <v>189</v>
      </c>
      <c r="C2" s="165"/>
      <c r="D2" s="165"/>
      <c r="E2" s="165"/>
      <c r="F2" s="165"/>
      <c r="G2" s="165"/>
      <c r="H2" s="165"/>
      <c r="I2" s="165"/>
      <c r="J2" s="165"/>
      <c r="K2" s="165"/>
      <c r="L2" s="165"/>
      <c r="M2" s="165"/>
      <c r="N2" s="165"/>
      <c r="O2" s="165"/>
    </row>
    <row r="3" spans="2:15" s="46" customFormat="1" ht="8.1" customHeight="1" x14ac:dyDescent="0.25">
      <c r="B3" s="81"/>
      <c r="C3" s="124"/>
      <c r="D3" s="124"/>
      <c r="E3" s="124"/>
      <c r="F3" s="124"/>
      <c r="G3" s="124"/>
      <c r="H3" s="124"/>
      <c r="I3" s="124"/>
      <c r="J3" s="124"/>
      <c r="K3" s="124"/>
      <c r="L3" s="124"/>
      <c r="M3" s="124"/>
      <c r="N3" s="124"/>
      <c r="O3" s="67"/>
    </row>
    <row r="4" spans="2:15" s="46" customFormat="1" ht="20.100000000000001" customHeight="1" x14ac:dyDescent="0.25">
      <c r="B4" s="192" t="s">
        <v>340</v>
      </c>
      <c r="C4" s="193"/>
      <c r="D4" s="114">
        <f>SUMIF(G:G,"Student",L:L)</f>
        <v>0</v>
      </c>
      <c r="E4" s="188">
        <f>D4+D5</f>
        <v>0</v>
      </c>
      <c r="F4" s="182">
        <f>SUMIFS(H:H,G:G,"Student",O:O,"&lt;&gt;Error")</f>
        <v>0</v>
      </c>
      <c r="G4" s="124"/>
      <c r="H4" s="124"/>
      <c r="I4" s="124"/>
      <c r="J4" s="124"/>
      <c r="K4" s="124"/>
      <c r="L4" s="124"/>
      <c r="M4" s="124"/>
      <c r="N4" s="124"/>
      <c r="O4" s="67"/>
    </row>
    <row r="5" spans="2:15" s="46" customFormat="1" ht="20.100000000000001" customHeight="1" x14ac:dyDescent="0.25">
      <c r="B5" s="190" t="s">
        <v>341</v>
      </c>
      <c r="C5" s="191"/>
      <c r="D5" s="115">
        <f>SUMIF(G:G,"Student",M:M)</f>
        <v>0</v>
      </c>
      <c r="E5" s="189"/>
      <c r="F5" s="183"/>
      <c r="G5" s="124"/>
      <c r="H5" s="124"/>
      <c r="I5" s="124"/>
      <c r="J5" s="124"/>
      <c r="K5" s="124"/>
      <c r="L5" s="124"/>
      <c r="M5" s="124"/>
      <c r="N5" s="124"/>
      <c r="O5" s="67"/>
    </row>
    <row r="6" spans="2:15" s="46" customFormat="1" ht="20.100000000000001" customHeight="1" x14ac:dyDescent="0.25">
      <c r="B6" s="192" t="s">
        <v>342</v>
      </c>
      <c r="C6" s="193"/>
      <c r="D6" s="114">
        <f>SUMIF(G:G,"Staff",L:L)</f>
        <v>0</v>
      </c>
      <c r="E6" s="186">
        <f>D6+D7</f>
        <v>0</v>
      </c>
      <c r="F6" s="180">
        <f>SUMIFS(H:H,G:G,"Staff",O:O,"&lt;&gt;Error")</f>
        <v>0</v>
      </c>
      <c r="G6" s="124"/>
      <c r="H6" s="124"/>
      <c r="I6" s="124"/>
      <c r="J6" s="124"/>
      <c r="K6" s="124"/>
      <c r="L6" s="124"/>
      <c r="M6" s="124"/>
      <c r="N6" s="124"/>
      <c r="O6" s="67"/>
    </row>
    <row r="7" spans="2:15" s="46" customFormat="1" ht="20.100000000000001" customHeight="1" x14ac:dyDescent="0.25">
      <c r="B7" s="190" t="s">
        <v>343</v>
      </c>
      <c r="C7" s="191"/>
      <c r="D7" s="115">
        <f>SUMIF(G:G,"Staff",M:M)</f>
        <v>0</v>
      </c>
      <c r="E7" s="187"/>
      <c r="F7" s="181"/>
      <c r="G7" s="124"/>
      <c r="H7" s="124"/>
      <c r="I7" s="124"/>
      <c r="J7" s="124"/>
      <c r="K7" s="124"/>
      <c r="L7" s="124"/>
      <c r="M7" s="124"/>
      <c r="N7" s="124"/>
      <c r="O7" s="67"/>
    </row>
    <row r="8" spans="2:15" s="46" customFormat="1" ht="20.100000000000001" customHeight="1" x14ac:dyDescent="0.25">
      <c r="B8" s="192" t="s">
        <v>344</v>
      </c>
      <c r="C8" s="193"/>
      <c r="D8" s="114">
        <f>SUM(L:L)</f>
        <v>0</v>
      </c>
      <c r="E8" s="184">
        <f>D8+D9</f>
        <v>0</v>
      </c>
      <c r="F8" s="178">
        <f>F4+F6</f>
        <v>0</v>
      </c>
      <c r="G8" s="124"/>
      <c r="H8" s="124"/>
      <c r="I8" s="124"/>
      <c r="J8" s="124"/>
      <c r="K8" s="124"/>
      <c r="L8" s="124"/>
      <c r="M8" s="124"/>
      <c r="N8" s="124"/>
      <c r="O8" s="67"/>
    </row>
    <row r="9" spans="2:15" s="46" customFormat="1" ht="20.100000000000001" customHeight="1" x14ac:dyDescent="0.25">
      <c r="B9" s="190" t="s">
        <v>345</v>
      </c>
      <c r="C9" s="191"/>
      <c r="D9" s="115">
        <f>SUM(M:M)</f>
        <v>0</v>
      </c>
      <c r="E9" s="185"/>
      <c r="F9" s="179"/>
      <c r="G9" s="124"/>
      <c r="H9" s="124"/>
      <c r="I9" s="124"/>
      <c r="J9" s="124"/>
      <c r="K9" s="124"/>
      <c r="L9" s="124"/>
      <c r="M9" s="124"/>
      <c r="N9" s="124"/>
      <c r="O9" s="67"/>
    </row>
    <row r="10" spans="2:15" s="46" customFormat="1" ht="8.1" customHeight="1" x14ac:dyDescent="0.25">
      <c r="B10" s="47"/>
      <c r="C10" s="49"/>
      <c r="D10" s="49"/>
      <c r="E10" s="49"/>
      <c r="F10" s="49"/>
      <c r="G10" s="49"/>
      <c r="H10" s="49"/>
      <c r="I10" s="49"/>
      <c r="J10" s="49"/>
      <c r="K10" s="49"/>
      <c r="L10" s="49"/>
      <c r="M10" s="49"/>
      <c r="N10" s="49"/>
      <c r="O10" s="71"/>
    </row>
    <row r="11" spans="2:15" s="125" customFormat="1" ht="42" customHeight="1" x14ac:dyDescent="0.25">
      <c r="B11" s="164" t="s">
        <v>168</v>
      </c>
      <c r="C11" s="164" t="s">
        <v>151</v>
      </c>
      <c r="D11" s="164" t="s">
        <v>237</v>
      </c>
      <c r="E11" s="164" t="s">
        <v>238</v>
      </c>
      <c r="F11" s="166" t="s">
        <v>244</v>
      </c>
      <c r="G11" s="164" t="s">
        <v>233</v>
      </c>
      <c r="H11" s="164" t="s">
        <v>231</v>
      </c>
      <c r="I11" s="175" t="s">
        <v>245</v>
      </c>
      <c r="J11" s="166" t="s">
        <v>230</v>
      </c>
      <c r="K11" s="164" t="s">
        <v>227</v>
      </c>
      <c r="L11" s="177" t="s">
        <v>177</v>
      </c>
      <c r="M11" s="164" t="s">
        <v>181</v>
      </c>
      <c r="N11" s="164" t="s">
        <v>169</v>
      </c>
      <c r="O11" s="140" t="s">
        <v>239</v>
      </c>
    </row>
    <row r="12" spans="2:15" ht="23.85" customHeight="1" x14ac:dyDescent="0.25">
      <c r="B12" s="141"/>
      <c r="C12" s="141"/>
      <c r="D12" s="141"/>
      <c r="E12" s="141"/>
      <c r="F12" s="141"/>
      <c r="G12" s="141"/>
      <c r="H12" s="141"/>
      <c r="I12" s="176"/>
      <c r="J12" s="141"/>
      <c r="K12" s="141"/>
      <c r="L12" s="176"/>
      <c r="M12" s="141"/>
      <c r="N12" s="141"/>
      <c r="O12" s="141"/>
    </row>
    <row r="13" spans="2:15"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95"/>
      <c r="G13" s="85"/>
      <c r="H13" s="86">
        <v>0</v>
      </c>
      <c r="I13" s="95"/>
      <c r="J13" s="84"/>
      <c r="K13" s="86">
        <v>0</v>
      </c>
      <c r="L13" s="87">
        <f>IF(O13="Error",0,ROUND(ROUND(H13,0)*(VLOOKUP(J13,TravelCosts,2,FALSE)),2))</f>
        <v>0</v>
      </c>
      <c r="M13" s="88">
        <f>IF(O13="Error",0,IF(AND(G13="Staff",K13&gt;0,K13&lt;15),(120*K13)*H13,IF(AND(G13="Staff",K13&gt;14,K13&lt;61),(1680+((K13-14)*70))*H13,IF(AND(G13="Staff",K13&gt;60,K13&lt;91),(4900+((K13-60)*50))*H13,IF(AND(G13="Student",K13&gt;0,K13&lt;15),(55*K13)*H13,IF(AND(G13="Student",K13&gt;14,K13&lt;91),(770+((K13-14)*40))*H13,0))))))</f>
        <v>0</v>
      </c>
      <c r="N13" s="89">
        <f t="shared" ref="N13" si="0">L13+M13</f>
        <v>0</v>
      </c>
      <c r="O13" s="79" t="str">
        <f>IF(OR(COUNTIF(WorkPackage,B13)=0,COUNTIF(PartnerN°,C13)=0,D13="",COUNTIF(CountryALL,E13)=0,F13="",COUNTIF(Category2,G13)=0,ISNUMBER(H13)=FALSE,I13="",COUNTIF(TravelBands,J13)=0,ISNUMBER(K13)=FALSE,OR(K13&lt;0,K13&gt;90),IF(ISNUMBER(H13)=TRUE,H13=INT(H13*1)/1=FALSE),IF(ISNUMBER(K13)=TRUE,K13=INT(K13*1)/1=FALSE)),"Error","")</f>
        <v>Error</v>
      </c>
    </row>
    <row r="14" spans="2:15"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95"/>
      <c r="G14" s="85"/>
      <c r="H14" s="86">
        <v>0</v>
      </c>
      <c r="I14" s="95"/>
      <c r="J14" s="84"/>
      <c r="K14" s="86">
        <v>0</v>
      </c>
      <c r="L14" s="87">
        <f>IF(O14="Error",0,ROUND(ROUND(H14,0)*(VLOOKUP(J14,TravelCosts,2,FALSE)),2))</f>
        <v>0</v>
      </c>
      <c r="M14" s="88">
        <f>IF(O14="Error",0,IF(AND(G14="Staff",K14&gt;0,K14&lt;15),(120*K14)*H14,IF(AND(G14="Staff",K14&gt;14,K14&lt;61),(1680+((K14-14)*70))*H14,IF(AND(G14="Staff",K14&gt;60,K14&lt;91),(4900+((K14-60)*50))*H14,IF(AND(G14="Student",K14&gt;0,K14&lt;15),(55*K14)*H14,IF(AND(G14="Student",K14&gt;14,K14&lt;91),(770+((K14-14)*40))*H14,0))))))</f>
        <v>0</v>
      </c>
      <c r="N14" s="89">
        <f t="shared" ref="N14" si="1">L14+M14</f>
        <v>0</v>
      </c>
      <c r="O14" s="79" t="str">
        <f>IF(OR(COUNTIF(WorkPackage,B14)=0,COUNTIF(PartnerN°,C14)=0,D14="",COUNTIF(CountryALL,E14)=0,F14="",COUNTIF(Category2,G14)=0,ISNUMBER(H14)=FALSE,I14="",COUNTIF(TravelBands,J14)=0,ISNUMBER(K14)=FALSE,OR(K14&lt;0,K14&gt;90),IF(ISNUMBER(H14)=TRUE,H14=INT(H14*1)/1=FALSE),IF(ISNUMBER(K14)=TRUE,K14=INT(K14*1)/1=FALSE)),"Error","")</f>
        <v>Error</v>
      </c>
    </row>
  </sheetData>
  <sheetProtection password="E359" sheet="1" objects="1" scenarios="1" selectLockedCells="1"/>
  <dataConsolidate/>
  <mergeCells count="27">
    <mergeCell ref="E8:E9"/>
    <mergeCell ref="E6:E7"/>
    <mergeCell ref="E4:E5"/>
    <mergeCell ref="B11:B12"/>
    <mergeCell ref="C11:C12"/>
    <mergeCell ref="B9:C9"/>
    <mergeCell ref="B8:C8"/>
    <mergeCell ref="B7:C7"/>
    <mergeCell ref="B6:C6"/>
    <mergeCell ref="B5:C5"/>
    <mergeCell ref="B4:C4"/>
    <mergeCell ref="O11:O12"/>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s>
  <conditionalFormatting sqref="O13:O14">
    <cfRule type="containsText" dxfId="39" priority="208" operator="containsText" text="Error">
      <formula>NOT(ISERROR(SEARCH("Error",O13)))</formula>
    </cfRule>
  </conditionalFormatting>
  <conditionalFormatting sqref="D13:E14">
    <cfRule type="containsBlanks" dxfId="38" priority="206">
      <formula>LEN(TRIM(D13))=0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2</xdr:col>
                    <xdr:colOff>552450</xdr:colOff>
                    <xdr:row>1</xdr:row>
                    <xdr:rowOff>85725</xdr:rowOff>
                  </from>
                  <to>
                    <xdr:col>3</xdr:col>
                    <xdr:colOff>1638300</xdr:colOff>
                    <xdr:row>1</xdr:row>
                    <xdr:rowOff>438150</xdr:rowOff>
                  </to>
                </anchor>
              </controlPr>
            </control>
          </mc:Choice>
        </mc:AlternateContent>
        <mc:AlternateContent xmlns:mc="http://schemas.openxmlformats.org/markup-compatibility/2006">
          <mc:Choice Requires="x14">
            <control shapeId="5153"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5154" r:id="rId6"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120.7109375" style="16" customWidth="1"/>
    <col min="7" max="8" width="20.7109375" style="16" customWidth="1"/>
    <col min="9" max="9" width="11.28515625" style="16" bestFit="1" customWidth="1"/>
    <col min="10" max="10" width="1.7109375" style="16" customWidth="1"/>
    <col min="11" max="16384" width="9.140625" style="16"/>
  </cols>
  <sheetData>
    <row r="1" spans="2:9" ht="8.1" customHeight="1" x14ac:dyDescent="0.25"/>
    <row r="2" spans="2:9" s="46" customFormat="1" ht="39.950000000000003" customHeight="1" x14ac:dyDescent="0.25">
      <c r="B2" s="165" t="s">
        <v>191</v>
      </c>
      <c r="C2" s="165"/>
      <c r="D2" s="165"/>
      <c r="E2" s="165"/>
      <c r="F2" s="165"/>
      <c r="G2" s="165"/>
      <c r="H2" s="165"/>
      <c r="I2" s="165"/>
    </row>
    <row r="3" spans="2:9" s="46" customFormat="1" ht="8.1" customHeight="1" x14ac:dyDescent="0.25">
      <c r="B3" s="81"/>
      <c r="F3" s="124"/>
      <c r="G3" s="124"/>
      <c r="H3" s="124"/>
      <c r="I3" s="67"/>
    </row>
    <row r="4" spans="2:9" s="46" customFormat="1" ht="9.9499999999999993" customHeight="1" x14ac:dyDescent="0.25">
      <c r="B4" s="195" t="s">
        <v>190</v>
      </c>
      <c r="C4" s="198">
        <f>SUM(H:H)</f>
        <v>0</v>
      </c>
      <c r="D4" s="199"/>
      <c r="F4" s="124"/>
      <c r="G4" s="124"/>
      <c r="H4" s="124"/>
      <c r="I4" s="67"/>
    </row>
    <row r="5" spans="2:9" s="46" customFormat="1" ht="9.9499999999999993" customHeight="1" x14ac:dyDescent="0.25">
      <c r="B5" s="196"/>
      <c r="C5" s="200"/>
      <c r="D5" s="201"/>
      <c r="F5" s="124"/>
      <c r="G5" s="124"/>
      <c r="H5" s="124"/>
      <c r="I5" s="67"/>
    </row>
    <row r="6" spans="2:9" s="46" customFormat="1" ht="9.9499999999999993" customHeight="1" x14ac:dyDescent="0.25">
      <c r="B6" s="196"/>
      <c r="C6" s="200"/>
      <c r="D6" s="201"/>
      <c r="F6" s="124"/>
      <c r="G6" s="124"/>
      <c r="H6" s="124"/>
      <c r="I6" s="67"/>
    </row>
    <row r="7" spans="2:9" s="46" customFormat="1" ht="9.9499999999999993" customHeight="1" x14ac:dyDescent="0.25">
      <c r="B7" s="196"/>
      <c r="C7" s="200"/>
      <c r="D7" s="201"/>
      <c r="F7" s="124"/>
      <c r="G7" s="124"/>
      <c r="H7" s="124"/>
      <c r="I7" s="67"/>
    </row>
    <row r="8" spans="2:9" s="46" customFormat="1" ht="9.9499999999999993" customHeight="1" x14ac:dyDescent="0.25">
      <c r="B8" s="196"/>
      <c r="C8" s="200"/>
      <c r="D8" s="201"/>
      <c r="F8" s="124"/>
      <c r="G8" s="124"/>
      <c r="H8" s="124"/>
      <c r="I8" s="67"/>
    </row>
    <row r="9" spans="2:9" s="46" customFormat="1" ht="9.9499999999999993" customHeight="1" x14ac:dyDescent="0.25">
      <c r="B9" s="197"/>
      <c r="C9" s="202"/>
      <c r="D9" s="203"/>
      <c r="F9" s="124"/>
      <c r="G9" s="124"/>
      <c r="H9" s="124"/>
      <c r="I9" s="67"/>
    </row>
    <row r="10" spans="2:9" s="46" customFormat="1" ht="8.1" customHeight="1" x14ac:dyDescent="0.25">
      <c r="B10" s="47"/>
      <c r="C10" s="48"/>
      <c r="D10" s="48"/>
      <c r="E10" s="48"/>
      <c r="F10" s="49"/>
      <c r="G10" s="49"/>
      <c r="H10" s="49"/>
      <c r="I10" s="71"/>
    </row>
    <row r="11" spans="2:9" s="125" customFormat="1" ht="42" customHeight="1" x14ac:dyDescent="0.25">
      <c r="B11" s="164" t="s">
        <v>168</v>
      </c>
      <c r="C11" s="164" t="s">
        <v>151</v>
      </c>
      <c r="D11" s="164" t="s">
        <v>237</v>
      </c>
      <c r="E11" s="194" t="s">
        <v>238</v>
      </c>
      <c r="F11" s="166" t="s">
        <v>136</v>
      </c>
      <c r="G11" s="140" t="s">
        <v>171</v>
      </c>
      <c r="H11" s="140" t="s">
        <v>170</v>
      </c>
      <c r="I11" s="140" t="s">
        <v>239</v>
      </c>
    </row>
    <row r="12" spans="2:9" ht="23.85" customHeight="1" x14ac:dyDescent="0.25">
      <c r="B12" s="141"/>
      <c r="C12" s="141"/>
      <c r="D12" s="141"/>
      <c r="E12" s="166"/>
      <c r="F12" s="141"/>
      <c r="G12" s="141"/>
      <c r="H12" s="141"/>
      <c r="I12" s="141"/>
    </row>
    <row r="13" spans="2:9"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44"/>
      <c r="G13" s="82">
        <v>0</v>
      </c>
      <c r="H13" s="83">
        <f>IF(I13="Error",0,ROUND(G13,2))</f>
        <v>0</v>
      </c>
      <c r="I13" s="79" t="str">
        <f>IF(OR(COUNTIF(WorkPackage,B13)=0,COUNTIF(PartnerN°,C13)=0,D13="",COUNTIF(CountryEligEquip,E13)=0,F13="",ISNUMBER(G13)=FALSE,IF(ISNUMBER(G13)=TRUE,G13=INT(G13*100)/100=FALSE)),"Error","")</f>
        <v>Error</v>
      </c>
    </row>
    <row r="14" spans="2:9"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44"/>
      <c r="G14" s="82">
        <v>0</v>
      </c>
      <c r="H14" s="83">
        <f>IF(I14="Error",0,ROUND(G14,2))</f>
        <v>0</v>
      </c>
      <c r="I14" s="79" t="str">
        <f>IF(OR(COUNTIF(WorkPackage,B14)=0,COUNTIF(PartnerN°,C14)=0,D14="",COUNTIF(CountryEligEquip,E14)=0,F14="",ISNUMBER(G14)=FALSE,IF(ISNUMBER(G14)=TRUE,G14=INT(G14*100)/100=FALSE)),"Error","")</f>
        <v>Error</v>
      </c>
    </row>
  </sheetData>
  <sheetProtection password="E359" sheet="1" objects="1" scenarios="1" selectLockedCells="1"/>
  <dataConsolidate/>
  <mergeCells count="11">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37" priority="292" operator="containsText" text="Error">
      <formula>NOT(ISERROR(SEARCH("Error",I13)))</formula>
    </cfRule>
  </conditionalFormatting>
  <conditionalFormatting sqref="D13:E14">
    <cfRule type="containsBlanks" dxfId="36" priority="287">
      <formula>LEN(TRIM(D13))=0</formula>
    </cfRule>
  </conditionalFormatting>
  <conditionalFormatting sqref="E13">
    <cfRule type="expression" dxfId="35" priority="209">
      <formula>COUNTIF(CountryEligEquip,E13)=0</formula>
    </cfRule>
  </conditionalFormatting>
  <conditionalFormatting sqref="E14">
    <cfRule type="expression" dxfId="34" priority="210">
      <formula>COUNTIF(CountryEligEquip,E14)=0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08"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8209"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120.7109375" style="16" customWidth="1"/>
    <col min="7" max="8" width="20.7109375" style="16" customWidth="1"/>
    <col min="9" max="9" width="11.28515625" style="16" bestFit="1" customWidth="1"/>
    <col min="10" max="10" width="1.7109375" style="16" customWidth="1"/>
    <col min="11" max="16384" width="9.140625" style="16"/>
  </cols>
  <sheetData>
    <row r="1" spans="2:9" ht="8.1" customHeight="1" x14ac:dyDescent="0.25"/>
    <row r="2" spans="2:9" s="46" customFormat="1" ht="39.950000000000003" customHeight="1" x14ac:dyDescent="0.25">
      <c r="B2" s="165" t="s">
        <v>192</v>
      </c>
      <c r="C2" s="165"/>
      <c r="D2" s="165"/>
      <c r="E2" s="165"/>
      <c r="F2" s="165"/>
      <c r="G2" s="165"/>
      <c r="H2" s="165"/>
      <c r="I2" s="165"/>
    </row>
    <row r="3" spans="2:9" s="46" customFormat="1" ht="8.1" customHeight="1" x14ac:dyDescent="0.25">
      <c r="B3" s="81"/>
      <c r="F3" s="124"/>
      <c r="G3" s="124"/>
      <c r="H3" s="124"/>
      <c r="I3" s="67"/>
    </row>
    <row r="4" spans="2:9" s="46" customFormat="1" ht="9.9499999999999993" customHeight="1" x14ac:dyDescent="0.25">
      <c r="B4" s="195" t="s">
        <v>190</v>
      </c>
      <c r="C4" s="198">
        <f>SUM(H:H)</f>
        <v>0</v>
      </c>
      <c r="D4" s="199"/>
      <c r="F4" s="124"/>
      <c r="G4" s="124"/>
      <c r="H4" s="124"/>
      <c r="I4" s="67"/>
    </row>
    <row r="5" spans="2:9" s="46" customFormat="1" ht="9.9499999999999993" customHeight="1" x14ac:dyDescent="0.25">
      <c r="B5" s="196"/>
      <c r="C5" s="200"/>
      <c r="D5" s="201"/>
      <c r="F5" s="124"/>
      <c r="G5" s="124"/>
      <c r="H5" s="124"/>
      <c r="I5" s="67"/>
    </row>
    <row r="6" spans="2:9" s="46" customFormat="1" ht="9.9499999999999993" customHeight="1" x14ac:dyDescent="0.25">
      <c r="B6" s="196"/>
      <c r="C6" s="200"/>
      <c r="D6" s="201"/>
      <c r="F6" s="124"/>
      <c r="G6" s="124"/>
      <c r="H6" s="124"/>
      <c r="I6" s="67"/>
    </row>
    <row r="7" spans="2:9" s="46" customFormat="1" ht="9.9499999999999993" customHeight="1" x14ac:dyDescent="0.25">
      <c r="B7" s="196"/>
      <c r="C7" s="200"/>
      <c r="D7" s="201"/>
      <c r="F7" s="124"/>
      <c r="G7" s="124"/>
      <c r="H7" s="124"/>
      <c r="I7" s="67"/>
    </row>
    <row r="8" spans="2:9" s="46" customFormat="1" ht="9.9499999999999993" customHeight="1" x14ac:dyDescent="0.25">
      <c r="B8" s="196"/>
      <c r="C8" s="200"/>
      <c r="D8" s="201"/>
      <c r="F8" s="124"/>
      <c r="G8" s="124"/>
      <c r="H8" s="124"/>
      <c r="I8" s="67"/>
    </row>
    <row r="9" spans="2:9" s="46" customFormat="1" ht="9.9499999999999993" customHeight="1" x14ac:dyDescent="0.25">
      <c r="B9" s="197"/>
      <c r="C9" s="202"/>
      <c r="D9" s="203"/>
      <c r="F9" s="124"/>
      <c r="G9" s="124"/>
      <c r="H9" s="124"/>
      <c r="I9" s="67"/>
    </row>
    <row r="10" spans="2:9" s="46" customFormat="1" ht="8.1" customHeight="1" x14ac:dyDescent="0.25">
      <c r="B10" s="47"/>
      <c r="C10" s="48"/>
      <c r="D10" s="48"/>
      <c r="E10" s="48"/>
      <c r="F10" s="49"/>
      <c r="G10" s="49"/>
      <c r="H10" s="49"/>
      <c r="I10" s="71"/>
    </row>
    <row r="11" spans="2:9" s="125" customFormat="1" ht="42" customHeight="1" x14ac:dyDescent="0.25">
      <c r="B11" s="164" t="s">
        <v>168</v>
      </c>
      <c r="C11" s="164" t="s">
        <v>151</v>
      </c>
      <c r="D11" s="164" t="s">
        <v>237</v>
      </c>
      <c r="E11" s="164" t="s">
        <v>238</v>
      </c>
      <c r="F11" s="166" t="s">
        <v>136</v>
      </c>
      <c r="G11" s="140" t="s">
        <v>171</v>
      </c>
      <c r="H11" s="140" t="s">
        <v>170</v>
      </c>
      <c r="I11" s="140" t="s">
        <v>239</v>
      </c>
    </row>
    <row r="12" spans="2:9" ht="23.85" customHeight="1" x14ac:dyDescent="0.25">
      <c r="B12" s="141"/>
      <c r="C12" s="141"/>
      <c r="D12" s="141"/>
      <c r="E12" s="141"/>
      <c r="F12" s="141"/>
      <c r="G12" s="141"/>
      <c r="H12" s="141"/>
      <c r="I12" s="141"/>
    </row>
    <row r="13" spans="2:9"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44"/>
      <c r="G13" s="82">
        <v>0</v>
      </c>
      <c r="H13" s="83">
        <f>IF(I13="Error",0,ROUND(G13,2))</f>
        <v>0</v>
      </c>
      <c r="I13" s="79" t="str">
        <f>IF(OR(COUNTIF(WorkPackage,B13)=0,COUNTIF(PartnerN°,C13)=0,D13="",COUNTIF(CountryALL,E13)=0,F13="",ISNUMBER(G13)=FALSE,IF(ISNUMBER(G13)=TRUE,G13=INT(G13*100)/100=FALSE)),"Error","")</f>
        <v>Error</v>
      </c>
    </row>
    <row r="14" spans="2:9"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44"/>
      <c r="G14" s="82">
        <v>0</v>
      </c>
      <c r="H14" s="83">
        <f>IF(I14="Error",0,ROUND(G14,2))</f>
        <v>0</v>
      </c>
      <c r="I14" s="79" t="str">
        <f>IF(OR(COUNTIF(WorkPackage,B14)=0,COUNTIF(PartnerN°,C14)=0,D14="",COUNTIF(CountryALL,E14)=0,F14="",ISNUMBER(G14)=FALSE,IF(ISNUMBER(G14)=TRUE,G14=INT(G14*100)/100=FALSE)),"Error","")</f>
        <v>Error</v>
      </c>
    </row>
  </sheetData>
  <sheetProtection password="E359" sheet="1" objects="1" scenarios="1" selectLockedCells="1"/>
  <dataConsolidate/>
  <mergeCells count="11">
    <mergeCell ref="I11:I12"/>
    <mergeCell ref="B2:I2"/>
    <mergeCell ref="H11:H12"/>
    <mergeCell ref="B4:B9"/>
    <mergeCell ref="C4:D9"/>
    <mergeCell ref="B11:B12"/>
    <mergeCell ref="C11:C12"/>
    <mergeCell ref="D11:D12"/>
    <mergeCell ref="E11:E12"/>
    <mergeCell ref="F11:F12"/>
    <mergeCell ref="G11:G12"/>
  </mergeCells>
  <conditionalFormatting sqref="I13:I14">
    <cfRule type="containsText" dxfId="33" priority="132" operator="containsText" text="Error">
      <formula>NOT(ISERROR(SEARCH("Error",I13)))</formula>
    </cfRule>
  </conditionalFormatting>
  <conditionalFormatting sqref="D13:E14">
    <cfRule type="containsBlanks" dxfId="32" priority="126">
      <formula>LEN(TRIM(D13))=0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31"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4832"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249977111117893"/>
    <pageSetUpPr fitToPage="1"/>
  </sheetPr>
  <dimension ref="B1:R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0.7109375" style="16" customWidth="1"/>
    <col min="7" max="7" width="14.28515625" style="16" bestFit="1" customWidth="1"/>
    <col min="8" max="8" width="50.7109375" style="16" customWidth="1"/>
    <col min="9" max="9" width="30.7109375" style="16" customWidth="1"/>
    <col min="10" max="10" width="24.7109375" style="16" bestFit="1" customWidth="1"/>
    <col min="11" max="11" width="14.7109375" style="16" customWidth="1"/>
    <col min="12" max="14" width="20.7109375" style="16" customWidth="1"/>
    <col min="15" max="15" width="11.7109375" style="16" bestFit="1" customWidth="1"/>
    <col min="16" max="18" width="1.7109375" style="90" hidden="1" customWidth="1"/>
    <col min="19" max="19" width="1.7109375" style="16" customWidth="1"/>
    <col min="20" max="16384" width="9.140625" style="16"/>
  </cols>
  <sheetData>
    <row r="1" spans="2:18" ht="8.1" customHeight="1" x14ac:dyDescent="0.25"/>
    <row r="2" spans="2:18" s="46" customFormat="1" ht="39.950000000000003" customHeight="1" x14ac:dyDescent="0.25">
      <c r="B2" s="165" t="s">
        <v>254</v>
      </c>
      <c r="C2" s="165"/>
      <c r="D2" s="165"/>
      <c r="E2" s="165"/>
      <c r="F2" s="165"/>
      <c r="G2" s="165"/>
      <c r="H2" s="165"/>
      <c r="I2" s="165"/>
      <c r="J2" s="165"/>
      <c r="K2" s="165"/>
      <c r="L2" s="165"/>
      <c r="M2" s="165"/>
      <c r="N2" s="165"/>
      <c r="O2" s="165"/>
      <c r="P2" s="91"/>
      <c r="Q2" s="91"/>
      <c r="R2" s="91"/>
    </row>
    <row r="3" spans="2:18" s="46" customFormat="1" ht="8.1" customHeight="1" x14ac:dyDescent="0.25">
      <c r="B3" s="81"/>
      <c r="C3" s="124"/>
      <c r="D3" s="124"/>
      <c r="E3" s="124"/>
      <c r="F3" s="124"/>
      <c r="G3" s="124"/>
      <c r="H3" s="124"/>
      <c r="I3" s="124"/>
      <c r="J3" s="124"/>
      <c r="K3" s="124"/>
      <c r="L3" s="124"/>
      <c r="M3" s="124"/>
      <c r="N3" s="124"/>
      <c r="O3" s="67"/>
      <c r="P3" s="91"/>
      <c r="Q3" s="91"/>
      <c r="R3" s="91"/>
    </row>
    <row r="4" spans="2:18" s="46" customFormat="1" ht="9.9499999999999993" customHeight="1" x14ac:dyDescent="0.25">
      <c r="B4" s="204" t="s">
        <v>160</v>
      </c>
      <c r="C4" s="205">
        <f>SUM(L:L)</f>
        <v>0</v>
      </c>
      <c r="D4" s="92"/>
      <c r="E4" s="124"/>
      <c r="F4" s="124"/>
      <c r="G4" s="124"/>
      <c r="H4" s="124"/>
      <c r="I4" s="124"/>
      <c r="J4" s="124"/>
      <c r="K4" s="124"/>
      <c r="L4" s="124"/>
      <c r="M4" s="124"/>
      <c r="N4" s="124"/>
      <c r="O4" s="67"/>
      <c r="P4" s="91"/>
      <c r="Q4" s="91"/>
      <c r="R4" s="91"/>
    </row>
    <row r="5" spans="2:18" s="46" customFormat="1" ht="9.9499999999999993" customHeight="1" x14ac:dyDescent="0.25">
      <c r="B5" s="204"/>
      <c r="C5" s="205"/>
      <c r="D5" s="92"/>
      <c r="E5" s="124"/>
      <c r="F5" s="124"/>
      <c r="G5" s="124"/>
      <c r="H5" s="124"/>
      <c r="I5" s="124"/>
      <c r="J5" s="124"/>
      <c r="K5" s="124"/>
      <c r="L5" s="124"/>
      <c r="M5" s="124"/>
      <c r="N5" s="124"/>
      <c r="O5" s="67"/>
      <c r="P5" s="91"/>
      <c r="Q5" s="91"/>
      <c r="R5" s="91"/>
    </row>
    <row r="6" spans="2:18" s="46" customFormat="1" ht="9.9499999999999993" customHeight="1" x14ac:dyDescent="0.25">
      <c r="B6" s="204" t="s">
        <v>193</v>
      </c>
      <c r="C6" s="205">
        <f>SUM(M:M)</f>
        <v>0</v>
      </c>
      <c r="D6" s="92"/>
      <c r="E6" s="124"/>
      <c r="F6" s="124"/>
      <c r="G6" s="124"/>
      <c r="H6" s="124"/>
      <c r="I6" s="124"/>
      <c r="J6" s="124"/>
      <c r="K6" s="124"/>
      <c r="L6" s="124"/>
      <c r="M6" s="124"/>
      <c r="N6" s="124"/>
      <c r="O6" s="67"/>
      <c r="P6" s="91"/>
      <c r="Q6" s="91"/>
      <c r="R6" s="91"/>
    </row>
    <row r="7" spans="2:18" s="46" customFormat="1" ht="9.9499999999999993" customHeight="1" x14ac:dyDescent="0.25">
      <c r="B7" s="204"/>
      <c r="C7" s="205"/>
      <c r="D7" s="92"/>
      <c r="E7" s="124"/>
      <c r="F7" s="124"/>
      <c r="G7" s="124"/>
      <c r="H7" s="124"/>
      <c r="I7" s="124"/>
      <c r="J7" s="124"/>
      <c r="K7" s="124"/>
      <c r="L7" s="124"/>
      <c r="M7" s="124"/>
      <c r="N7" s="124"/>
      <c r="O7" s="67"/>
      <c r="P7" s="91"/>
      <c r="Q7" s="91"/>
      <c r="R7" s="91"/>
    </row>
    <row r="8" spans="2:18" s="46" customFormat="1" ht="9.9499999999999993" customHeight="1" x14ac:dyDescent="0.25">
      <c r="B8" s="204" t="s">
        <v>190</v>
      </c>
      <c r="C8" s="205">
        <f>C4+C6</f>
        <v>0</v>
      </c>
      <c r="D8" s="92"/>
      <c r="E8" s="124"/>
      <c r="F8" s="124"/>
      <c r="G8" s="124"/>
      <c r="H8" s="124"/>
      <c r="I8" s="124"/>
      <c r="J8" s="124"/>
      <c r="K8" s="124"/>
      <c r="L8" s="124"/>
      <c r="M8" s="124"/>
      <c r="N8" s="124"/>
      <c r="O8" s="67"/>
      <c r="P8" s="91"/>
      <c r="Q8" s="91"/>
      <c r="R8" s="91"/>
    </row>
    <row r="9" spans="2:18" s="46" customFormat="1" ht="9.9499999999999993" customHeight="1" x14ac:dyDescent="0.25">
      <c r="B9" s="204"/>
      <c r="C9" s="205"/>
      <c r="D9" s="92"/>
      <c r="E9" s="124"/>
      <c r="F9" s="124"/>
      <c r="G9" s="124"/>
      <c r="H9" s="124"/>
      <c r="I9" s="124"/>
      <c r="J9" s="124"/>
      <c r="K9" s="124"/>
      <c r="L9" s="124"/>
      <c r="M9" s="124"/>
      <c r="N9" s="124"/>
      <c r="O9" s="67"/>
      <c r="P9" s="91"/>
      <c r="Q9" s="91"/>
      <c r="R9" s="91"/>
    </row>
    <row r="10" spans="2:18" s="46" customFormat="1" ht="8.1" customHeight="1" x14ac:dyDescent="0.25">
      <c r="B10" s="47"/>
      <c r="C10" s="49"/>
      <c r="D10" s="49"/>
      <c r="E10" s="49"/>
      <c r="F10" s="49"/>
      <c r="G10" s="49"/>
      <c r="H10" s="49"/>
      <c r="I10" s="49"/>
      <c r="J10" s="49"/>
      <c r="K10" s="49"/>
      <c r="L10" s="49"/>
      <c r="M10" s="49"/>
      <c r="N10" s="49"/>
      <c r="O10" s="71"/>
      <c r="P10" s="91"/>
      <c r="Q10" s="91"/>
      <c r="R10" s="91"/>
    </row>
    <row r="11" spans="2:18" s="125" customFormat="1" ht="42" customHeight="1" x14ac:dyDescent="0.25">
      <c r="B11" s="164" t="s">
        <v>151</v>
      </c>
      <c r="C11" s="164" t="s">
        <v>237</v>
      </c>
      <c r="D11" s="164" t="s">
        <v>238</v>
      </c>
      <c r="E11" s="166" t="s">
        <v>219</v>
      </c>
      <c r="F11" s="166" t="s">
        <v>244</v>
      </c>
      <c r="G11" s="164" t="s">
        <v>231</v>
      </c>
      <c r="H11" s="175" t="s">
        <v>232</v>
      </c>
      <c r="I11" s="175" t="s">
        <v>245</v>
      </c>
      <c r="J11" s="166" t="s">
        <v>230</v>
      </c>
      <c r="K11" s="164" t="s">
        <v>223</v>
      </c>
      <c r="L11" s="177" t="s">
        <v>177</v>
      </c>
      <c r="M11" s="164" t="s">
        <v>194</v>
      </c>
      <c r="N11" s="140" t="s">
        <v>169</v>
      </c>
      <c r="O11" s="140" t="s">
        <v>239</v>
      </c>
      <c r="P11" s="93"/>
      <c r="Q11" s="93"/>
      <c r="R11" s="93"/>
    </row>
    <row r="12" spans="2:18" ht="23.85" customHeight="1" x14ac:dyDescent="0.25">
      <c r="B12" s="141"/>
      <c r="C12" s="141"/>
      <c r="D12" s="141"/>
      <c r="E12" s="141"/>
      <c r="F12" s="141"/>
      <c r="G12" s="141"/>
      <c r="H12" s="176"/>
      <c r="I12" s="176"/>
      <c r="J12" s="141"/>
      <c r="K12" s="141"/>
      <c r="L12" s="176"/>
      <c r="M12" s="141"/>
      <c r="N12" s="141"/>
      <c r="O12" s="141"/>
    </row>
    <row r="13" spans="2:18" hidden="1" x14ac:dyDescent="0.25">
      <c r="B13" s="73"/>
      <c r="C13" s="137" t="str">
        <f>IFERROR(IF(VLOOKUP(B13,PartnerN°Ref,2,FALSE)=0,"",VLOOKUP(B13,PartnerN°Ref,2,FALSE)),"")</f>
        <v/>
      </c>
      <c r="D13" s="137" t="str">
        <f>IFERROR(IF(OR(VLOOKUP(B13,PartnerN°Ref,4,FALSE)="Country not found",VLOOKUP(B13,PartnerN°Ref,3,FALSE)=0),"",VLOOKUP(B13,PartnerN°Ref,3,FALSE)),"")</f>
        <v/>
      </c>
      <c r="E13" s="138" t="str">
        <f>IF(D13="","",CONCATENATE("Students from"," ",VLOOKUP(D13,CountryType,2,FALSE)))</f>
        <v/>
      </c>
      <c r="F13" s="95"/>
      <c r="G13" s="86">
        <v>0</v>
      </c>
      <c r="H13" s="139"/>
      <c r="I13" s="95"/>
      <c r="J13" s="84"/>
      <c r="K13" s="86"/>
      <c r="L13" s="87">
        <f>IF(O13="Error",0,ROUND(ROUND(G13,0)*(VLOOKUP(J13,TravelCosts,2,FALSE)),2))</f>
        <v>0</v>
      </c>
      <c r="M13" s="88">
        <f>IF(O13="Error",0,ROUND(ROUND(G13,0)*(ROUND(K13,0)*(INDEX(Rates,MATCH(H13,CountryALL,0),MATCH(E13,Category,0)))),2))</f>
        <v>0</v>
      </c>
      <c r="N13" s="89">
        <f t="shared" ref="N13" si="0">L13+M13</f>
        <v>0</v>
      </c>
      <c r="O13" s="79" t="str">
        <f>IF(OR(COUNTIF(PartnerN°,B13)=0,C13="",COUNTIF(SMSCountry,D13)=0,COUNTIF(Category,E13)=0,F13="",ISNUMBER(G13)=FALSE,COUNTIF(SMSCountry,H13)=0,I13="",COUNTIF(TravelBands,J13)=0,ISNUMBER(K13)=FALSE,COUNTIF(StudentSMSMonths,K13)=0,P13=1,Q13=1,R13=1,IF(ISNUMBER(G13)=TRUE,G13=INT(G13*1)/1=FALSE),IF(ISNUMBER(K13)=TRUE,K13=INT(K13*1)/1=FALSE)),"Error","")</f>
        <v>Error</v>
      </c>
      <c r="P13" s="90">
        <f>IF(AND(COUNTIF(EUCountry,D13)=1,COUNTIF(EUCountry,H13)=1),1,0)</f>
        <v>0</v>
      </c>
      <c r="Q13" s="90">
        <f>IF(AND(D13&lt;&gt;"",COUNTIF(SMSCountry,D13)=0),1,0)</f>
        <v>0</v>
      </c>
      <c r="R13" s="90">
        <f>IF(AND(H13&lt;&gt;"",COUNTIF(SMSCountry,H13)=0),1,0)</f>
        <v>0</v>
      </c>
    </row>
    <row r="14" spans="2:18" x14ac:dyDescent="0.25">
      <c r="B14" s="73"/>
      <c r="C14" s="137" t="str">
        <f>IFERROR(IF(VLOOKUP(B14,PartnerN°Ref,2,FALSE)=0,"",VLOOKUP(B14,PartnerN°Ref,2,FALSE)),"")</f>
        <v/>
      </c>
      <c r="D14" s="137" t="str">
        <f>IFERROR(IF(OR(VLOOKUP(B14,PartnerN°Ref,4,FALSE)="Country not found",VLOOKUP(B14,PartnerN°Ref,3,FALSE)=0),"",VLOOKUP(B14,PartnerN°Ref,3,FALSE)),"")</f>
        <v/>
      </c>
      <c r="E14" s="138" t="str">
        <f>IF(D14="","",CONCATENATE("Students from"," ",VLOOKUP(D14,CountryType,2,FALSE)))</f>
        <v/>
      </c>
      <c r="F14" s="95"/>
      <c r="G14" s="86">
        <v>0</v>
      </c>
      <c r="H14" s="139"/>
      <c r="I14" s="95"/>
      <c r="J14" s="84"/>
      <c r="K14" s="86"/>
      <c r="L14" s="87">
        <f>IF(O14="Error",0,ROUND(ROUND(G14,0)*(VLOOKUP(J14,TravelCosts,2,FALSE)),2))</f>
        <v>0</v>
      </c>
      <c r="M14" s="88">
        <f>IF(O14="Error",0,ROUND(ROUND(G14,0)*(ROUND(K14,0)*(INDEX(Rates,MATCH(H14,CountryALL,0),MATCH(E14,Category,0)))),2))</f>
        <v>0</v>
      </c>
      <c r="N14" s="89">
        <f t="shared" ref="N14" si="1">L14+M14</f>
        <v>0</v>
      </c>
      <c r="O14" s="79" t="str">
        <f>IF(OR(COUNTIF(PartnerN°,B14)=0,C14="",COUNTIF(SMSCountry,D14)=0,COUNTIF(Category,E14)=0,F14="",ISNUMBER(G14)=FALSE,COUNTIF(SMSCountry,H14)=0,I14="",COUNTIF(TravelBands,J14)=0,ISNUMBER(K14)=FALSE,COUNTIF(StudentSMSMonths,K14)=0,P14=1,Q14=1,R14=1,IF(ISNUMBER(G14)=TRUE,G14=INT(G14*1)/1=FALSE),IF(ISNUMBER(K14)=TRUE,K14=INT(K14*1)/1=FALSE)),"Error","")</f>
        <v>Error</v>
      </c>
      <c r="P14" s="90">
        <f>IF(AND(COUNTIF(EUCountry,D14)=1,COUNTIF(EUCountry,H14)=1),1,0)</f>
        <v>0</v>
      </c>
      <c r="Q14" s="90">
        <f>IF(AND(D14&lt;&gt;"",COUNTIF(SMSCountry,D14)=0),1,0)</f>
        <v>0</v>
      </c>
      <c r="R14" s="90">
        <f>IF(AND(H14&lt;&gt;"",COUNTIF(SMSCountry,H14)=0),1,0)</f>
        <v>0</v>
      </c>
    </row>
  </sheetData>
  <sheetProtection password="E359" sheet="1" objects="1" scenarios="1" selectLockedCells="1"/>
  <dataConsolidate/>
  <mergeCells count="21">
    <mergeCell ref="O11:O12"/>
    <mergeCell ref="B2:O2"/>
    <mergeCell ref="K11:K12"/>
    <mergeCell ref="L11:L12"/>
    <mergeCell ref="M11:M12"/>
    <mergeCell ref="N11:N12"/>
    <mergeCell ref="I11:I12"/>
    <mergeCell ref="J11:J12"/>
    <mergeCell ref="B4:B5"/>
    <mergeCell ref="C4:C5"/>
    <mergeCell ref="B6:B7"/>
    <mergeCell ref="C6:C7"/>
    <mergeCell ref="B8:B9"/>
    <mergeCell ref="C8:C9"/>
    <mergeCell ref="F11:F12"/>
    <mergeCell ref="H11:H12"/>
    <mergeCell ref="B11:B12"/>
    <mergeCell ref="C11:C12"/>
    <mergeCell ref="D11:D12"/>
    <mergeCell ref="E11:E12"/>
    <mergeCell ref="G11:G12"/>
  </mergeCells>
  <conditionalFormatting sqref="O13:O14">
    <cfRule type="containsText" dxfId="31" priority="227" operator="containsText" text="Error">
      <formula>NOT(ISERROR(SEARCH("Error",O13)))</formula>
    </cfRule>
  </conditionalFormatting>
  <conditionalFormatting sqref="C13:E14">
    <cfRule type="containsBlanks" dxfId="30" priority="121">
      <formula>LEN(TRIM(C13))=0</formula>
    </cfRule>
  </conditionalFormatting>
  <conditionalFormatting sqref="D11:D12">
    <cfRule type="expression" dxfId="29" priority="122">
      <formula>OR(COUNTIF($P:$P,1),COUNTIF($Q:$Q,1))</formula>
    </cfRule>
  </conditionalFormatting>
  <conditionalFormatting sqref="D13">
    <cfRule type="expression" dxfId="28" priority="123">
      <formula>OR(COUNTIF(P13,1),COUNTIF(Q13,1))</formula>
    </cfRule>
  </conditionalFormatting>
  <conditionalFormatting sqref="D14">
    <cfRule type="expression" dxfId="27" priority="218">
      <formula>OR(COUNTIF(P14,1),COUNTIF(Q14,1))</formula>
    </cfRule>
  </conditionalFormatting>
  <conditionalFormatting sqref="H11:H12">
    <cfRule type="expression" dxfId="26" priority="220">
      <formula>OR(COUNTIF($P:$P,1),COUNTIF($R:$R,1))</formula>
    </cfRule>
  </conditionalFormatting>
  <dataValidations count="9">
    <dataValidation allowBlank="1" showInputMessage="1" errorTitle="Warning: Max Ceilings exceeded" error="Please be aware that this exceed the &quot;Ceilings&quot; for the maximum amounts for staff cost by country" sqref="L13:L14"/>
    <dataValidation type="whole" allowBlank="1" showInputMessage="1" showErrorMessage="1" error="Format error (whole number only)" prompt="Please encode number (whole number only)" sqref="G13:G14">
      <formula1>0</formula1>
      <formula2>50000</formula2>
    </dataValidation>
    <dataValidation allowBlank="1" showInputMessage="1" showErrorMessage="1" error="Please encode City of Departure" prompt="Please encode City of Departure" sqref="F13:F14"/>
    <dataValidation allowBlank="1" showInputMessage="1" showErrorMessage="1" error="Please encode City of Destination" prompt="Please encode City of Destination" sqref="I13:I14"/>
    <dataValidation allowBlank="1" sqref="E13:E14"/>
    <dataValidation type="list" allowBlank="1" showInputMessage="1" showErrorMessage="1" error="Click arrow to select Receiving Country" prompt="Click arrow to select Receiving Country" sqref="H13:H14">
      <formula1>SMSCountry</formula1>
    </dataValidation>
    <dataValidation type="list" allowBlank="1" showInputMessage="1" showErrorMessage="1" error="Click arrow to select Partner N°" prompt="Click arrow to select Partner N°" sqref="B13:B14">
      <formula1>PartnerN°</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Please click to select Number of Months - Min 2 months / Max 12 months" prompt="Please click to select Number of Months - Min 2 months / Max 12 months" sqref="K13:K14">
      <formula1>StudentSMSMonths</formula1>
    </dataValidation>
  </dataValidations>
  <printOptions horizontalCentered="1"/>
  <pageMargins left="0.23622047244094491" right="0.23622047244094491" top="0.39370078740157483" bottom="0.94488188976377963" header="0.31496062992125984" footer="0.31496062992125984"/>
  <pageSetup paperSize="9" scale="35"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72" r:id="rId4" name="Button 3">
              <controlPr defaultSize="0" print="0" autoFill="0" autoPict="0" macro="[0]!Button3_Click">
                <anchor moveWithCells="1" sizeWithCells="1">
                  <from>
                    <xdr:col>2</xdr:col>
                    <xdr:colOff>1485900</xdr:colOff>
                    <xdr:row>1</xdr:row>
                    <xdr:rowOff>85725</xdr:rowOff>
                  </from>
                  <to>
                    <xdr:col>2</xdr:col>
                    <xdr:colOff>3286125</xdr:colOff>
                    <xdr:row>1</xdr:row>
                    <xdr:rowOff>438150</xdr:rowOff>
                  </to>
                </anchor>
              </controlPr>
            </control>
          </mc:Choice>
        </mc:AlternateContent>
        <mc:AlternateContent xmlns:mc="http://schemas.openxmlformats.org/markup-compatibility/2006">
          <mc:Choice Requires="x14">
            <control shapeId="23573"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23574" r:id="rId6"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tint="-0.249977111117893"/>
    <pageSetUpPr fitToPage="1"/>
  </sheetPr>
  <dimension ref="B1:R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0.7109375" style="16" customWidth="1"/>
    <col min="7" max="7" width="14.28515625" style="16" bestFit="1" customWidth="1"/>
    <col min="8" max="8" width="50.7109375" style="16" customWidth="1"/>
    <col min="9" max="9" width="30.7109375" style="16" customWidth="1"/>
    <col min="10" max="10" width="24.7109375" style="16" customWidth="1"/>
    <col min="11" max="11" width="14.7109375" style="16" customWidth="1"/>
    <col min="12" max="14" width="20.7109375" style="16" customWidth="1"/>
    <col min="15" max="15" width="11.7109375" style="16" customWidth="1"/>
    <col min="16" max="18" width="1.7109375" style="90" hidden="1" customWidth="1"/>
    <col min="19" max="19" width="1.7109375" style="16" customWidth="1"/>
    <col min="20" max="16384" width="9.140625" style="16"/>
  </cols>
  <sheetData>
    <row r="1" spans="2:18" ht="8.1" customHeight="1" x14ac:dyDescent="0.25"/>
    <row r="2" spans="2:18" s="46" customFormat="1" ht="39.950000000000003" customHeight="1" x14ac:dyDescent="0.25">
      <c r="B2" s="165" t="s">
        <v>255</v>
      </c>
      <c r="C2" s="165"/>
      <c r="D2" s="165"/>
      <c r="E2" s="165"/>
      <c r="F2" s="165"/>
      <c r="G2" s="165"/>
      <c r="H2" s="165"/>
      <c r="I2" s="165"/>
      <c r="J2" s="165"/>
      <c r="K2" s="165"/>
      <c r="L2" s="165"/>
      <c r="M2" s="165"/>
      <c r="N2" s="165"/>
      <c r="O2" s="165"/>
      <c r="P2" s="91"/>
      <c r="Q2" s="91"/>
      <c r="R2" s="91"/>
    </row>
    <row r="3" spans="2:18" s="46" customFormat="1" ht="8.1" customHeight="1" x14ac:dyDescent="0.25">
      <c r="B3" s="81"/>
      <c r="C3" s="119"/>
      <c r="D3" s="119"/>
      <c r="E3" s="119"/>
      <c r="F3" s="119"/>
      <c r="G3" s="119"/>
      <c r="H3" s="119"/>
      <c r="I3" s="119"/>
      <c r="J3" s="119"/>
      <c r="K3" s="119"/>
      <c r="L3" s="119"/>
      <c r="M3" s="119"/>
      <c r="N3" s="119"/>
      <c r="O3" s="67"/>
      <c r="P3" s="91"/>
      <c r="Q3" s="91"/>
      <c r="R3" s="91"/>
    </row>
    <row r="4" spans="2:18" s="46" customFormat="1" ht="9.9499999999999993" customHeight="1" x14ac:dyDescent="0.25">
      <c r="B4" s="204" t="s">
        <v>160</v>
      </c>
      <c r="C4" s="205">
        <f>SUM(L:L)</f>
        <v>0</v>
      </c>
      <c r="D4" s="92"/>
      <c r="E4" s="119"/>
      <c r="F4" s="119"/>
      <c r="G4" s="119"/>
      <c r="H4" s="119"/>
      <c r="I4" s="119"/>
      <c r="J4" s="119"/>
      <c r="K4" s="119"/>
      <c r="L4" s="119"/>
      <c r="M4" s="119"/>
      <c r="N4" s="119"/>
      <c r="O4" s="67"/>
      <c r="P4" s="91"/>
      <c r="Q4" s="91"/>
      <c r="R4" s="91"/>
    </row>
    <row r="5" spans="2:18" s="46" customFormat="1" ht="9.9499999999999993" customHeight="1" x14ac:dyDescent="0.25">
      <c r="B5" s="204"/>
      <c r="C5" s="205"/>
      <c r="D5" s="92"/>
      <c r="E5" s="119"/>
      <c r="F5" s="119"/>
      <c r="G5" s="119"/>
      <c r="H5" s="119"/>
      <c r="I5" s="119"/>
      <c r="J5" s="119"/>
      <c r="K5" s="119"/>
      <c r="L5" s="119"/>
      <c r="M5" s="119"/>
      <c r="N5" s="119"/>
      <c r="O5" s="67"/>
      <c r="P5" s="91"/>
      <c r="Q5" s="91"/>
      <c r="R5" s="91"/>
    </row>
    <row r="6" spans="2:18" s="46" customFormat="1" ht="9.9499999999999993" customHeight="1" x14ac:dyDescent="0.25">
      <c r="B6" s="204" t="s">
        <v>193</v>
      </c>
      <c r="C6" s="205">
        <f>SUM(M:M)</f>
        <v>0</v>
      </c>
      <c r="D6" s="92"/>
      <c r="E6" s="119"/>
      <c r="F6" s="119"/>
      <c r="G6" s="119"/>
      <c r="H6" s="119"/>
      <c r="I6" s="119"/>
      <c r="J6" s="119"/>
      <c r="K6" s="119"/>
      <c r="L6" s="119"/>
      <c r="M6" s="119"/>
      <c r="N6" s="119"/>
      <c r="O6" s="67"/>
      <c r="P6" s="91"/>
      <c r="Q6" s="91"/>
      <c r="R6" s="91"/>
    </row>
    <row r="7" spans="2:18" s="46" customFormat="1" ht="9.9499999999999993" customHeight="1" x14ac:dyDescent="0.25">
      <c r="B7" s="204"/>
      <c r="C7" s="205"/>
      <c r="D7" s="92"/>
      <c r="E7" s="119"/>
      <c r="F7" s="119"/>
      <c r="G7" s="119"/>
      <c r="H7" s="119"/>
      <c r="I7" s="119"/>
      <c r="J7" s="119"/>
      <c r="K7" s="119"/>
      <c r="L7" s="119"/>
      <c r="M7" s="119"/>
      <c r="N7" s="119"/>
      <c r="O7" s="67"/>
      <c r="P7" s="91"/>
      <c r="Q7" s="91"/>
      <c r="R7" s="91"/>
    </row>
    <row r="8" spans="2:18" s="46" customFormat="1" ht="9.9499999999999993" customHeight="1" x14ac:dyDescent="0.25">
      <c r="B8" s="204" t="s">
        <v>190</v>
      </c>
      <c r="C8" s="205">
        <f>C4+C6</f>
        <v>0</v>
      </c>
      <c r="D8" s="92"/>
      <c r="E8" s="119"/>
      <c r="F8" s="119"/>
      <c r="G8" s="119"/>
      <c r="H8" s="119"/>
      <c r="I8" s="119"/>
      <c r="J8" s="119"/>
      <c r="K8" s="119"/>
      <c r="L8" s="119"/>
      <c r="M8" s="119"/>
      <c r="N8" s="119"/>
      <c r="O8" s="67"/>
      <c r="P8" s="91"/>
      <c r="Q8" s="91"/>
      <c r="R8" s="91"/>
    </row>
    <row r="9" spans="2:18" s="46" customFormat="1" ht="9.9499999999999993" customHeight="1" x14ac:dyDescent="0.25">
      <c r="B9" s="204"/>
      <c r="C9" s="205"/>
      <c r="D9" s="92"/>
      <c r="E9" s="119"/>
      <c r="F9" s="119"/>
      <c r="G9" s="119"/>
      <c r="H9" s="119"/>
      <c r="I9" s="119"/>
      <c r="J9" s="119"/>
      <c r="K9" s="119"/>
      <c r="L9" s="119"/>
      <c r="M9" s="119"/>
      <c r="N9" s="119"/>
      <c r="O9" s="67"/>
      <c r="P9" s="91"/>
      <c r="Q9" s="91"/>
      <c r="R9" s="91"/>
    </row>
    <row r="10" spans="2:18" s="46" customFormat="1" ht="8.1" customHeight="1" x14ac:dyDescent="0.25">
      <c r="B10" s="47"/>
      <c r="C10" s="49"/>
      <c r="D10" s="49"/>
      <c r="E10" s="49"/>
      <c r="F10" s="49"/>
      <c r="G10" s="49"/>
      <c r="H10" s="49"/>
      <c r="I10" s="49"/>
      <c r="J10" s="49"/>
      <c r="K10" s="49"/>
      <c r="L10" s="49"/>
      <c r="M10" s="49"/>
      <c r="N10" s="49"/>
      <c r="O10" s="71"/>
      <c r="P10" s="91"/>
      <c r="Q10" s="91"/>
      <c r="R10" s="91"/>
    </row>
    <row r="11" spans="2:18" s="117" customFormat="1" ht="42" customHeight="1" x14ac:dyDescent="0.25">
      <c r="B11" s="164" t="s">
        <v>151</v>
      </c>
      <c r="C11" s="164" t="s">
        <v>237</v>
      </c>
      <c r="D11" s="164" t="s">
        <v>238</v>
      </c>
      <c r="E11" s="166" t="s">
        <v>219</v>
      </c>
      <c r="F11" s="166" t="s">
        <v>244</v>
      </c>
      <c r="G11" s="164" t="s">
        <v>231</v>
      </c>
      <c r="H11" s="175" t="s">
        <v>232</v>
      </c>
      <c r="I11" s="175" t="s">
        <v>245</v>
      </c>
      <c r="J11" s="166" t="s">
        <v>230</v>
      </c>
      <c r="K11" s="164" t="s">
        <v>227</v>
      </c>
      <c r="L11" s="177" t="s">
        <v>177</v>
      </c>
      <c r="M11" s="140" t="s">
        <v>194</v>
      </c>
      <c r="N11" s="140" t="s">
        <v>169</v>
      </c>
      <c r="O11" s="140" t="s">
        <v>239</v>
      </c>
      <c r="P11" s="93"/>
      <c r="Q11" s="93"/>
      <c r="R11" s="93"/>
    </row>
    <row r="12" spans="2:18" ht="23.85" customHeight="1" x14ac:dyDescent="0.25">
      <c r="B12" s="141"/>
      <c r="C12" s="141"/>
      <c r="D12" s="141"/>
      <c r="E12" s="141"/>
      <c r="F12" s="141"/>
      <c r="G12" s="141"/>
      <c r="H12" s="176"/>
      <c r="I12" s="176"/>
      <c r="J12" s="141"/>
      <c r="K12" s="141"/>
      <c r="L12" s="176"/>
      <c r="M12" s="141"/>
      <c r="N12" s="141"/>
      <c r="O12" s="141"/>
    </row>
    <row r="13" spans="2:18" hidden="1" x14ac:dyDescent="0.25">
      <c r="B13" s="73"/>
      <c r="C13" s="137" t="str">
        <f>IFERROR(IF(VLOOKUP(B13,PartnerN°Ref,2,FALSE)=0,"",VLOOKUP(B13,PartnerN°Ref,2,FALSE)),"")</f>
        <v/>
      </c>
      <c r="D13" s="137" t="str">
        <f>IFERROR(IF(OR(VLOOKUP(B13,PartnerN°Ref,4,FALSE)="Country not found",VLOOKUP(B13,PartnerN°Ref,3,FALSE)=0),"",VLOOKUP(B13,PartnerN°Ref,3,FALSE)),"")</f>
        <v/>
      </c>
      <c r="E13" s="138" t="str">
        <f>IF(D13="","",CONCATENATE("Staff from"," ",VLOOKUP(D13,CountryType,2,FALSE)))</f>
        <v/>
      </c>
      <c r="F13" s="95"/>
      <c r="G13" s="86">
        <v>0</v>
      </c>
      <c r="H13" s="139"/>
      <c r="I13" s="95"/>
      <c r="J13" s="84"/>
      <c r="K13" s="86"/>
      <c r="L13" s="87">
        <f>IF(O13="Error",0,ROUND(ROUND(G13,0)*(VLOOKUP(J13,TravelCosts,2,FALSE)),2))</f>
        <v>0</v>
      </c>
      <c r="M13" s="88">
        <f>IF(O13="Error",0,ROUND(IF(AND(ROUND(K13,0)&gt;0,ROUND(K13,0)&lt;=14),ROUND(G13,0)*(ROUND(K13,0)*(INDEX(Rates,MATCH(H13,CountryALL,0),MATCH(E13,Category,0)))),IF(AND(ROUND(K13,0)&gt;14,ROUND(K13,0)&lt;=60),ROUND(G13,0)*((14*(INDEX(Rates,MATCH(H13,CountryALL,0),MATCH(E13,Category,0)))))+ROUND(G13,0)*(((ROUND(K13,0)-14)*(0.7*INDEX(Rates,MATCH(H13,CountryALL,0),MATCH(E13,Category,0))))),IF(ROUND(K13,0)&gt;60,0))),2))</f>
        <v>0</v>
      </c>
      <c r="N13" s="89">
        <f t="shared" ref="N13:N14" si="0">L13+M13</f>
        <v>0</v>
      </c>
      <c r="O13" s="79" t="str">
        <f>IF(OR(COUNTIF(PartnerN°,B13)=0,C13="",COUNTIF(SMSCountry,D13)=0,COUNTIF(Category,E13)=0,F13="",ISNUMBER(G13)=FALSE,COUNTIF(SMSCountry,H13)=0,I13="",COUNTIF(TravelBands,J13)=0,ISNUMBER(K13)=FALSE,COUNTIF(StaffSMSDays,K13)=0,P13=1,Q13=1,R13=1,IF(ISNUMBER(G13)=TRUE,G13=INT(G13*1)/1=FALSE),IF(ISNUMBER(K13)=TRUE,K13=INT(K13*1)/1=FALSE)),"Error","")</f>
        <v>Error</v>
      </c>
      <c r="P13" s="90">
        <f>IF(AND(COUNTIF(EUCountry,D13)=1,COUNTIF(EUCountry,H13)=1),1,0)</f>
        <v>0</v>
      </c>
      <c r="Q13" s="90">
        <f>IF(AND(D13&lt;&gt;"",COUNTIF(SMSCountry,D13)=0),1,0)</f>
        <v>0</v>
      </c>
      <c r="R13" s="90">
        <f>IF(AND(H13&lt;&gt;"",COUNTIF(SMSCountry,H13)=0),1,0)</f>
        <v>0</v>
      </c>
    </row>
    <row r="14" spans="2:18" x14ac:dyDescent="0.25">
      <c r="B14" s="73"/>
      <c r="C14" s="137" t="str">
        <f>IFERROR(IF(VLOOKUP(B14,PartnerN°Ref,2,FALSE)=0,"",VLOOKUP(B14,PartnerN°Ref,2,FALSE)),"")</f>
        <v/>
      </c>
      <c r="D14" s="137" t="str">
        <f>IFERROR(IF(OR(VLOOKUP(B14,PartnerN°Ref,4,FALSE)="Country not found",VLOOKUP(B14,PartnerN°Ref,3,FALSE)=0),"",VLOOKUP(B14,PartnerN°Ref,3,FALSE)),"")</f>
        <v/>
      </c>
      <c r="E14" s="138" t="str">
        <f>IF(D14="","",CONCATENATE("Staff from"," ",VLOOKUP(D14,CountryType,2,FALSE)))</f>
        <v/>
      </c>
      <c r="F14" s="95"/>
      <c r="G14" s="86">
        <v>0</v>
      </c>
      <c r="H14" s="139"/>
      <c r="I14" s="95"/>
      <c r="J14" s="84"/>
      <c r="K14" s="86"/>
      <c r="L14" s="87">
        <f>IF(O14="Error",0,ROUND(ROUND(G14,0)*(VLOOKUP(J14,TravelCosts,2,FALSE)),2))</f>
        <v>0</v>
      </c>
      <c r="M14" s="88">
        <f>IF(O14="Error",0,ROUND(IF(AND(ROUND(K14,0)&gt;0,ROUND(K14,0)&lt;=14),ROUND(G14,0)*(ROUND(K14,0)*(INDEX(Rates,MATCH(H14,CountryALL,0),MATCH(E14,Category,0)))),IF(AND(ROUND(K14,0)&gt;14,ROUND(K14,0)&lt;=60),ROUND(G14,0)*((14*(INDEX(Rates,MATCH(H14,CountryALL,0),MATCH(E14,Category,0)))))+ROUND(G14,0)*(((ROUND(K14,0)-14)*(0.7*INDEX(Rates,MATCH(H14,CountryALL,0),MATCH(E14,Category,0))))),IF(ROUND(K14,0)&gt;60,0))),2))</f>
        <v>0</v>
      </c>
      <c r="N14" s="89">
        <f t="shared" si="0"/>
        <v>0</v>
      </c>
      <c r="O14" s="79" t="str">
        <f>IF(OR(COUNTIF(PartnerN°,B14)=0,C14="",COUNTIF(SMSCountry,D14)=0,COUNTIF(Category,E14)=0,F14="",ISNUMBER(G14)=FALSE,COUNTIF(SMSCountry,H14)=0,I14="",COUNTIF(TravelBands,J14)=0,ISNUMBER(K14)=FALSE,COUNTIF(StaffSMSDays,K14)=0,P14=1,Q14=1,R14=1,IF(ISNUMBER(G14)=TRUE,G14=INT(G14*1)/1=FALSE),IF(ISNUMBER(K14)=TRUE,K14=INT(K14*1)/1=FALSE)),"Error","")</f>
        <v>Error</v>
      </c>
      <c r="P14" s="90">
        <f>IF(AND(COUNTIF(EUCountry,D14)=1,COUNTIF(EUCountry,H14)=1),1,0)</f>
        <v>0</v>
      </c>
      <c r="Q14" s="90">
        <f>IF(AND(D14&lt;&gt;"",COUNTIF(SMSCountry,D14)=0),1,0)</f>
        <v>0</v>
      </c>
      <c r="R14" s="90">
        <f>IF(AND(H14&lt;&gt;"",COUNTIF(SMSCountry,H14)=0),1,0)</f>
        <v>0</v>
      </c>
    </row>
  </sheetData>
  <sheetProtection password="E359" sheet="1" objects="1" scenarios="1" selectLockedCells="1"/>
  <dataConsolidate/>
  <mergeCells count="21">
    <mergeCell ref="O11:O12"/>
    <mergeCell ref="B2:O2"/>
    <mergeCell ref="E11:E12"/>
    <mergeCell ref="F11:F12"/>
    <mergeCell ref="N11:N12"/>
    <mergeCell ref="H11:H12"/>
    <mergeCell ref="I11:I12"/>
    <mergeCell ref="J11:J12"/>
    <mergeCell ref="K11:K12"/>
    <mergeCell ref="L11:L12"/>
    <mergeCell ref="M11:M12"/>
    <mergeCell ref="G11:G12"/>
    <mergeCell ref="B8:B9"/>
    <mergeCell ref="C8:C9"/>
    <mergeCell ref="B11:B12"/>
    <mergeCell ref="C11:C12"/>
    <mergeCell ref="D11:D12"/>
    <mergeCell ref="B4:B5"/>
    <mergeCell ref="C4:C5"/>
    <mergeCell ref="B6:B7"/>
    <mergeCell ref="C6:C7"/>
  </mergeCells>
  <conditionalFormatting sqref="O13:O14">
    <cfRule type="containsText" dxfId="25" priority="162" operator="containsText" text="Error">
      <formula>NOT(ISERROR(SEARCH("Error",O13)))</formula>
    </cfRule>
  </conditionalFormatting>
  <conditionalFormatting sqref="C13:E14">
    <cfRule type="containsBlanks" dxfId="24" priority="55">
      <formula>LEN(TRIM(C13))=0</formula>
    </cfRule>
  </conditionalFormatting>
  <conditionalFormatting sqref="H11:H12">
    <cfRule type="expression" dxfId="23" priority="155">
      <formula>OR(COUNTIF($P:$P,1),COUNTIF($R:$R,1))</formula>
    </cfRule>
  </conditionalFormatting>
  <conditionalFormatting sqref="D13">
    <cfRule type="expression" dxfId="22" priority="57">
      <formula>OR(COUNTIF(P13,1),COUNTIF(Q13,1))</formula>
    </cfRule>
  </conditionalFormatting>
  <conditionalFormatting sqref="D14">
    <cfRule type="expression" dxfId="21" priority="58">
      <formula>OR(COUNTIF(P14,1),COUNTIF(Q14,1))</formula>
    </cfRule>
  </conditionalFormatting>
  <conditionalFormatting sqref="D11:D12">
    <cfRule type="expression" dxfId="20" priority="56">
      <formula>OR(COUNTIF($P:$P,1),COUNTIF($Q:$Q,1))</formula>
    </cfRule>
  </conditionalFormatting>
  <dataValidations count="8">
    <dataValidation type="list" allowBlank="1" showInputMessage="1" showErrorMessage="1" error="Click arrow to select Receiving Country" prompt="Click arrow to select Receiving Country" sqref="H13:H14">
      <formula1>SMSCountry</formula1>
    </dataValidation>
    <dataValidation allowBlank="1" showInputMessage="1" showErrorMessage="1" error="Please encode City of Destination" prompt="Please encode City of Destination" sqref="I13:I14"/>
    <dataValidation allowBlank="1" showInputMessage="1" showErrorMessage="1" error="Please encode City of Departure" prompt="Please encode City of Departure" sqref="F13:F14"/>
    <dataValidation type="whole" allowBlank="1" showInputMessage="1" showErrorMessage="1" error="Format error (wole number only)" prompt="Please encode number (whole number only)" sqref="G13:G14">
      <formula1>0</formula1>
      <formula2>50000</formula2>
    </dataValidation>
    <dataValidation allowBlank="1" showInputMessage="1" errorTitle="Warning: Max Ceilings exceeded" error="Please be aware that this exceed the &quot;Ceilings&quot; for the maximum amounts for staff cost by country" sqref="L13:L14"/>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B13:B14">
      <formula1>PartnerN°</formula1>
    </dataValidation>
    <dataValidation type="list" allowBlank="1" showInputMessage="1" showErrorMessage="1" error="Please click to select  Number of days - Min 5 days / Max 60 days" prompt="Please click to select  Number of days - Min 5 days / Max 60 days" sqref="K13:K14">
      <formula1>StaffSMSDays</formula1>
    </dataValidation>
  </dataValidations>
  <printOptions horizontalCentered="1"/>
  <pageMargins left="0.23622047244094491" right="0.23622047244094491" top="0.39370078740157483" bottom="0.94488188976377963" header="0.31496062992125984" footer="0.31496062992125984"/>
  <pageSetup paperSize="9" scale="35"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80" r:id="rId4" name="Button 3">
              <controlPr defaultSize="0" print="0" autoFill="0" autoPict="0" macro="[0]!Button3_Click">
                <anchor moveWithCells="1" sizeWithCells="1">
                  <from>
                    <xdr:col>2</xdr:col>
                    <xdr:colOff>1485900</xdr:colOff>
                    <xdr:row>1</xdr:row>
                    <xdr:rowOff>85725</xdr:rowOff>
                  </from>
                  <to>
                    <xdr:col>2</xdr:col>
                    <xdr:colOff>3286125</xdr:colOff>
                    <xdr:row>1</xdr:row>
                    <xdr:rowOff>438150</xdr:rowOff>
                  </to>
                </anchor>
              </controlPr>
            </control>
          </mc:Choice>
        </mc:AlternateContent>
        <mc:AlternateContent xmlns:mc="http://schemas.openxmlformats.org/markup-compatibility/2006">
          <mc:Choice Requires="x14">
            <control shapeId="36881"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6882" r:id="rId6"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9.7109375" style="16" customWidth="1"/>
    <col min="7" max="7" width="60.7109375" style="16" customWidth="1"/>
    <col min="8" max="9" width="20.7109375" style="16" customWidth="1"/>
    <col min="10" max="10" width="11.28515625" style="16" bestFit="1" customWidth="1"/>
    <col min="11" max="11" width="1.7109375" style="16" customWidth="1"/>
    <col min="12" max="16384" width="9.140625" style="16"/>
  </cols>
  <sheetData>
    <row r="1" spans="2:10" ht="8.1" customHeight="1" x14ac:dyDescent="0.25"/>
    <row r="2" spans="2:10" s="46" customFormat="1" ht="39.950000000000003" customHeight="1" x14ac:dyDescent="0.25">
      <c r="B2" s="165" t="s">
        <v>211</v>
      </c>
      <c r="C2" s="165"/>
      <c r="D2" s="165"/>
      <c r="E2" s="165"/>
      <c r="F2" s="165"/>
      <c r="G2" s="165"/>
      <c r="H2" s="165"/>
      <c r="I2" s="165"/>
      <c r="J2" s="165"/>
    </row>
    <row r="3" spans="2:10" s="46" customFormat="1" ht="8.1" customHeight="1" x14ac:dyDescent="0.25">
      <c r="B3" s="81"/>
      <c r="H3" s="124"/>
      <c r="I3" s="124"/>
      <c r="J3" s="67"/>
    </row>
    <row r="4" spans="2:10" s="46" customFormat="1" ht="9.9499999999999993" customHeight="1" x14ac:dyDescent="0.25">
      <c r="B4" s="195" t="s">
        <v>190</v>
      </c>
      <c r="C4" s="206">
        <f>SUM(I:I)</f>
        <v>0</v>
      </c>
      <c r="D4" s="94"/>
      <c r="H4" s="124"/>
      <c r="I4" s="124"/>
      <c r="J4" s="67"/>
    </row>
    <row r="5" spans="2:10" s="46" customFormat="1" ht="9.9499999999999993" customHeight="1" x14ac:dyDescent="0.25">
      <c r="B5" s="196"/>
      <c r="C5" s="207"/>
      <c r="D5" s="94"/>
      <c r="H5" s="124"/>
      <c r="I5" s="124"/>
      <c r="J5" s="67"/>
    </row>
    <row r="6" spans="2:10" s="46" customFormat="1" ht="9.9499999999999993" customHeight="1" x14ac:dyDescent="0.25">
      <c r="B6" s="196"/>
      <c r="C6" s="207"/>
      <c r="D6" s="94"/>
      <c r="H6" s="124"/>
      <c r="I6" s="124"/>
      <c r="J6" s="67"/>
    </row>
    <row r="7" spans="2:10" s="46" customFormat="1" ht="9.9499999999999993" customHeight="1" x14ac:dyDescent="0.25">
      <c r="B7" s="196"/>
      <c r="C7" s="207"/>
      <c r="D7" s="94"/>
      <c r="H7" s="124"/>
      <c r="I7" s="124"/>
      <c r="J7" s="67"/>
    </row>
    <row r="8" spans="2:10" s="46" customFormat="1" ht="9.9499999999999993" customHeight="1" x14ac:dyDescent="0.25">
      <c r="B8" s="196"/>
      <c r="C8" s="207"/>
      <c r="D8" s="94"/>
      <c r="H8" s="124"/>
      <c r="I8" s="124"/>
      <c r="J8" s="67"/>
    </row>
    <row r="9" spans="2:10" s="46" customFormat="1" ht="9.9499999999999993" customHeight="1" x14ac:dyDescent="0.25">
      <c r="B9" s="197"/>
      <c r="C9" s="208"/>
      <c r="D9" s="94"/>
      <c r="H9" s="124"/>
      <c r="I9" s="124"/>
      <c r="J9" s="67"/>
    </row>
    <row r="10" spans="2:10" s="46" customFormat="1" ht="8.1" customHeight="1" x14ac:dyDescent="0.25">
      <c r="B10" s="47"/>
      <c r="C10" s="48"/>
      <c r="D10" s="48"/>
      <c r="E10" s="48"/>
      <c r="F10" s="48"/>
      <c r="G10" s="48"/>
      <c r="H10" s="49"/>
      <c r="I10" s="49"/>
      <c r="J10" s="71"/>
    </row>
    <row r="11" spans="2:10" s="125" customFormat="1" ht="42" customHeight="1" x14ac:dyDescent="0.25">
      <c r="B11" s="164" t="s">
        <v>235</v>
      </c>
      <c r="C11" s="164" t="s">
        <v>237</v>
      </c>
      <c r="D11" s="164" t="s">
        <v>238</v>
      </c>
      <c r="E11" s="164" t="s">
        <v>197</v>
      </c>
      <c r="F11" s="166" t="s">
        <v>198</v>
      </c>
      <c r="G11" s="166" t="s">
        <v>199</v>
      </c>
      <c r="H11" s="140" t="s">
        <v>171</v>
      </c>
      <c r="I11" s="140" t="s">
        <v>170</v>
      </c>
      <c r="J11" s="140" t="s">
        <v>239</v>
      </c>
    </row>
    <row r="12" spans="2:10" ht="23.85" customHeight="1" x14ac:dyDescent="0.25">
      <c r="B12" s="141"/>
      <c r="C12" s="141"/>
      <c r="D12" s="141"/>
      <c r="E12" s="141"/>
      <c r="F12" s="141"/>
      <c r="G12" s="141"/>
      <c r="H12" s="141"/>
      <c r="I12" s="141"/>
      <c r="J12" s="141"/>
    </row>
    <row r="13" spans="2:10" s="80" customFormat="1" hidden="1" x14ac:dyDescent="0.25">
      <c r="B13" s="45"/>
      <c r="C13" s="137" t="str">
        <f>IFERROR(IF(VLOOKUP(B13,PartnerN°Ref,2,FALSE)=0,"",VLOOKUP(B13,PartnerN°Ref,2,FALSE)),"")</f>
        <v/>
      </c>
      <c r="D13" s="137" t="str">
        <f>IFERROR(IF(OR(VLOOKUP(B13,PartnerN°Ref,4,FALSE)="Country not found",VLOOKUP(B13,PartnerN°Ref,3,FALSE)=0),"",VLOOKUP(B13,PartnerN°Ref,3,FALSE)),"")</f>
        <v/>
      </c>
      <c r="E13" s="95"/>
      <c r="F13" s="44"/>
      <c r="G13" s="44"/>
      <c r="H13" s="82">
        <v>0</v>
      </c>
      <c r="I13" s="83">
        <f>IF(J13="Error",0,ROUND(H13,2))</f>
        <v>0</v>
      </c>
      <c r="J13" s="79" t="str">
        <f>IF(OR(COUNTIF(PartnerN°,B13)=0,C13="",COUNTIF(CountryALL,D13)=0,E13="",F13="",G13="",ISNUMBER(H13)=FALSE,IF(ISNUMBER(H13)=TRUE,H13=INT(H13*100)/100=FALSE)),"Error","")</f>
        <v>Error</v>
      </c>
    </row>
    <row r="14" spans="2:10" s="80" customFormat="1" x14ac:dyDescent="0.25">
      <c r="B14" s="45"/>
      <c r="C14" s="137" t="str">
        <f>IFERROR(IF(VLOOKUP(B14,PartnerN°Ref,2,FALSE)=0,"",VLOOKUP(B14,PartnerN°Ref,2,FALSE)),"")</f>
        <v/>
      </c>
      <c r="D14" s="137" t="str">
        <f>IFERROR(IF(OR(VLOOKUP(B14,PartnerN°Ref,4,FALSE)="Country not found",VLOOKUP(B14,PartnerN°Ref,3,FALSE)=0),"",VLOOKUP(B14,PartnerN°Ref,3,FALSE)),"")</f>
        <v/>
      </c>
      <c r="E14" s="95"/>
      <c r="F14" s="44"/>
      <c r="G14" s="44"/>
      <c r="H14" s="82">
        <v>0</v>
      </c>
      <c r="I14" s="83">
        <f>IF(J14="Error",0,ROUND(H14,2))</f>
        <v>0</v>
      </c>
      <c r="J14" s="79" t="str">
        <f>IF(OR(COUNTIF(PartnerN°,B14)=0,C14="",COUNTIF(CountryALL,D14)=0,E14="",F14="",G14="",ISNUMBER(H14)=FALSE,IF(ISNUMBER(H14)=TRUE,H14=INT(H14*100)/100=FALSE)),"Error","")</f>
        <v>Error</v>
      </c>
    </row>
    <row r="16" spans="2:10" x14ac:dyDescent="0.25">
      <c r="B16" s="96" t="s">
        <v>240</v>
      </c>
    </row>
    <row r="17" spans="2:2" x14ac:dyDescent="0.25">
      <c r="B17" s="96" t="s">
        <v>241</v>
      </c>
    </row>
    <row r="18" spans="2:2" x14ac:dyDescent="0.25">
      <c r="B18" s="96" t="s">
        <v>242</v>
      </c>
    </row>
  </sheetData>
  <sheetProtection password="E359" sheet="1" objects="1" scenarios="1" selectLockedCells="1"/>
  <dataConsolidate/>
  <mergeCells count="12">
    <mergeCell ref="J11:J12"/>
    <mergeCell ref="B2:J2"/>
    <mergeCell ref="I11:I12"/>
    <mergeCell ref="F11:F12"/>
    <mergeCell ref="C4:C9"/>
    <mergeCell ref="B4:B9"/>
    <mergeCell ref="B11:B12"/>
    <mergeCell ref="C11:C12"/>
    <mergeCell ref="D11:D12"/>
    <mergeCell ref="G11:G12"/>
    <mergeCell ref="H11:H12"/>
    <mergeCell ref="E11:E12"/>
  </mergeCells>
  <conditionalFormatting sqref="J13:J14">
    <cfRule type="containsText" dxfId="19" priority="105" operator="containsText" text="Error">
      <formula>NOT(ISERROR(SEARCH("Error",J13)))</formula>
    </cfRule>
  </conditionalFormatting>
  <conditionalFormatting sqref="C13:D14">
    <cfRule type="containsBlanks" dxfId="18" priority="98">
      <formula>LEN(TRIM(C13))=0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4"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55"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5856" r:id="rId5"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81"/>
  <sheetViews>
    <sheetView showGridLines="0" zoomScale="85" zoomScaleNormal="85" zoomScaleSheetLayoutView="85" workbookViewId="0">
      <selection activeCell="B2" sqref="B2:I2"/>
    </sheetView>
  </sheetViews>
  <sheetFormatPr defaultColWidth="9.140625" defaultRowHeight="18" x14ac:dyDescent="0.25"/>
  <cols>
    <col min="1" max="1" width="1.7109375" style="16" customWidth="1"/>
    <col min="2" max="2" width="42.7109375" style="16" customWidth="1"/>
    <col min="3" max="9" width="22.7109375" style="16" customWidth="1"/>
    <col min="10" max="10" width="1.42578125" style="16" customWidth="1"/>
    <col min="11" max="16384" width="9.140625" style="16"/>
  </cols>
  <sheetData>
    <row r="1" spans="2:9" ht="8.1" customHeight="1" x14ac:dyDescent="0.25"/>
    <row r="2" spans="2:9" s="46" customFormat="1" ht="30" customHeight="1" x14ac:dyDescent="0.25">
      <c r="B2" s="165" t="s">
        <v>184</v>
      </c>
      <c r="C2" s="165"/>
      <c r="D2" s="165"/>
      <c r="E2" s="165"/>
      <c r="F2" s="165"/>
      <c r="G2" s="165"/>
      <c r="H2" s="165"/>
      <c r="I2" s="165"/>
    </row>
    <row r="3" spans="2:9" s="46" customFormat="1" ht="8.1" customHeight="1" x14ac:dyDescent="0.25">
      <c r="B3" s="47"/>
      <c r="C3" s="48"/>
      <c r="D3" s="48"/>
      <c r="E3" s="48"/>
      <c r="F3" s="49"/>
      <c r="G3" s="49"/>
      <c r="H3" s="49"/>
      <c r="I3" s="50"/>
    </row>
    <row r="4" spans="2:9" s="51" customFormat="1" ht="42" customHeight="1" x14ac:dyDescent="0.25">
      <c r="B4" s="15" t="s">
        <v>168</v>
      </c>
      <c r="C4" s="36" t="s">
        <v>200</v>
      </c>
      <c r="D4" s="36" t="s">
        <v>201</v>
      </c>
      <c r="E4" s="36" t="s">
        <v>212</v>
      </c>
      <c r="F4" s="36" t="s">
        <v>213</v>
      </c>
      <c r="G4" s="36" t="s">
        <v>214</v>
      </c>
      <c r="H4" s="37" t="s">
        <v>215</v>
      </c>
      <c r="I4" s="36" t="s">
        <v>170</v>
      </c>
    </row>
    <row r="5" spans="2:9" x14ac:dyDescent="0.25">
      <c r="B5" s="52" t="str">
        <f>Rates!P13</f>
        <v>Preparation</v>
      </c>
      <c r="C5" s="53">
        <f>SUMIF('1. Staff costs'!B:B,B5,'1. Staff costs'!S:S)</f>
        <v>0</v>
      </c>
      <c r="D5" s="53">
        <f>SUMIF('2-3. Travel Costs&amp;Costs of Stay'!B:B,B5,'2-3. Travel Costs&amp;Costs of Stay'!L:L)</f>
        <v>0</v>
      </c>
      <c r="E5" s="54">
        <f>SUMIF('2-3. Travel Costs&amp;Costs of Stay'!B:B,B5,'2-3. Travel Costs&amp;Costs of Stay'!M:M)</f>
        <v>0</v>
      </c>
      <c r="F5" s="54">
        <f>SUMIF('4. Equipment Costs'!B:B,B5,'4. Equipment Costs'!H:H)</f>
        <v>0</v>
      </c>
      <c r="G5" s="54">
        <f>SUMIF('5. Subcontracting Costs'!B:B,B5,'5. Subcontracting Costs'!H:H)</f>
        <v>0</v>
      </c>
      <c r="H5" s="209"/>
      <c r="I5" s="55">
        <f>SUM(C5:G5)</f>
        <v>0</v>
      </c>
    </row>
    <row r="6" spans="2:9" ht="16.5" customHeight="1" x14ac:dyDescent="0.25">
      <c r="B6" s="52" t="str">
        <f>Rates!P14</f>
        <v>Development</v>
      </c>
      <c r="C6" s="53">
        <f>SUMIF('1. Staff costs'!B:B,B6,'1. Staff costs'!S:S)</f>
        <v>0</v>
      </c>
      <c r="D6" s="53">
        <f>SUMIF('2-3. Travel Costs&amp;Costs of Stay'!B:B,B6,'2-3. Travel Costs&amp;Costs of Stay'!L:L)</f>
        <v>0</v>
      </c>
      <c r="E6" s="54">
        <f>SUMIF('2-3. Travel Costs&amp;Costs of Stay'!B:B,B6,'2-3. Travel Costs&amp;Costs of Stay'!M:M)</f>
        <v>0</v>
      </c>
      <c r="F6" s="54">
        <f>SUMIF('4. Equipment Costs'!B:B,B6,'4. Equipment Costs'!H:H)</f>
        <v>0</v>
      </c>
      <c r="G6" s="54">
        <f>SUMIF('5. Subcontracting Costs'!B:B,B6,'5. Subcontracting Costs'!H:H)</f>
        <v>0</v>
      </c>
      <c r="H6" s="210"/>
      <c r="I6" s="55">
        <f t="shared" ref="I6:I9" si="0">SUM(C6:G6)</f>
        <v>0</v>
      </c>
    </row>
    <row r="7" spans="2:9" ht="16.5" customHeight="1" x14ac:dyDescent="0.25">
      <c r="B7" s="52" t="str">
        <f>Rates!P15</f>
        <v>Quality Plan</v>
      </c>
      <c r="C7" s="53">
        <f>SUMIF('1. Staff costs'!B:B,B7,'1. Staff costs'!S:S)</f>
        <v>0</v>
      </c>
      <c r="D7" s="53">
        <f>SUMIF('2-3. Travel Costs&amp;Costs of Stay'!B:B,B7,'2-3. Travel Costs&amp;Costs of Stay'!L:L)</f>
        <v>0</v>
      </c>
      <c r="E7" s="54">
        <f>SUMIF('2-3. Travel Costs&amp;Costs of Stay'!B:B,B7,'2-3. Travel Costs&amp;Costs of Stay'!M:M)</f>
        <v>0</v>
      </c>
      <c r="F7" s="54">
        <f>SUMIF('4. Equipment Costs'!B:B,B7,'4. Equipment Costs'!H:H)</f>
        <v>0</v>
      </c>
      <c r="G7" s="54">
        <f>SUMIF('5. Subcontracting Costs'!B:B,B7,'5. Subcontracting Costs'!H:H)</f>
        <v>0</v>
      </c>
      <c r="H7" s="210"/>
      <c r="I7" s="55">
        <f t="shared" si="0"/>
        <v>0</v>
      </c>
    </row>
    <row r="8" spans="2:9" ht="16.5" customHeight="1" x14ac:dyDescent="0.25">
      <c r="B8" s="52" t="str">
        <f>Rates!P16</f>
        <v>Dissemination &amp; Exploitation</v>
      </c>
      <c r="C8" s="53">
        <f>SUMIF('1. Staff costs'!B:B,B8,'1. Staff costs'!S:S)</f>
        <v>0</v>
      </c>
      <c r="D8" s="53">
        <f>SUMIF('2-3. Travel Costs&amp;Costs of Stay'!B:B,B8,'2-3. Travel Costs&amp;Costs of Stay'!L:L)</f>
        <v>0</v>
      </c>
      <c r="E8" s="54">
        <f>SUMIF('2-3. Travel Costs&amp;Costs of Stay'!B:B,B8,'2-3. Travel Costs&amp;Costs of Stay'!M:M)</f>
        <v>0</v>
      </c>
      <c r="F8" s="54">
        <f>SUMIF('4. Equipment Costs'!B:B,B8,'4. Equipment Costs'!H:H)</f>
        <v>0</v>
      </c>
      <c r="G8" s="54">
        <f>SUMIF('5. Subcontracting Costs'!B:B,B8,'5. Subcontracting Costs'!H:H)</f>
        <v>0</v>
      </c>
      <c r="H8" s="210"/>
      <c r="I8" s="55">
        <f t="shared" si="0"/>
        <v>0</v>
      </c>
    </row>
    <row r="9" spans="2:9" ht="16.5" customHeight="1" x14ac:dyDescent="0.25">
      <c r="B9" s="52" t="str">
        <f>Rates!P17</f>
        <v>Management</v>
      </c>
      <c r="C9" s="53">
        <f>SUMIF('1. Staff costs'!B:B,B9,'1. Staff costs'!S:S)</f>
        <v>0</v>
      </c>
      <c r="D9" s="53">
        <f>SUMIF('2-3. Travel Costs&amp;Costs of Stay'!B:B,B9,'2-3. Travel Costs&amp;Costs of Stay'!L:L)</f>
        <v>0</v>
      </c>
      <c r="E9" s="54">
        <f>SUMIF('2-3. Travel Costs&amp;Costs of Stay'!B:B,B9,'2-3. Travel Costs&amp;Costs of Stay'!M:M)</f>
        <v>0</v>
      </c>
      <c r="F9" s="54">
        <f>SUMIF('4. Equipment Costs'!B:B,B9,'4. Equipment Costs'!H:H)</f>
        <v>0</v>
      </c>
      <c r="G9" s="54">
        <f>SUMIF('5. Subcontracting Costs'!B:B,B9,'5. Subcontracting Costs'!H:H)</f>
        <v>0</v>
      </c>
      <c r="H9" s="211"/>
      <c r="I9" s="55">
        <f t="shared" si="0"/>
        <v>0</v>
      </c>
    </row>
    <row r="10" spans="2:9" x14ac:dyDescent="0.25">
      <c r="B10" s="56" t="s">
        <v>2</v>
      </c>
      <c r="C10" s="55">
        <f t="shared" ref="C10:F10" si="1">SUM(C5:C9)</f>
        <v>0</v>
      </c>
      <c r="D10" s="55">
        <f t="shared" si="1"/>
        <v>0</v>
      </c>
      <c r="E10" s="55">
        <f t="shared" si="1"/>
        <v>0</v>
      </c>
      <c r="F10" s="55">
        <f t="shared" si="1"/>
        <v>0</v>
      </c>
      <c r="G10" s="55">
        <f>SUM(G5:G9)</f>
        <v>0</v>
      </c>
      <c r="H10" s="57">
        <f>'B. Special Mob Strand - Student'!C8+'B. Special Mob Strand - Staff'!C8</f>
        <v>0</v>
      </c>
      <c r="I10" s="43">
        <f>SUM(C10:H10)</f>
        <v>0</v>
      </c>
    </row>
    <row r="11" spans="2:9" ht="12" customHeight="1" x14ac:dyDescent="0.25"/>
    <row r="12" spans="2:9" ht="12" customHeight="1" x14ac:dyDescent="0.25"/>
    <row r="13" spans="2:9" ht="12" customHeight="1" x14ac:dyDescent="0.25"/>
    <row r="14" spans="2:9" ht="30" customHeight="1" x14ac:dyDescent="0.25">
      <c r="B14" s="165" t="s">
        <v>216</v>
      </c>
      <c r="C14" s="165"/>
      <c r="D14" s="165"/>
      <c r="E14" s="165"/>
      <c r="F14" s="165"/>
      <c r="G14" s="165"/>
      <c r="H14" s="165"/>
      <c r="I14" s="165"/>
    </row>
    <row r="15" spans="2:9" ht="8.1" customHeight="1" x14ac:dyDescent="0.25">
      <c r="B15" s="58"/>
      <c r="C15" s="59"/>
      <c r="D15" s="59"/>
      <c r="E15" s="59"/>
      <c r="F15" s="59"/>
      <c r="G15" s="59"/>
      <c r="H15" s="59"/>
      <c r="I15" s="60"/>
    </row>
    <row r="16" spans="2:9" ht="42" customHeight="1" x14ac:dyDescent="0.25">
      <c r="B16" s="15" t="s">
        <v>183</v>
      </c>
      <c r="C16" s="36" t="s">
        <v>200</v>
      </c>
      <c r="D16" s="36" t="s">
        <v>201</v>
      </c>
      <c r="E16" s="36" t="s">
        <v>212</v>
      </c>
      <c r="F16" s="36" t="s">
        <v>213</v>
      </c>
      <c r="G16" s="36" t="s">
        <v>214</v>
      </c>
      <c r="H16" s="37" t="s">
        <v>215</v>
      </c>
      <c r="I16" s="36" t="s">
        <v>170</v>
      </c>
    </row>
    <row r="17" spans="2:9" x14ac:dyDescent="0.25">
      <c r="B17" s="52" t="s">
        <v>208</v>
      </c>
      <c r="C17" s="53">
        <f>SUMIF(Overview!$E$33:$E$87,B17,Overview!$F$33:$F$87)</f>
        <v>0</v>
      </c>
      <c r="D17" s="53">
        <f>SUMIF(Overview!$E$33:$E$87,B17,Overview!$G$33:$G$87)</f>
        <v>0</v>
      </c>
      <c r="E17" s="53">
        <f>SUMIF(Overview!$E$33:$E$87,B17,Overview!$H$33:$H$87)</f>
        <v>0</v>
      </c>
      <c r="F17" s="53">
        <f>SUMIF(Overview!$E$33:$E$87,B17,Overview!$I$33:$I$87)</f>
        <v>0</v>
      </c>
      <c r="G17" s="53">
        <f>SUMIF(Overview!$E$33:$E$87,B17,Overview!$J$33:$J$87)</f>
        <v>0</v>
      </c>
      <c r="H17" s="61">
        <f>SUMIF(Overview!$E$33:$E$87,B17,Overview!$K$33:$K$87)</f>
        <v>0</v>
      </c>
      <c r="I17" s="55">
        <f>SUM(C17:H17)</f>
        <v>0</v>
      </c>
    </row>
    <row r="18" spans="2:9" x14ac:dyDescent="0.25">
      <c r="B18" s="52" t="s">
        <v>209</v>
      </c>
      <c r="C18" s="53">
        <f>SUMIF(Overview!$E$33:$E$87,B18,Overview!$F$33:$F$87)</f>
        <v>0</v>
      </c>
      <c r="D18" s="53">
        <f>SUMIF(Overview!$E$33:$E$87,B18,Overview!$G$33:$G$87)</f>
        <v>0</v>
      </c>
      <c r="E18" s="53">
        <f>SUMIF(Overview!$E$33:$E$87,B18,Overview!$H$33:$H$87)</f>
        <v>0</v>
      </c>
      <c r="F18" s="53">
        <f>SUMIF(Overview!$E$33:$E$87,B18,Overview!$I$33:$I$87)</f>
        <v>0</v>
      </c>
      <c r="G18" s="53">
        <f>SUMIF(Overview!$E$33:$E$87,B18,Overview!$J$33:$J$87)</f>
        <v>0</v>
      </c>
      <c r="H18" s="61">
        <f>SUMIF(Overview!$E$33:$E$87,B18,Overview!$K$33:$K$87)</f>
        <v>0</v>
      </c>
      <c r="I18" s="55">
        <f t="shared" ref="I18" si="2">SUM(C18:H18)</f>
        <v>0</v>
      </c>
    </row>
    <row r="19" spans="2:9" x14ac:dyDescent="0.25">
      <c r="B19" s="56" t="s">
        <v>2</v>
      </c>
      <c r="C19" s="55">
        <f t="shared" ref="C19:H19" si="3">SUM(C17:C18)</f>
        <v>0</v>
      </c>
      <c r="D19" s="55">
        <f t="shared" si="3"/>
        <v>0</v>
      </c>
      <c r="E19" s="55">
        <f t="shared" si="3"/>
        <v>0</v>
      </c>
      <c r="F19" s="55">
        <f t="shared" si="3"/>
        <v>0</v>
      </c>
      <c r="G19" s="55">
        <f t="shared" si="3"/>
        <v>0</v>
      </c>
      <c r="H19" s="57">
        <f t="shared" si="3"/>
        <v>0</v>
      </c>
      <c r="I19" s="43">
        <f>SUM(C19:H19)</f>
        <v>0</v>
      </c>
    </row>
    <row r="20" spans="2:9" ht="12" customHeight="1" x14ac:dyDescent="0.25"/>
    <row r="21" spans="2:9" ht="12" customHeight="1" x14ac:dyDescent="0.25"/>
    <row r="22" spans="2:9" ht="12" customHeight="1" x14ac:dyDescent="0.25"/>
    <row r="23" spans="2:9" ht="30" customHeight="1" x14ac:dyDescent="0.25">
      <c r="B23" s="165" t="s">
        <v>218</v>
      </c>
      <c r="C23" s="165"/>
      <c r="D23" s="165"/>
      <c r="E23" s="165"/>
      <c r="F23" s="165"/>
      <c r="G23" s="165"/>
      <c r="H23" s="165"/>
      <c r="I23" s="165"/>
    </row>
    <row r="24" spans="2:9" ht="8.1" customHeight="1" x14ac:dyDescent="0.25">
      <c r="B24" s="62"/>
      <c r="I24" s="63"/>
    </row>
    <row r="25" spans="2:9" ht="54" customHeight="1" x14ac:dyDescent="0.25">
      <c r="B25" s="34" t="s">
        <v>217</v>
      </c>
      <c r="C25" s="15" t="str">
        <f>Rates!P13</f>
        <v>Preparation</v>
      </c>
      <c r="D25" s="15" t="str">
        <f>Rates!P14</f>
        <v>Development</v>
      </c>
      <c r="E25" s="15" t="str">
        <f>Rates!P15</f>
        <v>Quality Plan</v>
      </c>
      <c r="F25" s="34" t="str">
        <f>Rates!P16</f>
        <v>Dissemination &amp; Exploitation</v>
      </c>
      <c r="G25" s="15" t="str">
        <f>Rates!P17</f>
        <v>Management</v>
      </c>
      <c r="H25" s="37" t="s">
        <v>215</v>
      </c>
      <c r="I25" s="36" t="s">
        <v>170</v>
      </c>
    </row>
    <row r="26" spans="2:9" x14ac:dyDescent="0.25">
      <c r="B26" s="15" t="s">
        <v>9</v>
      </c>
      <c r="C26" s="54">
        <f>SUMIFS('1. Staff costs'!S:S,'1. Staff costs'!C:C,B26,'1. Staff costs'!B:B,$C$25)+SUMIFS('2-3. Travel Costs&amp;Costs of Stay'!N:N,'2-3. Travel Costs&amp;Costs of Stay'!C:C,B26,'2-3. Travel Costs&amp;Costs of Stay'!B:B,$C$25)+SUMIFS('4. Equipment Costs'!H:H,'4. Equipment Costs'!C:C,B26,'4. Equipment Costs'!B:B,$C$25)+SUMIFS('5. Subcontracting Costs'!H:H,'5. Subcontracting Costs'!C:C,B26,'5. Subcontracting Costs'!B:B,$C$25)</f>
        <v>0</v>
      </c>
      <c r="D26" s="54">
        <f>SUMIFS('1. Staff costs'!S:S,'1. Staff costs'!C:C,B26,'1. Staff costs'!B:B,$D$25)+SUMIFS('2-3. Travel Costs&amp;Costs of Stay'!N:N,'2-3. Travel Costs&amp;Costs of Stay'!C:C,B26,'2-3. Travel Costs&amp;Costs of Stay'!B:B,$D$25)+SUMIFS('4. Equipment Costs'!H:H,'4. Equipment Costs'!C:C,B26,'4. Equipment Costs'!B:B,$D$25)+SUMIFS('5. Subcontracting Costs'!H:H,'5. Subcontracting Costs'!C:C,B26,'5. Subcontracting Costs'!B:B,$D$25)</f>
        <v>0</v>
      </c>
      <c r="E26" s="54">
        <f>SUMIFS('1. Staff costs'!S:S,'1. Staff costs'!C:C,B26,'1. Staff costs'!B:B,$E$25)+SUMIFS('2-3. Travel Costs&amp;Costs of Stay'!N:N,'2-3. Travel Costs&amp;Costs of Stay'!C:C,B26,'2-3. Travel Costs&amp;Costs of Stay'!B:B,$E$25)+SUMIFS('4. Equipment Costs'!H:H,'4. Equipment Costs'!C:C,B26,'4. Equipment Costs'!B:B,$E$25)+SUMIFS('5. Subcontracting Costs'!H:H,'5. Subcontracting Costs'!C:C,B26,'5. Subcontracting Costs'!B:B,$E$25)</f>
        <v>0</v>
      </c>
      <c r="F26" s="54">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54">
        <f>SUMIFS('1. Staff costs'!S:S,'1. Staff costs'!C:C,B26,'1. Staff costs'!B:B,$G$25)+SUMIFS('2-3. Travel Costs&amp;Costs of Stay'!N:N,'2-3. Travel Costs&amp;Costs of Stay'!C:C,B26,'2-3. Travel Costs&amp;Costs of Stay'!B:B,$G$25)+SUMIFS('4. Equipment Costs'!H:H,'4. Equipment Costs'!C:C,B26,'4. Equipment Costs'!B:B,$G$25)+SUMIFS('5. Subcontracting Costs'!H:H,'5. Subcontracting Costs'!C:C,B26,'5. Subcontracting Costs'!B:B,$G$25)</f>
        <v>0</v>
      </c>
      <c r="H26" s="61">
        <f>SUMIF('B. Special Mob Strand - Student'!B:B,B26,'B. Special Mob Strand - Student'!N:N)+SUMIF('B. Special Mob Strand - Staff'!B:B,B26,'B. Special Mob Strand - Staff'!N:N)</f>
        <v>0</v>
      </c>
      <c r="I26" s="64">
        <f>SUM(C26:H26)</f>
        <v>0</v>
      </c>
    </row>
    <row r="27" spans="2:9" x14ac:dyDescent="0.25">
      <c r="B27" s="15" t="s">
        <v>10</v>
      </c>
      <c r="C27" s="54">
        <f>SUMIFS('1. Staff costs'!S:S,'1. Staff costs'!C:C,B27,'1. Staff costs'!B:B,$C$25)+SUMIFS('2-3. Travel Costs&amp;Costs of Stay'!N:N,'2-3. Travel Costs&amp;Costs of Stay'!C:C,B27,'2-3. Travel Costs&amp;Costs of Stay'!B:B,$C$25)+SUMIFS('4. Equipment Costs'!H:H,'4. Equipment Costs'!C:C,B27,'4. Equipment Costs'!B:B,$C$25)+SUMIFS('5. Subcontracting Costs'!H:H,'5. Subcontracting Costs'!C:C,B27,'5. Subcontracting Costs'!B:B,$C$25)</f>
        <v>0</v>
      </c>
      <c r="D27" s="54">
        <f>SUMIFS('1. Staff costs'!S:S,'1. Staff costs'!C:C,B27,'1. Staff costs'!B:B,$D$25)+SUMIFS('2-3. Travel Costs&amp;Costs of Stay'!N:N,'2-3. Travel Costs&amp;Costs of Stay'!C:C,B27,'2-3. Travel Costs&amp;Costs of Stay'!B:B,$D$25)+SUMIFS('4. Equipment Costs'!H:H,'4. Equipment Costs'!C:C,B27,'4. Equipment Costs'!B:B,$D$25)+SUMIFS('5. Subcontracting Costs'!H:H,'5. Subcontracting Costs'!C:C,B27,'5. Subcontracting Costs'!B:B,$D$25)</f>
        <v>0</v>
      </c>
      <c r="E27" s="54">
        <f>SUMIFS('1. Staff costs'!S:S,'1. Staff costs'!C:C,B27,'1. Staff costs'!B:B,$E$25)+SUMIFS('2-3. Travel Costs&amp;Costs of Stay'!N:N,'2-3. Travel Costs&amp;Costs of Stay'!C:C,B27,'2-3. Travel Costs&amp;Costs of Stay'!B:B,$E$25)+SUMIFS('4. Equipment Costs'!H:H,'4. Equipment Costs'!C:C,B27,'4. Equipment Costs'!B:B,$E$25)+SUMIFS('5. Subcontracting Costs'!H:H,'5. Subcontracting Costs'!C:C,B27,'5. Subcontracting Costs'!B:B,$E$25)</f>
        <v>0</v>
      </c>
      <c r="F27" s="54">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54">
        <f>SUMIFS('1. Staff costs'!S:S,'1. Staff costs'!C:C,B27,'1. Staff costs'!B:B,$G$25)+SUMIFS('2-3. Travel Costs&amp;Costs of Stay'!N:N,'2-3. Travel Costs&amp;Costs of Stay'!C:C,B27,'2-3. Travel Costs&amp;Costs of Stay'!B:B,$G$25)+SUMIFS('4. Equipment Costs'!H:H,'4. Equipment Costs'!C:C,B27,'4. Equipment Costs'!B:B,$G$25)+SUMIFS('5. Subcontracting Costs'!H:H,'5. Subcontracting Costs'!C:C,B27,'5. Subcontracting Costs'!B:B,$G$25)</f>
        <v>0</v>
      </c>
      <c r="H27" s="61">
        <f>SUMIF('B. Special Mob Strand - Student'!B:B,B27,'B. Special Mob Strand - Student'!N:N)+SUMIF('B. Special Mob Strand - Staff'!B:B,B27,'B. Special Mob Strand - Staff'!N:N)</f>
        <v>0</v>
      </c>
      <c r="I27" s="64">
        <f t="shared" ref="I27:I80" si="4">SUM(C27:H27)</f>
        <v>0</v>
      </c>
    </row>
    <row r="28" spans="2:9" x14ac:dyDescent="0.25">
      <c r="B28" s="15" t="s">
        <v>11</v>
      </c>
      <c r="C28" s="54">
        <f>SUMIFS('1. Staff costs'!S:S,'1. Staff costs'!C:C,B28,'1. Staff costs'!B:B,$C$25)+SUMIFS('2-3. Travel Costs&amp;Costs of Stay'!N:N,'2-3. Travel Costs&amp;Costs of Stay'!C:C,B28,'2-3. Travel Costs&amp;Costs of Stay'!B:B,$C$25)+SUMIFS('4. Equipment Costs'!H:H,'4. Equipment Costs'!C:C,B28,'4. Equipment Costs'!B:B,$C$25)+SUMIFS('5. Subcontracting Costs'!H:H,'5. Subcontracting Costs'!C:C,B28,'5. Subcontracting Costs'!B:B,$C$25)</f>
        <v>0</v>
      </c>
      <c r="D28" s="54">
        <f>SUMIFS('1. Staff costs'!S:S,'1. Staff costs'!C:C,B28,'1. Staff costs'!B:B,$D$25)+SUMIFS('2-3. Travel Costs&amp;Costs of Stay'!N:N,'2-3. Travel Costs&amp;Costs of Stay'!C:C,B28,'2-3. Travel Costs&amp;Costs of Stay'!B:B,$D$25)+SUMIFS('4. Equipment Costs'!H:H,'4. Equipment Costs'!C:C,B28,'4. Equipment Costs'!B:B,$D$25)+SUMIFS('5. Subcontracting Costs'!H:H,'5. Subcontracting Costs'!C:C,B28,'5. Subcontracting Costs'!B:B,$D$25)</f>
        <v>0</v>
      </c>
      <c r="E28" s="54">
        <f>SUMIFS('1. Staff costs'!S:S,'1. Staff costs'!C:C,B28,'1. Staff costs'!B:B,$E$25)+SUMIFS('2-3. Travel Costs&amp;Costs of Stay'!N:N,'2-3. Travel Costs&amp;Costs of Stay'!C:C,B28,'2-3. Travel Costs&amp;Costs of Stay'!B:B,$E$25)+SUMIFS('4. Equipment Costs'!H:H,'4. Equipment Costs'!C:C,B28,'4. Equipment Costs'!B:B,$E$25)+SUMIFS('5. Subcontracting Costs'!H:H,'5. Subcontracting Costs'!C:C,B28,'5. Subcontracting Costs'!B:B,$E$25)</f>
        <v>0</v>
      </c>
      <c r="F28" s="54">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54">
        <f>SUMIFS('1. Staff costs'!S:S,'1. Staff costs'!C:C,B28,'1. Staff costs'!B:B,$G$25)+SUMIFS('2-3. Travel Costs&amp;Costs of Stay'!N:N,'2-3. Travel Costs&amp;Costs of Stay'!C:C,B28,'2-3. Travel Costs&amp;Costs of Stay'!B:B,$G$25)+SUMIFS('4. Equipment Costs'!H:H,'4. Equipment Costs'!C:C,B28,'4. Equipment Costs'!B:B,$G$25)+SUMIFS('5. Subcontracting Costs'!H:H,'5. Subcontracting Costs'!C:C,B28,'5. Subcontracting Costs'!B:B,$G$25)</f>
        <v>0</v>
      </c>
      <c r="H28" s="61">
        <f>SUMIF('B. Special Mob Strand - Student'!B:B,B28,'B. Special Mob Strand - Student'!N:N)+SUMIF('B. Special Mob Strand - Staff'!B:B,B28,'B. Special Mob Strand - Staff'!N:N)</f>
        <v>0</v>
      </c>
      <c r="I28" s="64">
        <f t="shared" si="4"/>
        <v>0</v>
      </c>
    </row>
    <row r="29" spans="2:9" x14ac:dyDescent="0.25">
      <c r="B29" s="15" t="s">
        <v>12</v>
      </c>
      <c r="C29" s="54">
        <f>SUMIFS('1. Staff costs'!S:S,'1. Staff costs'!C:C,B29,'1. Staff costs'!B:B,$C$25)+SUMIFS('2-3. Travel Costs&amp;Costs of Stay'!N:N,'2-3. Travel Costs&amp;Costs of Stay'!C:C,B29,'2-3. Travel Costs&amp;Costs of Stay'!B:B,$C$25)+SUMIFS('4. Equipment Costs'!H:H,'4. Equipment Costs'!C:C,B29,'4. Equipment Costs'!B:B,$C$25)+SUMIFS('5. Subcontracting Costs'!H:H,'5. Subcontracting Costs'!C:C,B29,'5. Subcontracting Costs'!B:B,$C$25)</f>
        <v>0</v>
      </c>
      <c r="D29" s="54">
        <f>SUMIFS('1. Staff costs'!S:S,'1. Staff costs'!C:C,B29,'1. Staff costs'!B:B,$D$25)+SUMIFS('2-3. Travel Costs&amp;Costs of Stay'!N:N,'2-3. Travel Costs&amp;Costs of Stay'!C:C,B29,'2-3. Travel Costs&amp;Costs of Stay'!B:B,$D$25)+SUMIFS('4. Equipment Costs'!H:H,'4. Equipment Costs'!C:C,B29,'4. Equipment Costs'!B:B,$D$25)+SUMIFS('5. Subcontracting Costs'!H:H,'5. Subcontracting Costs'!C:C,B29,'5. Subcontracting Costs'!B:B,$D$25)</f>
        <v>0</v>
      </c>
      <c r="E29" s="54">
        <f>SUMIFS('1. Staff costs'!S:S,'1. Staff costs'!C:C,B29,'1. Staff costs'!B:B,$E$25)+SUMIFS('2-3. Travel Costs&amp;Costs of Stay'!N:N,'2-3. Travel Costs&amp;Costs of Stay'!C:C,B29,'2-3. Travel Costs&amp;Costs of Stay'!B:B,$E$25)+SUMIFS('4. Equipment Costs'!H:H,'4. Equipment Costs'!C:C,B29,'4. Equipment Costs'!B:B,$E$25)+SUMIFS('5. Subcontracting Costs'!H:H,'5. Subcontracting Costs'!C:C,B29,'5. Subcontracting Costs'!B:B,$E$25)</f>
        <v>0</v>
      </c>
      <c r="F29" s="54">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54">
        <f>SUMIFS('1. Staff costs'!S:S,'1. Staff costs'!C:C,B29,'1. Staff costs'!B:B,$G$25)+SUMIFS('2-3. Travel Costs&amp;Costs of Stay'!N:N,'2-3. Travel Costs&amp;Costs of Stay'!C:C,B29,'2-3. Travel Costs&amp;Costs of Stay'!B:B,$G$25)+SUMIFS('4. Equipment Costs'!H:H,'4. Equipment Costs'!C:C,B29,'4. Equipment Costs'!B:B,$G$25)+SUMIFS('5. Subcontracting Costs'!H:H,'5. Subcontracting Costs'!C:C,B29,'5. Subcontracting Costs'!B:B,$G$25)</f>
        <v>0</v>
      </c>
      <c r="H29" s="61">
        <f>SUMIF('B. Special Mob Strand - Student'!B:B,B29,'B. Special Mob Strand - Student'!N:N)+SUMIF('B. Special Mob Strand - Staff'!B:B,B29,'B. Special Mob Strand - Staff'!N:N)</f>
        <v>0</v>
      </c>
      <c r="I29" s="64">
        <f t="shared" si="4"/>
        <v>0</v>
      </c>
    </row>
    <row r="30" spans="2:9" x14ac:dyDescent="0.25">
      <c r="B30" s="15" t="s">
        <v>13</v>
      </c>
      <c r="C30" s="54">
        <f>SUMIFS('1. Staff costs'!S:S,'1. Staff costs'!C:C,B30,'1. Staff costs'!B:B,$C$25)+SUMIFS('2-3. Travel Costs&amp;Costs of Stay'!N:N,'2-3. Travel Costs&amp;Costs of Stay'!C:C,B30,'2-3. Travel Costs&amp;Costs of Stay'!B:B,$C$25)+SUMIFS('4. Equipment Costs'!H:H,'4. Equipment Costs'!C:C,B30,'4. Equipment Costs'!B:B,$C$25)+SUMIFS('5. Subcontracting Costs'!H:H,'5. Subcontracting Costs'!C:C,B30,'5. Subcontracting Costs'!B:B,$C$25)</f>
        <v>0</v>
      </c>
      <c r="D30" s="54">
        <f>SUMIFS('1. Staff costs'!S:S,'1. Staff costs'!C:C,B30,'1. Staff costs'!B:B,$D$25)+SUMIFS('2-3. Travel Costs&amp;Costs of Stay'!N:N,'2-3. Travel Costs&amp;Costs of Stay'!C:C,B30,'2-3. Travel Costs&amp;Costs of Stay'!B:B,$D$25)+SUMIFS('4. Equipment Costs'!H:H,'4. Equipment Costs'!C:C,B30,'4. Equipment Costs'!B:B,$D$25)+SUMIFS('5. Subcontracting Costs'!H:H,'5. Subcontracting Costs'!C:C,B30,'5. Subcontracting Costs'!B:B,$D$25)</f>
        <v>0</v>
      </c>
      <c r="E30" s="54">
        <f>SUMIFS('1. Staff costs'!S:S,'1. Staff costs'!C:C,B30,'1. Staff costs'!B:B,$E$25)+SUMIFS('2-3. Travel Costs&amp;Costs of Stay'!N:N,'2-3. Travel Costs&amp;Costs of Stay'!C:C,B30,'2-3. Travel Costs&amp;Costs of Stay'!B:B,$E$25)+SUMIFS('4. Equipment Costs'!H:H,'4. Equipment Costs'!C:C,B30,'4. Equipment Costs'!B:B,$E$25)+SUMIFS('5. Subcontracting Costs'!H:H,'5. Subcontracting Costs'!C:C,B30,'5. Subcontracting Costs'!B:B,$E$25)</f>
        <v>0</v>
      </c>
      <c r="F30" s="54">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54">
        <f>SUMIFS('1. Staff costs'!S:S,'1. Staff costs'!C:C,B30,'1. Staff costs'!B:B,$G$25)+SUMIFS('2-3. Travel Costs&amp;Costs of Stay'!N:N,'2-3. Travel Costs&amp;Costs of Stay'!C:C,B30,'2-3. Travel Costs&amp;Costs of Stay'!B:B,$G$25)+SUMIFS('4. Equipment Costs'!H:H,'4. Equipment Costs'!C:C,B30,'4. Equipment Costs'!B:B,$G$25)+SUMIFS('5. Subcontracting Costs'!H:H,'5. Subcontracting Costs'!C:C,B30,'5. Subcontracting Costs'!B:B,$G$25)</f>
        <v>0</v>
      </c>
      <c r="H30" s="61">
        <f>SUMIF('B. Special Mob Strand - Student'!B:B,B30,'B. Special Mob Strand - Student'!N:N)+SUMIF('B. Special Mob Strand - Staff'!B:B,B30,'B. Special Mob Strand - Staff'!N:N)</f>
        <v>0</v>
      </c>
      <c r="I30" s="64">
        <f t="shared" si="4"/>
        <v>0</v>
      </c>
    </row>
    <row r="31" spans="2:9" x14ac:dyDescent="0.25">
      <c r="B31" s="15" t="s">
        <v>14</v>
      </c>
      <c r="C31" s="54">
        <f>SUMIFS('1. Staff costs'!S:S,'1. Staff costs'!C:C,B31,'1. Staff costs'!B:B,$C$25)+SUMIFS('2-3. Travel Costs&amp;Costs of Stay'!N:N,'2-3. Travel Costs&amp;Costs of Stay'!C:C,B31,'2-3. Travel Costs&amp;Costs of Stay'!B:B,$C$25)+SUMIFS('4. Equipment Costs'!H:H,'4. Equipment Costs'!C:C,B31,'4. Equipment Costs'!B:B,$C$25)+SUMIFS('5. Subcontracting Costs'!H:H,'5. Subcontracting Costs'!C:C,B31,'5. Subcontracting Costs'!B:B,$C$25)</f>
        <v>0</v>
      </c>
      <c r="D31" s="54">
        <f>SUMIFS('1. Staff costs'!S:S,'1. Staff costs'!C:C,B31,'1. Staff costs'!B:B,$D$25)+SUMIFS('2-3. Travel Costs&amp;Costs of Stay'!N:N,'2-3. Travel Costs&amp;Costs of Stay'!C:C,B31,'2-3. Travel Costs&amp;Costs of Stay'!B:B,$D$25)+SUMIFS('4. Equipment Costs'!H:H,'4. Equipment Costs'!C:C,B31,'4. Equipment Costs'!B:B,$D$25)+SUMIFS('5. Subcontracting Costs'!H:H,'5. Subcontracting Costs'!C:C,B31,'5. Subcontracting Costs'!B:B,$D$25)</f>
        <v>0</v>
      </c>
      <c r="E31" s="54">
        <f>SUMIFS('1. Staff costs'!S:S,'1. Staff costs'!C:C,B31,'1. Staff costs'!B:B,$E$25)+SUMIFS('2-3. Travel Costs&amp;Costs of Stay'!N:N,'2-3. Travel Costs&amp;Costs of Stay'!C:C,B31,'2-3. Travel Costs&amp;Costs of Stay'!B:B,$E$25)+SUMIFS('4. Equipment Costs'!H:H,'4. Equipment Costs'!C:C,B31,'4. Equipment Costs'!B:B,$E$25)+SUMIFS('5. Subcontracting Costs'!H:H,'5. Subcontracting Costs'!C:C,B31,'5. Subcontracting Costs'!B:B,$E$25)</f>
        <v>0</v>
      </c>
      <c r="F31" s="54">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54">
        <f>SUMIFS('1. Staff costs'!S:S,'1. Staff costs'!C:C,B31,'1. Staff costs'!B:B,$G$25)+SUMIFS('2-3. Travel Costs&amp;Costs of Stay'!N:N,'2-3. Travel Costs&amp;Costs of Stay'!C:C,B31,'2-3. Travel Costs&amp;Costs of Stay'!B:B,$G$25)+SUMIFS('4. Equipment Costs'!H:H,'4. Equipment Costs'!C:C,B31,'4. Equipment Costs'!B:B,$G$25)+SUMIFS('5. Subcontracting Costs'!H:H,'5. Subcontracting Costs'!C:C,B31,'5. Subcontracting Costs'!B:B,$G$25)</f>
        <v>0</v>
      </c>
      <c r="H31" s="61">
        <f>SUMIF('B. Special Mob Strand - Student'!B:B,B31,'B. Special Mob Strand - Student'!N:N)+SUMIF('B. Special Mob Strand - Staff'!B:B,B31,'B. Special Mob Strand - Staff'!N:N)</f>
        <v>0</v>
      </c>
      <c r="I31" s="64">
        <f t="shared" si="4"/>
        <v>0</v>
      </c>
    </row>
    <row r="32" spans="2:9" x14ac:dyDescent="0.25">
      <c r="B32" s="15" t="s">
        <v>15</v>
      </c>
      <c r="C32" s="54">
        <f>SUMIFS('1. Staff costs'!S:S,'1. Staff costs'!C:C,B32,'1. Staff costs'!B:B,$C$25)+SUMIFS('2-3. Travel Costs&amp;Costs of Stay'!N:N,'2-3. Travel Costs&amp;Costs of Stay'!C:C,B32,'2-3. Travel Costs&amp;Costs of Stay'!B:B,$C$25)+SUMIFS('4. Equipment Costs'!H:H,'4. Equipment Costs'!C:C,B32,'4. Equipment Costs'!B:B,$C$25)+SUMIFS('5. Subcontracting Costs'!H:H,'5. Subcontracting Costs'!C:C,B32,'5. Subcontracting Costs'!B:B,$C$25)</f>
        <v>0</v>
      </c>
      <c r="D32" s="54">
        <f>SUMIFS('1. Staff costs'!S:S,'1. Staff costs'!C:C,B32,'1. Staff costs'!B:B,$D$25)+SUMIFS('2-3. Travel Costs&amp;Costs of Stay'!N:N,'2-3. Travel Costs&amp;Costs of Stay'!C:C,B32,'2-3. Travel Costs&amp;Costs of Stay'!B:B,$D$25)+SUMIFS('4. Equipment Costs'!H:H,'4. Equipment Costs'!C:C,B32,'4. Equipment Costs'!B:B,$D$25)+SUMIFS('5. Subcontracting Costs'!H:H,'5. Subcontracting Costs'!C:C,B32,'5. Subcontracting Costs'!B:B,$D$25)</f>
        <v>0</v>
      </c>
      <c r="E32" s="54">
        <f>SUMIFS('1. Staff costs'!S:S,'1. Staff costs'!C:C,B32,'1. Staff costs'!B:B,$E$25)+SUMIFS('2-3. Travel Costs&amp;Costs of Stay'!N:N,'2-3. Travel Costs&amp;Costs of Stay'!C:C,B32,'2-3. Travel Costs&amp;Costs of Stay'!B:B,$E$25)+SUMIFS('4. Equipment Costs'!H:H,'4. Equipment Costs'!C:C,B32,'4. Equipment Costs'!B:B,$E$25)+SUMIFS('5. Subcontracting Costs'!H:H,'5. Subcontracting Costs'!C:C,B32,'5. Subcontracting Costs'!B:B,$E$25)</f>
        <v>0</v>
      </c>
      <c r="F32" s="54">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54">
        <f>SUMIFS('1. Staff costs'!S:S,'1. Staff costs'!C:C,B32,'1. Staff costs'!B:B,$G$25)+SUMIFS('2-3. Travel Costs&amp;Costs of Stay'!N:N,'2-3. Travel Costs&amp;Costs of Stay'!C:C,B32,'2-3. Travel Costs&amp;Costs of Stay'!B:B,$G$25)+SUMIFS('4. Equipment Costs'!H:H,'4. Equipment Costs'!C:C,B32,'4. Equipment Costs'!B:B,$G$25)+SUMIFS('5. Subcontracting Costs'!H:H,'5. Subcontracting Costs'!C:C,B32,'5. Subcontracting Costs'!B:B,$G$25)</f>
        <v>0</v>
      </c>
      <c r="H32" s="61">
        <f>SUMIF('B. Special Mob Strand - Student'!B:B,B32,'B. Special Mob Strand - Student'!N:N)+SUMIF('B. Special Mob Strand - Staff'!B:B,B32,'B. Special Mob Strand - Staff'!N:N)</f>
        <v>0</v>
      </c>
      <c r="I32" s="64">
        <f t="shared" si="4"/>
        <v>0</v>
      </c>
    </row>
    <row r="33" spans="2:9" x14ac:dyDescent="0.25">
      <c r="B33" s="15" t="s">
        <v>16</v>
      </c>
      <c r="C33" s="54">
        <f>SUMIFS('1. Staff costs'!S:S,'1. Staff costs'!C:C,B33,'1. Staff costs'!B:B,$C$25)+SUMIFS('2-3. Travel Costs&amp;Costs of Stay'!N:N,'2-3. Travel Costs&amp;Costs of Stay'!C:C,B33,'2-3. Travel Costs&amp;Costs of Stay'!B:B,$C$25)+SUMIFS('4. Equipment Costs'!H:H,'4. Equipment Costs'!C:C,B33,'4. Equipment Costs'!B:B,$C$25)+SUMIFS('5. Subcontracting Costs'!H:H,'5. Subcontracting Costs'!C:C,B33,'5. Subcontracting Costs'!B:B,$C$25)</f>
        <v>0</v>
      </c>
      <c r="D33" s="54">
        <f>SUMIFS('1. Staff costs'!S:S,'1. Staff costs'!C:C,B33,'1. Staff costs'!B:B,$D$25)+SUMIFS('2-3. Travel Costs&amp;Costs of Stay'!N:N,'2-3. Travel Costs&amp;Costs of Stay'!C:C,B33,'2-3. Travel Costs&amp;Costs of Stay'!B:B,$D$25)+SUMIFS('4. Equipment Costs'!H:H,'4. Equipment Costs'!C:C,B33,'4. Equipment Costs'!B:B,$D$25)+SUMIFS('5. Subcontracting Costs'!H:H,'5. Subcontracting Costs'!C:C,B33,'5. Subcontracting Costs'!B:B,$D$25)</f>
        <v>0</v>
      </c>
      <c r="E33" s="54">
        <f>SUMIFS('1. Staff costs'!S:S,'1. Staff costs'!C:C,B33,'1. Staff costs'!B:B,$E$25)+SUMIFS('2-3. Travel Costs&amp;Costs of Stay'!N:N,'2-3. Travel Costs&amp;Costs of Stay'!C:C,B33,'2-3. Travel Costs&amp;Costs of Stay'!B:B,$E$25)+SUMIFS('4. Equipment Costs'!H:H,'4. Equipment Costs'!C:C,B33,'4. Equipment Costs'!B:B,$E$25)+SUMIFS('5. Subcontracting Costs'!H:H,'5. Subcontracting Costs'!C:C,B33,'5. Subcontracting Costs'!B:B,$E$25)</f>
        <v>0</v>
      </c>
      <c r="F33" s="54">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54">
        <f>SUMIFS('1. Staff costs'!S:S,'1. Staff costs'!C:C,B33,'1. Staff costs'!B:B,$G$25)+SUMIFS('2-3. Travel Costs&amp;Costs of Stay'!N:N,'2-3. Travel Costs&amp;Costs of Stay'!C:C,B33,'2-3. Travel Costs&amp;Costs of Stay'!B:B,$G$25)+SUMIFS('4. Equipment Costs'!H:H,'4. Equipment Costs'!C:C,B33,'4. Equipment Costs'!B:B,$G$25)+SUMIFS('5. Subcontracting Costs'!H:H,'5. Subcontracting Costs'!C:C,B33,'5. Subcontracting Costs'!B:B,$G$25)</f>
        <v>0</v>
      </c>
      <c r="H33" s="61">
        <f>SUMIF('B. Special Mob Strand - Student'!B:B,B33,'B. Special Mob Strand - Student'!N:N)+SUMIF('B. Special Mob Strand - Staff'!B:B,B33,'B. Special Mob Strand - Staff'!N:N)</f>
        <v>0</v>
      </c>
      <c r="I33" s="64">
        <f t="shared" si="4"/>
        <v>0</v>
      </c>
    </row>
    <row r="34" spans="2:9" x14ac:dyDescent="0.25">
      <c r="B34" s="15" t="s">
        <v>17</v>
      </c>
      <c r="C34" s="54">
        <f>SUMIFS('1. Staff costs'!S:S,'1. Staff costs'!C:C,B34,'1. Staff costs'!B:B,$C$25)+SUMIFS('2-3. Travel Costs&amp;Costs of Stay'!N:N,'2-3. Travel Costs&amp;Costs of Stay'!C:C,B34,'2-3. Travel Costs&amp;Costs of Stay'!B:B,$C$25)+SUMIFS('4. Equipment Costs'!H:H,'4. Equipment Costs'!C:C,B34,'4. Equipment Costs'!B:B,$C$25)+SUMIFS('5. Subcontracting Costs'!H:H,'5. Subcontracting Costs'!C:C,B34,'5. Subcontracting Costs'!B:B,$C$25)</f>
        <v>0</v>
      </c>
      <c r="D34" s="54">
        <f>SUMIFS('1. Staff costs'!S:S,'1. Staff costs'!C:C,B34,'1. Staff costs'!B:B,$D$25)+SUMIFS('2-3. Travel Costs&amp;Costs of Stay'!N:N,'2-3. Travel Costs&amp;Costs of Stay'!C:C,B34,'2-3. Travel Costs&amp;Costs of Stay'!B:B,$D$25)+SUMIFS('4. Equipment Costs'!H:H,'4. Equipment Costs'!C:C,B34,'4. Equipment Costs'!B:B,$D$25)+SUMIFS('5. Subcontracting Costs'!H:H,'5. Subcontracting Costs'!C:C,B34,'5. Subcontracting Costs'!B:B,$D$25)</f>
        <v>0</v>
      </c>
      <c r="E34" s="54">
        <f>SUMIFS('1. Staff costs'!S:S,'1. Staff costs'!C:C,B34,'1. Staff costs'!B:B,$E$25)+SUMIFS('2-3. Travel Costs&amp;Costs of Stay'!N:N,'2-3. Travel Costs&amp;Costs of Stay'!C:C,B34,'2-3. Travel Costs&amp;Costs of Stay'!B:B,$E$25)+SUMIFS('4. Equipment Costs'!H:H,'4. Equipment Costs'!C:C,B34,'4. Equipment Costs'!B:B,$E$25)+SUMIFS('5. Subcontracting Costs'!H:H,'5. Subcontracting Costs'!C:C,B34,'5. Subcontracting Costs'!B:B,$E$25)</f>
        <v>0</v>
      </c>
      <c r="F34" s="54">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54">
        <f>SUMIFS('1. Staff costs'!S:S,'1. Staff costs'!C:C,B34,'1. Staff costs'!B:B,$G$25)+SUMIFS('2-3. Travel Costs&amp;Costs of Stay'!N:N,'2-3. Travel Costs&amp;Costs of Stay'!C:C,B34,'2-3. Travel Costs&amp;Costs of Stay'!B:B,$G$25)+SUMIFS('4. Equipment Costs'!H:H,'4. Equipment Costs'!C:C,B34,'4. Equipment Costs'!B:B,$G$25)+SUMIFS('5. Subcontracting Costs'!H:H,'5. Subcontracting Costs'!C:C,B34,'5. Subcontracting Costs'!B:B,$G$25)</f>
        <v>0</v>
      </c>
      <c r="H34" s="61">
        <f>SUMIF('B. Special Mob Strand - Student'!B:B,B34,'B. Special Mob Strand - Student'!N:N)+SUMIF('B. Special Mob Strand - Staff'!B:B,B34,'B. Special Mob Strand - Staff'!N:N)</f>
        <v>0</v>
      </c>
      <c r="I34" s="64">
        <f t="shared" si="4"/>
        <v>0</v>
      </c>
    </row>
    <row r="35" spans="2:9" x14ac:dyDescent="0.25">
      <c r="B35" s="15" t="s">
        <v>18</v>
      </c>
      <c r="C35" s="54">
        <f>SUMIFS('1. Staff costs'!S:S,'1. Staff costs'!C:C,B35,'1. Staff costs'!B:B,$C$25)+SUMIFS('2-3. Travel Costs&amp;Costs of Stay'!N:N,'2-3. Travel Costs&amp;Costs of Stay'!C:C,B35,'2-3. Travel Costs&amp;Costs of Stay'!B:B,$C$25)+SUMIFS('4. Equipment Costs'!H:H,'4. Equipment Costs'!C:C,B35,'4. Equipment Costs'!B:B,$C$25)+SUMIFS('5. Subcontracting Costs'!H:H,'5. Subcontracting Costs'!C:C,B35,'5. Subcontracting Costs'!B:B,$C$25)</f>
        <v>0</v>
      </c>
      <c r="D35" s="54">
        <f>SUMIFS('1. Staff costs'!S:S,'1. Staff costs'!C:C,B35,'1. Staff costs'!B:B,$D$25)+SUMIFS('2-3. Travel Costs&amp;Costs of Stay'!N:N,'2-3. Travel Costs&amp;Costs of Stay'!C:C,B35,'2-3. Travel Costs&amp;Costs of Stay'!B:B,$D$25)+SUMIFS('4. Equipment Costs'!H:H,'4. Equipment Costs'!C:C,B35,'4. Equipment Costs'!B:B,$D$25)+SUMIFS('5. Subcontracting Costs'!H:H,'5. Subcontracting Costs'!C:C,B35,'5. Subcontracting Costs'!B:B,$D$25)</f>
        <v>0</v>
      </c>
      <c r="E35" s="54">
        <f>SUMIFS('1. Staff costs'!S:S,'1. Staff costs'!C:C,B35,'1. Staff costs'!B:B,$E$25)+SUMIFS('2-3. Travel Costs&amp;Costs of Stay'!N:N,'2-3. Travel Costs&amp;Costs of Stay'!C:C,B35,'2-3. Travel Costs&amp;Costs of Stay'!B:B,$E$25)+SUMIFS('4. Equipment Costs'!H:H,'4. Equipment Costs'!C:C,B35,'4. Equipment Costs'!B:B,$E$25)+SUMIFS('5. Subcontracting Costs'!H:H,'5. Subcontracting Costs'!C:C,B35,'5. Subcontracting Costs'!B:B,$E$25)</f>
        <v>0</v>
      </c>
      <c r="F35" s="54">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54">
        <f>SUMIFS('1. Staff costs'!S:S,'1. Staff costs'!C:C,B35,'1. Staff costs'!B:B,$G$25)+SUMIFS('2-3. Travel Costs&amp;Costs of Stay'!N:N,'2-3. Travel Costs&amp;Costs of Stay'!C:C,B35,'2-3. Travel Costs&amp;Costs of Stay'!B:B,$G$25)+SUMIFS('4. Equipment Costs'!H:H,'4. Equipment Costs'!C:C,B35,'4. Equipment Costs'!B:B,$G$25)+SUMIFS('5. Subcontracting Costs'!H:H,'5. Subcontracting Costs'!C:C,B35,'5. Subcontracting Costs'!B:B,$G$25)</f>
        <v>0</v>
      </c>
      <c r="H35" s="61">
        <f>SUMIF('B. Special Mob Strand - Student'!B:B,B35,'B. Special Mob Strand - Student'!N:N)+SUMIF('B. Special Mob Strand - Staff'!B:B,B35,'B. Special Mob Strand - Staff'!N:N)</f>
        <v>0</v>
      </c>
      <c r="I35" s="64">
        <f t="shared" si="4"/>
        <v>0</v>
      </c>
    </row>
    <row r="36" spans="2:9" x14ac:dyDescent="0.25">
      <c r="B36" s="15" t="s">
        <v>19</v>
      </c>
      <c r="C36" s="54">
        <f>SUMIFS('1. Staff costs'!S:S,'1. Staff costs'!C:C,B36,'1. Staff costs'!B:B,$C$25)+SUMIFS('2-3. Travel Costs&amp;Costs of Stay'!N:N,'2-3. Travel Costs&amp;Costs of Stay'!C:C,B36,'2-3. Travel Costs&amp;Costs of Stay'!B:B,$C$25)+SUMIFS('4. Equipment Costs'!H:H,'4. Equipment Costs'!C:C,B36,'4. Equipment Costs'!B:B,$C$25)+SUMIFS('5. Subcontracting Costs'!H:H,'5. Subcontracting Costs'!C:C,B36,'5. Subcontracting Costs'!B:B,$C$25)</f>
        <v>0</v>
      </c>
      <c r="D36" s="54">
        <f>SUMIFS('1. Staff costs'!S:S,'1. Staff costs'!C:C,B36,'1. Staff costs'!B:B,$D$25)+SUMIFS('2-3. Travel Costs&amp;Costs of Stay'!N:N,'2-3. Travel Costs&amp;Costs of Stay'!C:C,B36,'2-3. Travel Costs&amp;Costs of Stay'!B:B,$D$25)+SUMIFS('4. Equipment Costs'!H:H,'4. Equipment Costs'!C:C,B36,'4. Equipment Costs'!B:B,$D$25)+SUMIFS('5. Subcontracting Costs'!H:H,'5. Subcontracting Costs'!C:C,B36,'5. Subcontracting Costs'!B:B,$D$25)</f>
        <v>0</v>
      </c>
      <c r="E36" s="54">
        <f>SUMIFS('1. Staff costs'!S:S,'1. Staff costs'!C:C,B36,'1. Staff costs'!B:B,$E$25)+SUMIFS('2-3. Travel Costs&amp;Costs of Stay'!N:N,'2-3. Travel Costs&amp;Costs of Stay'!C:C,B36,'2-3. Travel Costs&amp;Costs of Stay'!B:B,$E$25)+SUMIFS('4. Equipment Costs'!H:H,'4. Equipment Costs'!C:C,B36,'4. Equipment Costs'!B:B,$E$25)+SUMIFS('5. Subcontracting Costs'!H:H,'5. Subcontracting Costs'!C:C,B36,'5. Subcontracting Costs'!B:B,$E$25)</f>
        <v>0</v>
      </c>
      <c r="F36" s="54">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54">
        <f>SUMIFS('1. Staff costs'!S:S,'1. Staff costs'!C:C,B36,'1. Staff costs'!B:B,$G$25)+SUMIFS('2-3. Travel Costs&amp;Costs of Stay'!N:N,'2-3. Travel Costs&amp;Costs of Stay'!C:C,B36,'2-3. Travel Costs&amp;Costs of Stay'!B:B,$G$25)+SUMIFS('4. Equipment Costs'!H:H,'4. Equipment Costs'!C:C,B36,'4. Equipment Costs'!B:B,$G$25)+SUMIFS('5. Subcontracting Costs'!H:H,'5. Subcontracting Costs'!C:C,B36,'5. Subcontracting Costs'!B:B,$G$25)</f>
        <v>0</v>
      </c>
      <c r="H36" s="61">
        <f>SUMIF('B. Special Mob Strand - Student'!B:B,B36,'B. Special Mob Strand - Student'!N:N)+SUMIF('B. Special Mob Strand - Staff'!B:B,B36,'B. Special Mob Strand - Staff'!N:N)</f>
        <v>0</v>
      </c>
      <c r="I36" s="64">
        <f t="shared" si="4"/>
        <v>0</v>
      </c>
    </row>
    <row r="37" spans="2:9" x14ac:dyDescent="0.25">
      <c r="B37" s="15" t="s">
        <v>20</v>
      </c>
      <c r="C37" s="54">
        <f>SUMIFS('1. Staff costs'!S:S,'1. Staff costs'!C:C,B37,'1. Staff costs'!B:B,$C$25)+SUMIFS('2-3. Travel Costs&amp;Costs of Stay'!N:N,'2-3. Travel Costs&amp;Costs of Stay'!C:C,B37,'2-3. Travel Costs&amp;Costs of Stay'!B:B,$C$25)+SUMIFS('4. Equipment Costs'!H:H,'4. Equipment Costs'!C:C,B37,'4. Equipment Costs'!B:B,$C$25)+SUMIFS('5. Subcontracting Costs'!H:H,'5. Subcontracting Costs'!C:C,B37,'5. Subcontracting Costs'!B:B,$C$25)</f>
        <v>0</v>
      </c>
      <c r="D37" s="54">
        <f>SUMIFS('1. Staff costs'!S:S,'1. Staff costs'!C:C,B37,'1. Staff costs'!B:B,$D$25)+SUMIFS('2-3. Travel Costs&amp;Costs of Stay'!N:N,'2-3. Travel Costs&amp;Costs of Stay'!C:C,B37,'2-3. Travel Costs&amp;Costs of Stay'!B:B,$D$25)+SUMIFS('4. Equipment Costs'!H:H,'4. Equipment Costs'!C:C,B37,'4. Equipment Costs'!B:B,$D$25)+SUMIFS('5. Subcontracting Costs'!H:H,'5. Subcontracting Costs'!C:C,B37,'5. Subcontracting Costs'!B:B,$D$25)</f>
        <v>0</v>
      </c>
      <c r="E37" s="54">
        <f>SUMIFS('1. Staff costs'!S:S,'1. Staff costs'!C:C,B37,'1. Staff costs'!B:B,$E$25)+SUMIFS('2-3. Travel Costs&amp;Costs of Stay'!N:N,'2-3. Travel Costs&amp;Costs of Stay'!C:C,B37,'2-3. Travel Costs&amp;Costs of Stay'!B:B,$E$25)+SUMIFS('4. Equipment Costs'!H:H,'4. Equipment Costs'!C:C,B37,'4. Equipment Costs'!B:B,$E$25)+SUMIFS('5. Subcontracting Costs'!H:H,'5. Subcontracting Costs'!C:C,B37,'5. Subcontracting Costs'!B:B,$E$25)</f>
        <v>0</v>
      </c>
      <c r="F37" s="54">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54">
        <f>SUMIFS('1. Staff costs'!S:S,'1. Staff costs'!C:C,B37,'1. Staff costs'!B:B,$G$25)+SUMIFS('2-3. Travel Costs&amp;Costs of Stay'!N:N,'2-3. Travel Costs&amp;Costs of Stay'!C:C,B37,'2-3. Travel Costs&amp;Costs of Stay'!B:B,$G$25)+SUMIFS('4. Equipment Costs'!H:H,'4. Equipment Costs'!C:C,B37,'4. Equipment Costs'!B:B,$G$25)+SUMIFS('5. Subcontracting Costs'!H:H,'5. Subcontracting Costs'!C:C,B37,'5. Subcontracting Costs'!B:B,$G$25)</f>
        <v>0</v>
      </c>
      <c r="H37" s="61">
        <f>SUMIF('B. Special Mob Strand - Student'!B:B,B37,'B. Special Mob Strand - Student'!N:N)+SUMIF('B. Special Mob Strand - Staff'!B:B,B37,'B. Special Mob Strand - Staff'!N:N)</f>
        <v>0</v>
      </c>
      <c r="I37" s="64">
        <f t="shared" si="4"/>
        <v>0</v>
      </c>
    </row>
    <row r="38" spans="2:9" x14ac:dyDescent="0.25">
      <c r="B38" s="15" t="s">
        <v>161</v>
      </c>
      <c r="C38" s="54">
        <f>SUMIFS('1. Staff costs'!S:S,'1. Staff costs'!C:C,B38,'1. Staff costs'!B:B,$C$25)+SUMIFS('2-3. Travel Costs&amp;Costs of Stay'!N:N,'2-3. Travel Costs&amp;Costs of Stay'!C:C,B38,'2-3. Travel Costs&amp;Costs of Stay'!B:B,$C$25)+SUMIFS('4. Equipment Costs'!H:H,'4. Equipment Costs'!C:C,B38,'4. Equipment Costs'!B:B,$C$25)+SUMIFS('5. Subcontracting Costs'!H:H,'5. Subcontracting Costs'!C:C,B38,'5. Subcontracting Costs'!B:B,$C$25)</f>
        <v>0</v>
      </c>
      <c r="D38" s="54">
        <f>SUMIFS('1. Staff costs'!S:S,'1. Staff costs'!C:C,B38,'1. Staff costs'!B:B,$D$25)+SUMIFS('2-3. Travel Costs&amp;Costs of Stay'!N:N,'2-3. Travel Costs&amp;Costs of Stay'!C:C,B38,'2-3. Travel Costs&amp;Costs of Stay'!B:B,$D$25)+SUMIFS('4. Equipment Costs'!H:H,'4. Equipment Costs'!C:C,B38,'4. Equipment Costs'!B:B,$D$25)+SUMIFS('5. Subcontracting Costs'!H:H,'5. Subcontracting Costs'!C:C,B38,'5. Subcontracting Costs'!B:B,$D$25)</f>
        <v>0</v>
      </c>
      <c r="E38" s="54">
        <f>SUMIFS('1. Staff costs'!S:S,'1. Staff costs'!C:C,B38,'1. Staff costs'!B:B,$E$25)+SUMIFS('2-3. Travel Costs&amp;Costs of Stay'!N:N,'2-3. Travel Costs&amp;Costs of Stay'!C:C,B38,'2-3. Travel Costs&amp;Costs of Stay'!B:B,$E$25)+SUMIFS('4. Equipment Costs'!H:H,'4. Equipment Costs'!C:C,B38,'4. Equipment Costs'!B:B,$E$25)+SUMIFS('5. Subcontracting Costs'!H:H,'5. Subcontracting Costs'!C:C,B38,'5. Subcontracting Costs'!B:B,$E$25)</f>
        <v>0</v>
      </c>
      <c r="F38" s="54">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54">
        <f>SUMIFS('1. Staff costs'!S:S,'1. Staff costs'!C:C,B38,'1. Staff costs'!B:B,$G$25)+SUMIFS('2-3. Travel Costs&amp;Costs of Stay'!N:N,'2-3. Travel Costs&amp;Costs of Stay'!C:C,B38,'2-3. Travel Costs&amp;Costs of Stay'!B:B,$G$25)+SUMIFS('4. Equipment Costs'!H:H,'4. Equipment Costs'!C:C,B38,'4. Equipment Costs'!B:B,$G$25)+SUMIFS('5. Subcontracting Costs'!H:H,'5. Subcontracting Costs'!C:C,B38,'5. Subcontracting Costs'!B:B,$G$25)</f>
        <v>0</v>
      </c>
      <c r="H38" s="61">
        <f>SUMIF('B. Special Mob Strand - Student'!B:B,B38,'B. Special Mob Strand - Student'!N:N)+SUMIF('B. Special Mob Strand - Staff'!B:B,B38,'B. Special Mob Strand - Staff'!N:N)</f>
        <v>0</v>
      </c>
      <c r="I38" s="64">
        <f t="shared" si="4"/>
        <v>0</v>
      </c>
    </row>
    <row r="39" spans="2:9" x14ac:dyDescent="0.25">
      <c r="B39" s="15" t="s">
        <v>21</v>
      </c>
      <c r="C39" s="54">
        <f>SUMIFS('1. Staff costs'!S:S,'1. Staff costs'!C:C,B39,'1. Staff costs'!B:B,$C$25)+SUMIFS('2-3. Travel Costs&amp;Costs of Stay'!N:N,'2-3. Travel Costs&amp;Costs of Stay'!C:C,B39,'2-3. Travel Costs&amp;Costs of Stay'!B:B,$C$25)+SUMIFS('4. Equipment Costs'!H:H,'4. Equipment Costs'!C:C,B39,'4. Equipment Costs'!B:B,$C$25)+SUMIFS('5. Subcontracting Costs'!H:H,'5. Subcontracting Costs'!C:C,B39,'5. Subcontracting Costs'!B:B,$C$25)</f>
        <v>0</v>
      </c>
      <c r="D39" s="54">
        <f>SUMIFS('1. Staff costs'!S:S,'1. Staff costs'!C:C,B39,'1. Staff costs'!B:B,$D$25)+SUMIFS('2-3. Travel Costs&amp;Costs of Stay'!N:N,'2-3. Travel Costs&amp;Costs of Stay'!C:C,B39,'2-3. Travel Costs&amp;Costs of Stay'!B:B,$D$25)+SUMIFS('4. Equipment Costs'!H:H,'4. Equipment Costs'!C:C,B39,'4. Equipment Costs'!B:B,$D$25)+SUMIFS('5. Subcontracting Costs'!H:H,'5. Subcontracting Costs'!C:C,B39,'5. Subcontracting Costs'!B:B,$D$25)</f>
        <v>0</v>
      </c>
      <c r="E39" s="54">
        <f>SUMIFS('1. Staff costs'!S:S,'1. Staff costs'!C:C,B39,'1. Staff costs'!B:B,$E$25)+SUMIFS('2-3. Travel Costs&amp;Costs of Stay'!N:N,'2-3. Travel Costs&amp;Costs of Stay'!C:C,B39,'2-3. Travel Costs&amp;Costs of Stay'!B:B,$E$25)+SUMIFS('4. Equipment Costs'!H:H,'4. Equipment Costs'!C:C,B39,'4. Equipment Costs'!B:B,$E$25)+SUMIFS('5. Subcontracting Costs'!H:H,'5. Subcontracting Costs'!C:C,B39,'5. Subcontracting Costs'!B:B,$E$25)</f>
        <v>0</v>
      </c>
      <c r="F39" s="54">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54">
        <f>SUMIFS('1. Staff costs'!S:S,'1. Staff costs'!C:C,B39,'1. Staff costs'!B:B,$G$25)+SUMIFS('2-3. Travel Costs&amp;Costs of Stay'!N:N,'2-3. Travel Costs&amp;Costs of Stay'!C:C,B39,'2-3. Travel Costs&amp;Costs of Stay'!B:B,$G$25)+SUMIFS('4. Equipment Costs'!H:H,'4. Equipment Costs'!C:C,B39,'4. Equipment Costs'!B:B,$G$25)+SUMIFS('5. Subcontracting Costs'!H:H,'5. Subcontracting Costs'!C:C,B39,'5. Subcontracting Costs'!B:B,$G$25)</f>
        <v>0</v>
      </c>
      <c r="H39" s="61">
        <f>SUMIF('B. Special Mob Strand - Student'!B:B,B39,'B. Special Mob Strand - Student'!N:N)+SUMIF('B. Special Mob Strand - Staff'!B:B,B39,'B. Special Mob Strand - Staff'!N:N)</f>
        <v>0</v>
      </c>
      <c r="I39" s="64">
        <f t="shared" si="4"/>
        <v>0</v>
      </c>
    </row>
    <row r="40" spans="2:9" x14ac:dyDescent="0.25">
      <c r="B40" s="15" t="s">
        <v>22</v>
      </c>
      <c r="C40" s="54">
        <f>SUMIFS('1. Staff costs'!S:S,'1. Staff costs'!C:C,B40,'1. Staff costs'!B:B,$C$25)+SUMIFS('2-3. Travel Costs&amp;Costs of Stay'!N:N,'2-3. Travel Costs&amp;Costs of Stay'!C:C,B40,'2-3. Travel Costs&amp;Costs of Stay'!B:B,$C$25)+SUMIFS('4. Equipment Costs'!H:H,'4. Equipment Costs'!C:C,B40,'4. Equipment Costs'!B:B,$C$25)+SUMIFS('5. Subcontracting Costs'!H:H,'5. Subcontracting Costs'!C:C,B40,'5. Subcontracting Costs'!B:B,$C$25)</f>
        <v>0</v>
      </c>
      <c r="D40" s="54">
        <f>SUMIFS('1. Staff costs'!S:S,'1. Staff costs'!C:C,B40,'1. Staff costs'!B:B,$D$25)+SUMIFS('2-3. Travel Costs&amp;Costs of Stay'!N:N,'2-3. Travel Costs&amp;Costs of Stay'!C:C,B40,'2-3. Travel Costs&amp;Costs of Stay'!B:B,$D$25)+SUMIFS('4. Equipment Costs'!H:H,'4. Equipment Costs'!C:C,B40,'4. Equipment Costs'!B:B,$D$25)+SUMIFS('5. Subcontracting Costs'!H:H,'5. Subcontracting Costs'!C:C,B40,'5. Subcontracting Costs'!B:B,$D$25)</f>
        <v>0</v>
      </c>
      <c r="E40" s="54">
        <f>SUMIFS('1. Staff costs'!S:S,'1. Staff costs'!C:C,B40,'1. Staff costs'!B:B,$E$25)+SUMIFS('2-3. Travel Costs&amp;Costs of Stay'!N:N,'2-3. Travel Costs&amp;Costs of Stay'!C:C,B40,'2-3. Travel Costs&amp;Costs of Stay'!B:B,$E$25)+SUMIFS('4. Equipment Costs'!H:H,'4. Equipment Costs'!C:C,B40,'4. Equipment Costs'!B:B,$E$25)+SUMIFS('5. Subcontracting Costs'!H:H,'5. Subcontracting Costs'!C:C,B40,'5. Subcontracting Costs'!B:B,$E$25)</f>
        <v>0</v>
      </c>
      <c r="F40" s="54">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54">
        <f>SUMIFS('1. Staff costs'!S:S,'1. Staff costs'!C:C,B40,'1. Staff costs'!B:B,$G$25)+SUMIFS('2-3. Travel Costs&amp;Costs of Stay'!N:N,'2-3. Travel Costs&amp;Costs of Stay'!C:C,B40,'2-3. Travel Costs&amp;Costs of Stay'!B:B,$G$25)+SUMIFS('4. Equipment Costs'!H:H,'4. Equipment Costs'!C:C,B40,'4. Equipment Costs'!B:B,$G$25)+SUMIFS('5. Subcontracting Costs'!H:H,'5. Subcontracting Costs'!C:C,B40,'5. Subcontracting Costs'!B:B,$G$25)</f>
        <v>0</v>
      </c>
      <c r="H40" s="61">
        <f>SUMIF('B. Special Mob Strand - Student'!B:B,B40,'B. Special Mob Strand - Student'!N:N)+SUMIF('B. Special Mob Strand - Staff'!B:B,B40,'B. Special Mob Strand - Staff'!N:N)</f>
        <v>0</v>
      </c>
      <c r="I40" s="64">
        <f t="shared" si="4"/>
        <v>0</v>
      </c>
    </row>
    <row r="41" spans="2:9" x14ac:dyDescent="0.25">
      <c r="B41" s="15" t="s">
        <v>23</v>
      </c>
      <c r="C41" s="54">
        <f>SUMIFS('1. Staff costs'!S:S,'1. Staff costs'!C:C,B41,'1. Staff costs'!B:B,$C$25)+SUMIFS('2-3. Travel Costs&amp;Costs of Stay'!N:N,'2-3. Travel Costs&amp;Costs of Stay'!C:C,B41,'2-3. Travel Costs&amp;Costs of Stay'!B:B,$C$25)+SUMIFS('4. Equipment Costs'!H:H,'4. Equipment Costs'!C:C,B41,'4. Equipment Costs'!B:B,$C$25)+SUMIFS('5. Subcontracting Costs'!H:H,'5. Subcontracting Costs'!C:C,B41,'5. Subcontracting Costs'!B:B,$C$25)</f>
        <v>0</v>
      </c>
      <c r="D41" s="54">
        <f>SUMIFS('1. Staff costs'!S:S,'1. Staff costs'!C:C,B41,'1. Staff costs'!B:B,$D$25)+SUMIFS('2-3. Travel Costs&amp;Costs of Stay'!N:N,'2-3. Travel Costs&amp;Costs of Stay'!C:C,B41,'2-3. Travel Costs&amp;Costs of Stay'!B:B,$D$25)+SUMIFS('4. Equipment Costs'!H:H,'4. Equipment Costs'!C:C,B41,'4. Equipment Costs'!B:B,$D$25)+SUMIFS('5. Subcontracting Costs'!H:H,'5. Subcontracting Costs'!C:C,B41,'5. Subcontracting Costs'!B:B,$D$25)</f>
        <v>0</v>
      </c>
      <c r="E41" s="54">
        <f>SUMIFS('1. Staff costs'!S:S,'1. Staff costs'!C:C,B41,'1. Staff costs'!B:B,$E$25)+SUMIFS('2-3. Travel Costs&amp;Costs of Stay'!N:N,'2-3. Travel Costs&amp;Costs of Stay'!C:C,B41,'2-3. Travel Costs&amp;Costs of Stay'!B:B,$E$25)+SUMIFS('4. Equipment Costs'!H:H,'4. Equipment Costs'!C:C,B41,'4. Equipment Costs'!B:B,$E$25)+SUMIFS('5. Subcontracting Costs'!H:H,'5. Subcontracting Costs'!C:C,B41,'5. Subcontracting Costs'!B:B,$E$25)</f>
        <v>0</v>
      </c>
      <c r="F41" s="54">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54">
        <f>SUMIFS('1. Staff costs'!S:S,'1. Staff costs'!C:C,B41,'1. Staff costs'!B:B,$G$25)+SUMIFS('2-3. Travel Costs&amp;Costs of Stay'!N:N,'2-3. Travel Costs&amp;Costs of Stay'!C:C,B41,'2-3. Travel Costs&amp;Costs of Stay'!B:B,$G$25)+SUMIFS('4. Equipment Costs'!H:H,'4. Equipment Costs'!C:C,B41,'4. Equipment Costs'!B:B,$G$25)+SUMIFS('5. Subcontracting Costs'!H:H,'5. Subcontracting Costs'!C:C,B41,'5. Subcontracting Costs'!B:B,$G$25)</f>
        <v>0</v>
      </c>
      <c r="H41" s="61">
        <f>SUMIF('B. Special Mob Strand - Student'!B:B,B41,'B. Special Mob Strand - Student'!N:N)+SUMIF('B. Special Mob Strand - Staff'!B:B,B41,'B. Special Mob Strand - Staff'!N:N)</f>
        <v>0</v>
      </c>
      <c r="I41" s="64">
        <f t="shared" si="4"/>
        <v>0</v>
      </c>
    </row>
    <row r="42" spans="2:9" x14ac:dyDescent="0.25">
      <c r="B42" s="15" t="s">
        <v>24</v>
      </c>
      <c r="C42" s="54">
        <f>SUMIFS('1. Staff costs'!S:S,'1. Staff costs'!C:C,B42,'1. Staff costs'!B:B,$C$25)+SUMIFS('2-3. Travel Costs&amp;Costs of Stay'!N:N,'2-3. Travel Costs&amp;Costs of Stay'!C:C,B42,'2-3. Travel Costs&amp;Costs of Stay'!B:B,$C$25)+SUMIFS('4. Equipment Costs'!H:H,'4. Equipment Costs'!C:C,B42,'4. Equipment Costs'!B:B,$C$25)+SUMIFS('5. Subcontracting Costs'!H:H,'5. Subcontracting Costs'!C:C,B42,'5. Subcontracting Costs'!B:B,$C$25)</f>
        <v>0</v>
      </c>
      <c r="D42" s="54">
        <f>SUMIFS('1. Staff costs'!S:S,'1. Staff costs'!C:C,B42,'1. Staff costs'!B:B,$D$25)+SUMIFS('2-3. Travel Costs&amp;Costs of Stay'!N:N,'2-3. Travel Costs&amp;Costs of Stay'!C:C,B42,'2-3. Travel Costs&amp;Costs of Stay'!B:B,$D$25)+SUMIFS('4. Equipment Costs'!H:H,'4. Equipment Costs'!C:C,B42,'4. Equipment Costs'!B:B,$D$25)+SUMIFS('5. Subcontracting Costs'!H:H,'5. Subcontracting Costs'!C:C,B42,'5. Subcontracting Costs'!B:B,$D$25)</f>
        <v>0</v>
      </c>
      <c r="E42" s="54">
        <f>SUMIFS('1. Staff costs'!S:S,'1. Staff costs'!C:C,B42,'1. Staff costs'!B:B,$E$25)+SUMIFS('2-3. Travel Costs&amp;Costs of Stay'!N:N,'2-3. Travel Costs&amp;Costs of Stay'!C:C,B42,'2-3. Travel Costs&amp;Costs of Stay'!B:B,$E$25)+SUMIFS('4. Equipment Costs'!H:H,'4. Equipment Costs'!C:C,B42,'4. Equipment Costs'!B:B,$E$25)+SUMIFS('5. Subcontracting Costs'!H:H,'5. Subcontracting Costs'!C:C,B42,'5. Subcontracting Costs'!B:B,$E$25)</f>
        <v>0</v>
      </c>
      <c r="F42" s="54">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54">
        <f>SUMIFS('1. Staff costs'!S:S,'1. Staff costs'!C:C,B42,'1. Staff costs'!B:B,$G$25)+SUMIFS('2-3. Travel Costs&amp;Costs of Stay'!N:N,'2-3. Travel Costs&amp;Costs of Stay'!C:C,B42,'2-3. Travel Costs&amp;Costs of Stay'!B:B,$G$25)+SUMIFS('4. Equipment Costs'!H:H,'4. Equipment Costs'!C:C,B42,'4. Equipment Costs'!B:B,$G$25)+SUMIFS('5. Subcontracting Costs'!H:H,'5. Subcontracting Costs'!C:C,B42,'5. Subcontracting Costs'!B:B,$G$25)</f>
        <v>0</v>
      </c>
      <c r="H42" s="61">
        <f>SUMIF('B. Special Mob Strand - Student'!B:B,B42,'B. Special Mob Strand - Student'!N:N)+SUMIF('B. Special Mob Strand - Staff'!B:B,B42,'B. Special Mob Strand - Staff'!N:N)</f>
        <v>0</v>
      </c>
      <c r="I42" s="64">
        <f t="shared" si="4"/>
        <v>0</v>
      </c>
    </row>
    <row r="43" spans="2:9" x14ac:dyDescent="0.25">
      <c r="B43" s="15" t="s">
        <v>25</v>
      </c>
      <c r="C43" s="54">
        <f>SUMIFS('1. Staff costs'!S:S,'1. Staff costs'!C:C,B43,'1. Staff costs'!B:B,$C$25)+SUMIFS('2-3. Travel Costs&amp;Costs of Stay'!N:N,'2-3. Travel Costs&amp;Costs of Stay'!C:C,B43,'2-3. Travel Costs&amp;Costs of Stay'!B:B,$C$25)+SUMIFS('4. Equipment Costs'!H:H,'4. Equipment Costs'!C:C,B43,'4. Equipment Costs'!B:B,$C$25)+SUMIFS('5. Subcontracting Costs'!H:H,'5. Subcontracting Costs'!C:C,B43,'5. Subcontracting Costs'!B:B,$C$25)</f>
        <v>0</v>
      </c>
      <c r="D43" s="54">
        <f>SUMIFS('1. Staff costs'!S:S,'1. Staff costs'!C:C,B43,'1. Staff costs'!B:B,$D$25)+SUMIFS('2-3. Travel Costs&amp;Costs of Stay'!N:N,'2-3. Travel Costs&amp;Costs of Stay'!C:C,B43,'2-3. Travel Costs&amp;Costs of Stay'!B:B,$D$25)+SUMIFS('4. Equipment Costs'!H:H,'4. Equipment Costs'!C:C,B43,'4. Equipment Costs'!B:B,$D$25)+SUMIFS('5. Subcontracting Costs'!H:H,'5. Subcontracting Costs'!C:C,B43,'5. Subcontracting Costs'!B:B,$D$25)</f>
        <v>0</v>
      </c>
      <c r="E43" s="54">
        <f>SUMIFS('1. Staff costs'!S:S,'1. Staff costs'!C:C,B43,'1. Staff costs'!B:B,$E$25)+SUMIFS('2-3. Travel Costs&amp;Costs of Stay'!N:N,'2-3. Travel Costs&amp;Costs of Stay'!C:C,B43,'2-3. Travel Costs&amp;Costs of Stay'!B:B,$E$25)+SUMIFS('4. Equipment Costs'!H:H,'4. Equipment Costs'!C:C,B43,'4. Equipment Costs'!B:B,$E$25)+SUMIFS('5. Subcontracting Costs'!H:H,'5. Subcontracting Costs'!C:C,B43,'5. Subcontracting Costs'!B:B,$E$25)</f>
        <v>0</v>
      </c>
      <c r="F43" s="54">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54">
        <f>SUMIFS('1. Staff costs'!S:S,'1. Staff costs'!C:C,B43,'1. Staff costs'!B:B,$G$25)+SUMIFS('2-3. Travel Costs&amp;Costs of Stay'!N:N,'2-3. Travel Costs&amp;Costs of Stay'!C:C,B43,'2-3. Travel Costs&amp;Costs of Stay'!B:B,$G$25)+SUMIFS('4. Equipment Costs'!H:H,'4. Equipment Costs'!C:C,B43,'4. Equipment Costs'!B:B,$G$25)+SUMIFS('5. Subcontracting Costs'!H:H,'5. Subcontracting Costs'!C:C,B43,'5. Subcontracting Costs'!B:B,$G$25)</f>
        <v>0</v>
      </c>
      <c r="H43" s="61">
        <f>SUMIF('B. Special Mob Strand - Student'!B:B,B43,'B. Special Mob Strand - Student'!N:N)+SUMIF('B. Special Mob Strand - Staff'!B:B,B43,'B. Special Mob Strand - Staff'!N:N)</f>
        <v>0</v>
      </c>
      <c r="I43" s="64">
        <f t="shared" si="4"/>
        <v>0</v>
      </c>
    </row>
    <row r="44" spans="2:9" x14ac:dyDescent="0.25">
      <c r="B44" s="15" t="s">
        <v>26</v>
      </c>
      <c r="C44" s="54">
        <f>SUMIFS('1. Staff costs'!S:S,'1. Staff costs'!C:C,B44,'1. Staff costs'!B:B,$C$25)+SUMIFS('2-3. Travel Costs&amp;Costs of Stay'!N:N,'2-3. Travel Costs&amp;Costs of Stay'!C:C,B44,'2-3. Travel Costs&amp;Costs of Stay'!B:B,$C$25)+SUMIFS('4. Equipment Costs'!H:H,'4. Equipment Costs'!C:C,B44,'4. Equipment Costs'!B:B,$C$25)+SUMIFS('5. Subcontracting Costs'!H:H,'5. Subcontracting Costs'!C:C,B44,'5. Subcontracting Costs'!B:B,$C$25)</f>
        <v>0</v>
      </c>
      <c r="D44" s="54">
        <f>SUMIFS('1. Staff costs'!S:S,'1. Staff costs'!C:C,B44,'1. Staff costs'!B:B,$D$25)+SUMIFS('2-3. Travel Costs&amp;Costs of Stay'!N:N,'2-3. Travel Costs&amp;Costs of Stay'!C:C,B44,'2-3. Travel Costs&amp;Costs of Stay'!B:B,$D$25)+SUMIFS('4. Equipment Costs'!H:H,'4. Equipment Costs'!C:C,B44,'4. Equipment Costs'!B:B,$D$25)+SUMIFS('5. Subcontracting Costs'!H:H,'5. Subcontracting Costs'!C:C,B44,'5. Subcontracting Costs'!B:B,$D$25)</f>
        <v>0</v>
      </c>
      <c r="E44" s="54">
        <f>SUMIFS('1. Staff costs'!S:S,'1. Staff costs'!C:C,B44,'1. Staff costs'!B:B,$E$25)+SUMIFS('2-3. Travel Costs&amp;Costs of Stay'!N:N,'2-3. Travel Costs&amp;Costs of Stay'!C:C,B44,'2-3. Travel Costs&amp;Costs of Stay'!B:B,$E$25)+SUMIFS('4. Equipment Costs'!H:H,'4. Equipment Costs'!C:C,B44,'4. Equipment Costs'!B:B,$E$25)+SUMIFS('5. Subcontracting Costs'!H:H,'5. Subcontracting Costs'!C:C,B44,'5. Subcontracting Costs'!B:B,$E$25)</f>
        <v>0</v>
      </c>
      <c r="F44" s="54">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54">
        <f>SUMIFS('1. Staff costs'!S:S,'1. Staff costs'!C:C,B44,'1. Staff costs'!B:B,$G$25)+SUMIFS('2-3. Travel Costs&amp;Costs of Stay'!N:N,'2-3. Travel Costs&amp;Costs of Stay'!C:C,B44,'2-3. Travel Costs&amp;Costs of Stay'!B:B,$G$25)+SUMIFS('4. Equipment Costs'!H:H,'4. Equipment Costs'!C:C,B44,'4. Equipment Costs'!B:B,$G$25)+SUMIFS('5. Subcontracting Costs'!H:H,'5. Subcontracting Costs'!C:C,B44,'5. Subcontracting Costs'!B:B,$G$25)</f>
        <v>0</v>
      </c>
      <c r="H44" s="61">
        <f>SUMIF('B. Special Mob Strand - Student'!B:B,B44,'B. Special Mob Strand - Student'!N:N)+SUMIF('B. Special Mob Strand - Staff'!B:B,B44,'B. Special Mob Strand - Staff'!N:N)</f>
        <v>0</v>
      </c>
      <c r="I44" s="64">
        <f t="shared" si="4"/>
        <v>0</v>
      </c>
    </row>
    <row r="45" spans="2:9" x14ac:dyDescent="0.25">
      <c r="B45" s="15" t="s">
        <v>27</v>
      </c>
      <c r="C45" s="54">
        <f>SUMIFS('1. Staff costs'!S:S,'1. Staff costs'!C:C,B45,'1. Staff costs'!B:B,$C$25)+SUMIFS('2-3. Travel Costs&amp;Costs of Stay'!N:N,'2-3. Travel Costs&amp;Costs of Stay'!C:C,B45,'2-3. Travel Costs&amp;Costs of Stay'!B:B,$C$25)+SUMIFS('4. Equipment Costs'!H:H,'4. Equipment Costs'!C:C,B45,'4. Equipment Costs'!B:B,$C$25)+SUMIFS('5. Subcontracting Costs'!H:H,'5. Subcontracting Costs'!C:C,B45,'5. Subcontracting Costs'!B:B,$C$25)</f>
        <v>0</v>
      </c>
      <c r="D45" s="54">
        <f>SUMIFS('1. Staff costs'!S:S,'1. Staff costs'!C:C,B45,'1. Staff costs'!B:B,$D$25)+SUMIFS('2-3. Travel Costs&amp;Costs of Stay'!N:N,'2-3. Travel Costs&amp;Costs of Stay'!C:C,B45,'2-3. Travel Costs&amp;Costs of Stay'!B:B,$D$25)+SUMIFS('4. Equipment Costs'!H:H,'4. Equipment Costs'!C:C,B45,'4. Equipment Costs'!B:B,$D$25)+SUMIFS('5. Subcontracting Costs'!H:H,'5. Subcontracting Costs'!C:C,B45,'5. Subcontracting Costs'!B:B,$D$25)</f>
        <v>0</v>
      </c>
      <c r="E45" s="54">
        <f>SUMIFS('1. Staff costs'!S:S,'1. Staff costs'!C:C,B45,'1. Staff costs'!B:B,$E$25)+SUMIFS('2-3. Travel Costs&amp;Costs of Stay'!N:N,'2-3. Travel Costs&amp;Costs of Stay'!C:C,B45,'2-3. Travel Costs&amp;Costs of Stay'!B:B,$E$25)+SUMIFS('4. Equipment Costs'!H:H,'4. Equipment Costs'!C:C,B45,'4. Equipment Costs'!B:B,$E$25)+SUMIFS('5. Subcontracting Costs'!H:H,'5. Subcontracting Costs'!C:C,B45,'5. Subcontracting Costs'!B:B,$E$25)</f>
        <v>0</v>
      </c>
      <c r="F45" s="54">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54">
        <f>SUMIFS('1. Staff costs'!S:S,'1. Staff costs'!C:C,B45,'1. Staff costs'!B:B,$G$25)+SUMIFS('2-3. Travel Costs&amp;Costs of Stay'!N:N,'2-3. Travel Costs&amp;Costs of Stay'!C:C,B45,'2-3. Travel Costs&amp;Costs of Stay'!B:B,$G$25)+SUMIFS('4. Equipment Costs'!H:H,'4. Equipment Costs'!C:C,B45,'4. Equipment Costs'!B:B,$G$25)+SUMIFS('5. Subcontracting Costs'!H:H,'5. Subcontracting Costs'!C:C,B45,'5. Subcontracting Costs'!B:B,$G$25)</f>
        <v>0</v>
      </c>
      <c r="H45" s="61">
        <f>SUMIF('B. Special Mob Strand - Student'!B:B,B45,'B. Special Mob Strand - Student'!N:N)+SUMIF('B. Special Mob Strand - Staff'!B:B,B45,'B. Special Mob Strand - Staff'!N:N)</f>
        <v>0</v>
      </c>
      <c r="I45" s="64">
        <f t="shared" si="4"/>
        <v>0</v>
      </c>
    </row>
    <row r="46" spans="2:9" x14ac:dyDescent="0.25">
      <c r="B46" s="15" t="s">
        <v>112</v>
      </c>
      <c r="C46" s="54">
        <f>SUMIFS('1. Staff costs'!S:S,'1. Staff costs'!C:C,B46,'1. Staff costs'!B:B,$C$25)+SUMIFS('2-3. Travel Costs&amp;Costs of Stay'!N:N,'2-3. Travel Costs&amp;Costs of Stay'!C:C,B46,'2-3. Travel Costs&amp;Costs of Stay'!B:B,$C$25)+SUMIFS('4. Equipment Costs'!H:H,'4. Equipment Costs'!C:C,B46,'4. Equipment Costs'!B:B,$C$25)+SUMIFS('5. Subcontracting Costs'!H:H,'5. Subcontracting Costs'!C:C,B46,'5. Subcontracting Costs'!B:B,$C$25)</f>
        <v>0</v>
      </c>
      <c r="D46" s="54">
        <f>SUMIFS('1. Staff costs'!S:S,'1. Staff costs'!C:C,B46,'1. Staff costs'!B:B,$D$25)+SUMIFS('2-3. Travel Costs&amp;Costs of Stay'!N:N,'2-3. Travel Costs&amp;Costs of Stay'!C:C,B46,'2-3. Travel Costs&amp;Costs of Stay'!B:B,$D$25)+SUMIFS('4. Equipment Costs'!H:H,'4. Equipment Costs'!C:C,B46,'4. Equipment Costs'!B:B,$D$25)+SUMIFS('5. Subcontracting Costs'!H:H,'5. Subcontracting Costs'!C:C,B46,'5. Subcontracting Costs'!B:B,$D$25)</f>
        <v>0</v>
      </c>
      <c r="E46" s="54">
        <f>SUMIFS('1. Staff costs'!S:S,'1. Staff costs'!C:C,B46,'1. Staff costs'!B:B,$E$25)+SUMIFS('2-3. Travel Costs&amp;Costs of Stay'!N:N,'2-3. Travel Costs&amp;Costs of Stay'!C:C,B46,'2-3. Travel Costs&amp;Costs of Stay'!B:B,$E$25)+SUMIFS('4. Equipment Costs'!H:H,'4. Equipment Costs'!C:C,B46,'4. Equipment Costs'!B:B,$E$25)+SUMIFS('5. Subcontracting Costs'!H:H,'5. Subcontracting Costs'!C:C,B46,'5. Subcontracting Costs'!B:B,$E$25)</f>
        <v>0</v>
      </c>
      <c r="F46" s="54">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54">
        <f>SUMIFS('1. Staff costs'!S:S,'1. Staff costs'!C:C,B46,'1. Staff costs'!B:B,$G$25)+SUMIFS('2-3. Travel Costs&amp;Costs of Stay'!N:N,'2-3. Travel Costs&amp;Costs of Stay'!C:C,B46,'2-3. Travel Costs&amp;Costs of Stay'!B:B,$G$25)+SUMIFS('4. Equipment Costs'!H:H,'4. Equipment Costs'!C:C,B46,'4. Equipment Costs'!B:B,$G$25)+SUMIFS('5. Subcontracting Costs'!H:H,'5. Subcontracting Costs'!C:C,B46,'5. Subcontracting Costs'!B:B,$G$25)</f>
        <v>0</v>
      </c>
      <c r="H46" s="61">
        <f>SUMIF('B. Special Mob Strand - Student'!B:B,B46,'B. Special Mob Strand - Student'!N:N)+SUMIF('B. Special Mob Strand - Staff'!B:B,B46,'B. Special Mob Strand - Staff'!N:N)</f>
        <v>0</v>
      </c>
      <c r="I46" s="64">
        <f t="shared" si="4"/>
        <v>0</v>
      </c>
    </row>
    <row r="47" spans="2:9" x14ac:dyDescent="0.25">
      <c r="B47" s="15" t="s">
        <v>113</v>
      </c>
      <c r="C47" s="54">
        <f>SUMIFS('1. Staff costs'!S:S,'1. Staff costs'!C:C,B47,'1. Staff costs'!B:B,$C$25)+SUMIFS('2-3. Travel Costs&amp;Costs of Stay'!N:N,'2-3. Travel Costs&amp;Costs of Stay'!C:C,B47,'2-3. Travel Costs&amp;Costs of Stay'!B:B,$C$25)+SUMIFS('4. Equipment Costs'!H:H,'4. Equipment Costs'!C:C,B47,'4. Equipment Costs'!B:B,$C$25)+SUMIFS('5. Subcontracting Costs'!H:H,'5. Subcontracting Costs'!C:C,B47,'5. Subcontracting Costs'!B:B,$C$25)</f>
        <v>0</v>
      </c>
      <c r="D47" s="54">
        <f>SUMIFS('1. Staff costs'!S:S,'1. Staff costs'!C:C,B47,'1. Staff costs'!B:B,$D$25)+SUMIFS('2-3. Travel Costs&amp;Costs of Stay'!N:N,'2-3. Travel Costs&amp;Costs of Stay'!C:C,B47,'2-3. Travel Costs&amp;Costs of Stay'!B:B,$D$25)+SUMIFS('4. Equipment Costs'!H:H,'4. Equipment Costs'!C:C,B47,'4. Equipment Costs'!B:B,$D$25)+SUMIFS('5. Subcontracting Costs'!H:H,'5. Subcontracting Costs'!C:C,B47,'5. Subcontracting Costs'!B:B,$D$25)</f>
        <v>0</v>
      </c>
      <c r="E47" s="54">
        <f>SUMIFS('1. Staff costs'!S:S,'1. Staff costs'!C:C,B47,'1. Staff costs'!B:B,$E$25)+SUMIFS('2-3. Travel Costs&amp;Costs of Stay'!N:N,'2-3. Travel Costs&amp;Costs of Stay'!C:C,B47,'2-3. Travel Costs&amp;Costs of Stay'!B:B,$E$25)+SUMIFS('4. Equipment Costs'!H:H,'4. Equipment Costs'!C:C,B47,'4. Equipment Costs'!B:B,$E$25)+SUMIFS('5. Subcontracting Costs'!H:H,'5. Subcontracting Costs'!C:C,B47,'5. Subcontracting Costs'!B:B,$E$25)</f>
        <v>0</v>
      </c>
      <c r="F47" s="54">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54">
        <f>SUMIFS('1. Staff costs'!S:S,'1. Staff costs'!C:C,B47,'1. Staff costs'!B:B,$G$25)+SUMIFS('2-3. Travel Costs&amp;Costs of Stay'!N:N,'2-3. Travel Costs&amp;Costs of Stay'!C:C,B47,'2-3. Travel Costs&amp;Costs of Stay'!B:B,$G$25)+SUMIFS('4. Equipment Costs'!H:H,'4. Equipment Costs'!C:C,B47,'4. Equipment Costs'!B:B,$G$25)+SUMIFS('5. Subcontracting Costs'!H:H,'5. Subcontracting Costs'!C:C,B47,'5. Subcontracting Costs'!B:B,$G$25)</f>
        <v>0</v>
      </c>
      <c r="H47" s="61">
        <f>SUMIF('B. Special Mob Strand - Student'!B:B,B47,'B. Special Mob Strand - Student'!N:N)+SUMIF('B. Special Mob Strand - Staff'!B:B,B47,'B. Special Mob Strand - Staff'!N:N)</f>
        <v>0</v>
      </c>
      <c r="I47" s="64">
        <f t="shared" si="4"/>
        <v>0</v>
      </c>
    </row>
    <row r="48" spans="2:9" x14ac:dyDescent="0.25">
      <c r="B48" s="15" t="s">
        <v>114</v>
      </c>
      <c r="C48" s="54">
        <f>SUMIFS('1. Staff costs'!S:S,'1. Staff costs'!C:C,B48,'1. Staff costs'!B:B,$C$25)+SUMIFS('2-3. Travel Costs&amp;Costs of Stay'!N:N,'2-3. Travel Costs&amp;Costs of Stay'!C:C,B48,'2-3. Travel Costs&amp;Costs of Stay'!B:B,$C$25)+SUMIFS('4. Equipment Costs'!H:H,'4. Equipment Costs'!C:C,B48,'4. Equipment Costs'!B:B,$C$25)+SUMIFS('5. Subcontracting Costs'!H:H,'5. Subcontracting Costs'!C:C,B48,'5. Subcontracting Costs'!B:B,$C$25)</f>
        <v>0</v>
      </c>
      <c r="D48" s="54">
        <f>SUMIFS('1. Staff costs'!S:S,'1. Staff costs'!C:C,B48,'1. Staff costs'!B:B,$D$25)+SUMIFS('2-3. Travel Costs&amp;Costs of Stay'!N:N,'2-3. Travel Costs&amp;Costs of Stay'!C:C,B48,'2-3. Travel Costs&amp;Costs of Stay'!B:B,$D$25)+SUMIFS('4. Equipment Costs'!H:H,'4. Equipment Costs'!C:C,B48,'4. Equipment Costs'!B:B,$D$25)+SUMIFS('5. Subcontracting Costs'!H:H,'5. Subcontracting Costs'!C:C,B48,'5. Subcontracting Costs'!B:B,$D$25)</f>
        <v>0</v>
      </c>
      <c r="E48" s="54">
        <f>SUMIFS('1. Staff costs'!S:S,'1. Staff costs'!C:C,B48,'1. Staff costs'!B:B,$E$25)+SUMIFS('2-3. Travel Costs&amp;Costs of Stay'!N:N,'2-3. Travel Costs&amp;Costs of Stay'!C:C,B48,'2-3. Travel Costs&amp;Costs of Stay'!B:B,$E$25)+SUMIFS('4. Equipment Costs'!H:H,'4. Equipment Costs'!C:C,B48,'4. Equipment Costs'!B:B,$E$25)+SUMIFS('5. Subcontracting Costs'!H:H,'5. Subcontracting Costs'!C:C,B48,'5. Subcontracting Costs'!B:B,$E$25)</f>
        <v>0</v>
      </c>
      <c r="F48" s="54">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54">
        <f>SUMIFS('1. Staff costs'!S:S,'1. Staff costs'!C:C,B48,'1. Staff costs'!B:B,$G$25)+SUMIFS('2-3. Travel Costs&amp;Costs of Stay'!N:N,'2-3. Travel Costs&amp;Costs of Stay'!C:C,B48,'2-3. Travel Costs&amp;Costs of Stay'!B:B,$G$25)+SUMIFS('4. Equipment Costs'!H:H,'4. Equipment Costs'!C:C,B48,'4. Equipment Costs'!B:B,$G$25)+SUMIFS('5. Subcontracting Costs'!H:H,'5. Subcontracting Costs'!C:C,B48,'5. Subcontracting Costs'!B:B,$G$25)</f>
        <v>0</v>
      </c>
      <c r="H48" s="61">
        <f>SUMIF('B. Special Mob Strand - Student'!B:B,B48,'B. Special Mob Strand - Student'!N:N)+SUMIF('B. Special Mob Strand - Staff'!B:B,B48,'B. Special Mob Strand - Staff'!N:N)</f>
        <v>0</v>
      </c>
      <c r="I48" s="64">
        <f t="shared" si="4"/>
        <v>0</v>
      </c>
    </row>
    <row r="49" spans="2:9" x14ac:dyDescent="0.25">
      <c r="B49" s="15" t="s">
        <v>115</v>
      </c>
      <c r="C49" s="54">
        <f>SUMIFS('1. Staff costs'!S:S,'1. Staff costs'!C:C,B49,'1. Staff costs'!B:B,$C$25)+SUMIFS('2-3. Travel Costs&amp;Costs of Stay'!N:N,'2-3. Travel Costs&amp;Costs of Stay'!C:C,B49,'2-3. Travel Costs&amp;Costs of Stay'!B:B,$C$25)+SUMIFS('4. Equipment Costs'!H:H,'4. Equipment Costs'!C:C,B49,'4. Equipment Costs'!B:B,$C$25)+SUMIFS('5. Subcontracting Costs'!H:H,'5. Subcontracting Costs'!C:C,B49,'5. Subcontracting Costs'!B:B,$C$25)</f>
        <v>0</v>
      </c>
      <c r="D49" s="54">
        <f>SUMIFS('1. Staff costs'!S:S,'1. Staff costs'!C:C,B49,'1. Staff costs'!B:B,$D$25)+SUMIFS('2-3. Travel Costs&amp;Costs of Stay'!N:N,'2-3. Travel Costs&amp;Costs of Stay'!C:C,B49,'2-3. Travel Costs&amp;Costs of Stay'!B:B,$D$25)+SUMIFS('4. Equipment Costs'!H:H,'4. Equipment Costs'!C:C,B49,'4. Equipment Costs'!B:B,$D$25)+SUMIFS('5. Subcontracting Costs'!H:H,'5. Subcontracting Costs'!C:C,B49,'5. Subcontracting Costs'!B:B,$D$25)</f>
        <v>0</v>
      </c>
      <c r="E49" s="54">
        <f>SUMIFS('1. Staff costs'!S:S,'1. Staff costs'!C:C,B49,'1. Staff costs'!B:B,$E$25)+SUMIFS('2-3. Travel Costs&amp;Costs of Stay'!N:N,'2-3. Travel Costs&amp;Costs of Stay'!C:C,B49,'2-3. Travel Costs&amp;Costs of Stay'!B:B,$E$25)+SUMIFS('4. Equipment Costs'!H:H,'4. Equipment Costs'!C:C,B49,'4. Equipment Costs'!B:B,$E$25)+SUMIFS('5. Subcontracting Costs'!H:H,'5. Subcontracting Costs'!C:C,B49,'5. Subcontracting Costs'!B:B,$E$25)</f>
        <v>0</v>
      </c>
      <c r="F49" s="54">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54">
        <f>SUMIFS('1. Staff costs'!S:S,'1. Staff costs'!C:C,B49,'1. Staff costs'!B:B,$G$25)+SUMIFS('2-3. Travel Costs&amp;Costs of Stay'!N:N,'2-3. Travel Costs&amp;Costs of Stay'!C:C,B49,'2-3. Travel Costs&amp;Costs of Stay'!B:B,$G$25)+SUMIFS('4. Equipment Costs'!H:H,'4. Equipment Costs'!C:C,B49,'4. Equipment Costs'!B:B,$G$25)+SUMIFS('5. Subcontracting Costs'!H:H,'5. Subcontracting Costs'!C:C,B49,'5. Subcontracting Costs'!B:B,$G$25)</f>
        <v>0</v>
      </c>
      <c r="H49" s="61">
        <f>SUMIF('B. Special Mob Strand - Student'!B:B,B49,'B. Special Mob Strand - Student'!N:N)+SUMIF('B. Special Mob Strand - Staff'!B:B,B49,'B. Special Mob Strand - Staff'!N:N)</f>
        <v>0</v>
      </c>
      <c r="I49" s="64">
        <f t="shared" si="4"/>
        <v>0</v>
      </c>
    </row>
    <row r="50" spans="2:9" x14ac:dyDescent="0.25">
      <c r="B50" s="15" t="s">
        <v>116</v>
      </c>
      <c r="C50" s="54">
        <f>SUMIFS('1. Staff costs'!S:S,'1. Staff costs'!C:C,B50,'1. Staff costs'!B:B,$C$25)+SUMIFS('2-3. Travel Costs&amp;Costs of Stay'!N:N,'2-3. Travel Costs&amp;Costs of Stay'!C:C,B50,'2-3. Travel Costs&amp;Costs of Stay'!B:B,$C$25)+SUMIFS('4. Equipment Costs'!H:H,'4. Equipment Costs'!C:C,B50,'4. Equipment Costs'!B:B,$C$25)+SUMIFS('5. Subcontracting Costs'!H:H,'5. Subcontracting Costs'!C:C,B50,'5. Subcontracting Costs'!B:B,$C$25)</f>
        <v>0</v>
      </c>
      <c r="D50" s="54">
        <f>SUMIFS('1. Staff costs'!S:S,'1. Staff costs'!C:C,B50,'1. Staff costs'!B:B,$D$25)+SUMIFS('2-3. Travel Costs&amp;Costs of Stay'!N:N,'2-3. Travel Costs&amp;Costs of Stay'!C:C,B50,'2-3. Travel Costs&amp;Costs of Stay'!B:B,$D$25)+SUMIFS('4. Equipment Costs'!H:H,'4. Equipment Costs'!C:C,B50,'4. Equipment Costs'!B:B,$D$25)+SUMIFS('5. Subcontracting Costs'!H:H,'5. Subcontracting Costs'!C:C,B50,'5. Subcontracting Costs'!B:B,$D$25)</f>
        <v>0</v>
      </c>
      <c r="E50" s="54">
        <f>SUMIFS('1. Staff costs'!S:S,'1. Staff costs'!C:C,B50,'1. Staff costs'!B:B,$E$25)+SUMIFS('2-3. Travel Costs&amp;Costs of Stay'!N:N,'2-3. Travel Costs&amp;Costs of Stay'!C:C,B50,'2-3. Travel Costs&amp;Costs of Stay'!B:B,$E$25)+SUMIFS('4. Equipment Costs'!H:H,'4. Equipment Costs'!C:C,B50,'4. Equipment Costs'!B:B,$E$25)+SUMIFS('5. Subcontracting Costs'!H:H,'5. Subcontracting Costs'!C:C,B50,'5. Subcontracting Costs'!B:B,$E$25)</f>
        <v>0</v>
      </c>
      <c r="F50" s="54">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54">
        <f>SUMIFS('1. Staff costs'!S:S,'1. Staff costs'!C:C,B50,'1. Staff costs'!B:B,$G$25)+SUMIFS('2-3. Travel Costs&amp;Costs of Stay'!N:N,'2-3. Travel Costs&amp;Costs of Stay'!C:C,B50,'2-3. Travel Costs&amp;Costs of Stay'!B:B,$G$25)+SUMIFS('4. Equipment Costs'!H:H,'4. Equipment Costs'!C:C,B50,'4. Equipment Costs'!B:B,$G$25)+SUMIFS('5. Subcontracting Costs'!H:H,'5. Subcontracting Costs'!C:C,B50,'5. Subcontracting Costs'!B:B,$G$25)</f>
        <v>0</v>
      </c>
      <c r="H50" s="61">
        <f>SUMIF('B. Special Mob Strand - Student'!B:B,B50,'B. Special Mob Strand - Student'!N:N)+SUMIF('B. Special Mob Strand - Staff'!B:B,B50,'B. Special Mob Strand - Staff'!N:N)</f>
        <v>0</v>
      </c>
      <c r="I50" s="64">
        <f t="shared" si="4"/>
        <v>0</v>
      </c>
    </row>
    <row r="51" spans="2:9" x14ac:dyDescent="0.25">
      <c r="B51" s="15" t="s">
        <v>117</v>
      </c>
      <c r="C51" s="54">
        <f>SUMIFS('1. Staff costs'!S:S,'1. Staff costs'!C:C,B51,'1. Staff costs'!B:B,$C$25)+SUMIFS('2-3. Travel Costs&amp;Costs of Stay'!N:N,'2-3. Travel Costs&amp;Costs of Stay'!C:C,B51,'2-3. Travel Costs&amp;Costs of Stay'!B:B,$C$25)+SUMIFS('4. Equipment Costs'!H:H,'4. Equipment Costs'!C:C,B51,'4. Equipment Costs'!B:B,$C$25)+SUMIFS('5. Subcontracting Costs'!H:H,'5. Subcontracting Costs'!C:C,B51,'5. Subcontracting Costs'!B:B,$C$25)</f>
        <v>0</v>
      </c>
      <c r="D51" s="54">
        <f>SUMIFS('1. Staff costs'!S:S,'1. Staff costs'!C:C,B51,'1. Staff costs'!B:B,$D$25)+SUMIFS('2-3. Travel Costs&amp;Costs of Stay'!N:N,'2-3. Travel Costs&amp;Costs of Stay'!C:C,B51,'2-3. Travel Costs&amp;Costs of Stay'!B:B,$D$25)+SUMIFS('4. Equipment Costs'!H:H,'4. Equipment Costs'!C:C,B51,'4. Equipment Costs'!B:B,$D$25)+SUMIFS('5. Subcontracting Costs'!H:H,'5. Subcontracting Costs'!C:C,B51,'5. Subcontracting Costs'!B:B,$D$25)</f>
        <v>0</v>
      </c>
      <c r="E51" s="54">
        <f>SUMIFS('1. Staff costs'!S:S,'1. Staff costs'!C:C,B51,'1. Staff costs'!B:B,$E$25)+SUMIFS('2-3. Travel Costs&amp;Costs of Stay'!N:N,'2-3. Travel Costs&amp;Costs of Stay'!C:C,B51,'2-3. Travel Costs&amp;Costs of Stay'!B:B,$E$25)+SUMIFS('4. Equipment Costs'!H:H,'4. Equipment Costs'!C:C,B51,'4. Equipment Costs'!B:B,$E$25)+SUMIFS('5. Subcontracting Costs'!H:H,'5. Subcontracting Costs'!C:C,B51,'5. Subcontracting Costs'!B:B,$E$25)</f>
        <v>0</v>
      </c>
      <c r="F51" s="54">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54">
        <f>SUMIFS('1. Staff costs'!S:S,'1. Staff costs'!C:C,B51,'1. Staff costs'!B:B,$G$25)+SUMIFS('2-3. Travel Costs&amp;Costs of Stay'!N:N,'2-3. Travel Costs&amp;Costs of Stay'!C:C,B51,'2-3. Travel Costs&amp;Costs of Stay'!B:B,$G$25)+SUMIFS('4. Equipment Costs'!H:H,'4. Equipment Costs'!C:C,B51,'4. Equipment Costs'!B:B,$G$25)+SUMIFS('5. Subcontracting Costs'!H:H,'5. Subcontracting Costs'!C:C,B51,'5. Subcontracting Costs'!B:B,$G$25)</f>
        <v>0</v>
      </c>
      <c r="H51" s="61">
        <f>SUMIF('B. Special Mob Strand - Student'!B:B,B51,'B. Special Mob Strand - Student'!N:N)+SUMIF('B. Special Mob Strand - Staff'!B:B,B51,'B. Special Mob Strand - Staff'!N:N)</f>
        <v>0</v>
      </c>
      <c r="I51" s="64">
        <f t="shared" si="4"/>
        <v>0</v>
      </c>
    </row>
    <row r="52" spans="2:9" x14ac:dyDescent="0.25">
      <c r="B52" s="15" t="s">
        <v>118</v>
      </c>
      <c r="C52" s="54">
        <f>SUMIFS('1. Staff costs'!S:S,'1. Staff costs'!C:C,B52,'1. Staff costs'!B:B,$C$25)+SUMIFS('2-3. Travel Costs&amp;Costs of Stay'!N:N,'2-3. Travel Costs&amp;Costs of Stay'!C:C,B52,'2-3. Travel Costs&amp;Costs of Stay'!B:B,$C$25)+SUMIFS('4. Equipment Costs'!H:H,'4. Equipment Costs'!C:C,B52,'4. Equipment Costs'!B:B,$C$25)+SUMIFS('5. Subcontracting Costs'!H:H,'5. Subcontracting Costs'!C:C,B52,'5. Subcontracting Costs'!B:B,$C$25)</f>
        <v>0</v>
      </c>
      <c r="D52" s="54">
        <f>SUMIFS('1. Staff costs'!S:S,'1. Staff costs'!C:C,B52,'1. Staff costs'!B:B,$D$25)+SUMIFS('2-3. Travel Costs&amp;Costs of Stay'!N:N,'2-3. Travel Costs&amp;Costs of Stay'!C:C,B52,'2-3. Travel Costs&amp;Costs of Stay'!B:B,$D$25)+SUMIFS('4. Equipment Costs'!H:H,'4. Equipment Costs'!C:C,B52,'4. Equipment Costs'!B:B,$D$25)+SUMIFS('5. Subcontracting Costs'!H:H,'5. Subcontracting Costs'!C:C,B52,'5. Subcontracting Costs'!B:B,$D$25)</f>
        <v>0</v>
      </c>
      <c r="E52" s="54">
        <f>SUMIFS('1. Staff costs'!S:S,'1. Staff costs'!C:C,B52,'1. Staff costs'!B:B,$E$25)+SUMIFS('2-3. Travel Costs&amp;Costs of Stay'!N:N,'2-3. Travel Costs&amp;Costs of Stay'!C:C,B52,'2-3. Travel Costs&amp;Costs of Stay'!B:B,$E$25)+SUMIFS('4. Equipment Costs'!H:H,'4. Equipment Costs'!C:C,B52,'4. Equipment Costs'!B:B,$E$25)+SUMIFS('5. Subcontracting Costs'!H:H,'5. Subcontracting Costs'!C:C,B52,'5. Subcontracting Costs'!B:B,$E$25)</f>
        <v>0</v>
      </c>
      <c r="F52" s="54">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54">
        <f>SUMIFS('1. Staff costs'!S:S,'1. Staff costs'!C:C,B52,'1. Staff costs'!B:B,$G$25)+SUMIFS('2-3. Travel Costs&amp;Costs of Stay'!N:N,'2-3. Travel Costs&amp;Costs of Stay'!C:C,B52,'2-3. Travel Costs&amp;Costs of Stay'!B:B,$G$25)+SUMIFS('4. Equipment Costs'!H:H,'4. Equipment Costs'!C:C,B52,'4. Equipment Costs'!B:B,$G$25)+SUMIFS('5. Subcontracting Costs'!H:H,'5. Subcontracting Costs'!C:C,B52,'5. Subcontracting Costs'!B:B,$G$25)</f>
        <v>0</v>
      </c>
      <c r="H52" s="61">
        <f>SUMIF('B. Special Mob Strand - Student'!B:B,B52,'B. Special Mob Strand - Student'!N:N)+SUMIF('B. Special Mob Strand - Staff'!B:B,B52,'B. Special Mob Strand - Staff'!N:N)</f>
        <v>0</v>
      </c>
      <c r="I52" s="64">
        <f t="shared" si="4"/>
        <v>0</v>
      </c>
    </row>
    <row r="53" spans="2:9" x14ac:dyDescent="0.25">
      <c r="B53" s="15" t="s">
        <v>119</v>
      </c>
      <c r="C53" s="54">
        <f>SUMIFS('1. Staff costs'!S:S,'1. Staff costs'!C:C,B53,'1. Staff costs'!B:B,$C$25)+SUMIFS('2-3. Travel Costs&amp;Costs of Stay'!N:N,'2-3. Travel Costs&amp;Costs of Stay'!C:C,B53,'2-3. Travel Costs&amp;Costs of Stay'!B:B,$C$25)+SUMIFS('4. Equipment Costs'!H:H,'4. Equipment Costs'!C:C,B53,'4. Equipment Costs'!B:B,$C$25)+SUMIFS('5. Subcontracting Costs'!H:H,'5. Subcontracting Costs'!C:C,B53,'5. Subcontracting Costs'!B:B,$C$25)</f>
        <v>0</v>
      </c>
      <c r="D53" s="54">
        <f>SUMIFS('1. Staff costs'!S:S,'1. Staff costs'!C:C,B53,'1. Staff costs'!B:B,$D$25)+SUMIFS('2-3. Travel Costs&amp;Costs of Stay'!N:N,'2-3. Travel Costs&amp;Costs of Stay'!C:C,B53,'2-3. Travel Costs&amp;Costs of Stay'!B:B,$D$25)+SUMIFS('4. Equipment Costs'!H:H,'4. Equipment Costs'!C:C,B53,'4. Equipment Costs'!B:B,$D$25)+SUMIFS('5. Subcontracting Costs'!H:H,'5. Subcontracting Costs'!C:C,B53,'5. Subcontracting Costs'!B:B,$D$25)</f>
        <v>0</v>
      </c>
      <c r="E53" s="54">
        <f>SUMIFS('1. Staff costs'!S:S,'1. Staff costs'!C:C,B53,'1. Staff costs'!B:B,$E$25)+SUMIFS('2-3. Travel Costs&amp;Costs of Stay'!N:N,'2-3. Travel Costs&amp;Costs of Stay'!C:C,B53,'2-3. Travel Costs&amp;Costs of Stay'!B:B,$E$25)+SUMIFS('4. Equipment Costs'!H:H,'4. Equipment Costs'!C:C,B53,'4. Equipment Costs'!B:B,$E$25)+SUMIFS('5. Subcontracting Costs'!H:H,'5. Subcontracting Costs'!C:C,B53,'5. Subcontracting Costs'!B:B,$E$25)</f>
        <v>0</v>
      </c>
      <c r="F53" s="54">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54">
        <f>SUMIFS('1. Staff costs'!S:S,'1. Staff costs'!C:C,B53,'1. Staff costs'!B:B,$G$25)+SUMIFS('2-3. Travel Costs&amp;Costs of Stay'!N:N,'2-3. Travel Costs&amp;Costs of Stay'!C:C,B53,'2-3. Travel Costs&amp;Costs of Stay'!B:B,$G$25)+SUMIFS('4. Equipment Costs'!H:H,'4. Equipment Costs'!C:C,B53,'4. Equipment Costs'!B:B,$G$25)+SUMIFS('5. Subcontracting Costs'!H:H,'5. Subcontracting Costs'!C:C,B53,'5. Subcontracting Costs'!B:B,$G$25)</f>
        <v>0</v>
      </c>
      <c r="H53" s="61">
        <f>SUMIF('B. Special Mob Strand - Student'!B:B,B53,'B. Special Mob Strand - Student'!N:N)+SUMIF('B. Special Mob Strand - Staff'!B:B,B53,'B. Special Mob Strand - Staff'!N:N)</f>
        <v>0</v>
      </c>
      <c r="I53" s="64">
        <f t="shared" si="4"/>
        <v>0</v>
      </c>
    </row>
    <row r="54" spans="2:9" x14ac:dyDescent="0.25">
      <c r="B54" s="15" t="s">
        <v>120</v>
      </c>
      <c r="C54" s="54">
        <f>SUMIFS('1. Staff costs'!S:S,'1. Staff costs'!C:C,B54,'1. Staff costs'!B:B,$C$25)+SUMIFS('2-3. Travel Costs&amp;Costs of Stay'!N:N,'2-3. Travel Costs&amp;Costs of Stay'!C:C,B54,'2-3. Travel Costs&amp;Costs of Stay'!B:B,$C$25)+SUMIFS('4. Equipment Costs'!H:H,'4. Equipment Costs'!C:C,B54,'4. Equipment Costs'!B:B,$C$25)+SUMIFS('5. Subcontracting Costs'!H:H,'5. Subcontracting Costs'!C:C,B54,'5. Subcontracting Costs'!B:B,$C$25)</f>
        <v>0</v>
      </c>
      <c r="D54" s="54">
        <f>SUMIFS('1. Staff costs'!S:S,'1. Staff costs'!C:C,B54,'1. Staff costs'!B:B,$D$25)+SUMIFS('2-3. Travel Costs&amp;Costs of Stay'!N:N,'2-3. Travel Costs&amp;Costs of Stay'!C:C,B54,'2-3. Travel Costs&amp;Costs of Stay'!B:B,$D$25)+SUMIFS('4. Equipment Costs'!H:H,'4. Equipment Costs'!C:C,B54,'4. Equipment Costs'!B:B,$D$25)+SUMIFS('5. Subcontracting Costs'!H:H,'5. Subcontracting Costs'!C:C,B54,'5. Subcontracting Costs'!B:B,$D$25)</f>
        <v>0</v>
      </c>
      <c r="E54" s="54">
        <f>SUMIFS('1. Staff costs'!S:S,'1. Staff costs'!C:C,B54,'1. Staff costs'!B:B,$E$25)+SUMIFS('2-3. Travel Costs&amp;Costs of Stay'!N:N,'2-3. Travel Costs&amp;Costs of Stay'!C:C,B54,'2-3. Travel Costs&amp;Costs of Stay'!B:B,$E$25)+SUMIFS('4. Equipment Costs'!H:H,'4. Equipment Costs'!C:C,B54,'4. Equipment Costs'!B:B,$E$25)+SUMIFS('5. Subcontracting Costs'!H:H,'5. Subcontracting Costs'!C:C,B54,'5. Subcontracting Costs'!B:B,$E$25)</f>
        <v>0</v>
      </c>
      <c r="F54" s="54">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54">
        <f>SUMIFS('1. Staff costs'!S:S,'1. Staff costs'!C:C,B54,'1. Staff costs'!B:B,$G$25)+SUMIFS('2-3. Travel Costs&amp;Costs of Stay'!N:N,'2-3. Travel Costs&amp;Costs of Stay'!C:C,B54,'2-3. Travel Costs&amp;Costs of Stay'!B:B,$G$25)+SUMIFS('4. Equipment Costs'!H:H,'4. Equipment Costs'!C:C,B54,'4. Equipment Costs'!B:B,$G$25)+SUMIFS('5. Subcontracting Costs'!H:H,'5. Subcontracting Costs'!C:C,B54,'5. Subcontracting Costs'!B:B,$G$25)</f>
        <v>0</v>
      </c>
      <c r="H54" s="61">
        <f>SUMIF('B. Special Mob Strand - Student'!B:B,B54,'B. Special Mob Strand - Student'!N:N)+SUMIF('B. Special Mob Strand - Staff'!B:B,B54,'B. Special Mob Strand - Staff'!N:N)</f>
        <v>0</v>
      </c>
      <c r="I54" s="64">
        <f t="shared" si="4"/>
        <v>0</v>
      </c>
    </row>
    <row r="55" spans="2:9" x14ac:dyDescent="0.25">
      <c r="B55" s="15" t="s">
        <v>121</v>
      </c>
      <c r="C55" s="54">
        <f>SUMIFS('1. Staff costs'!S:S,'1. Staff costs'!C:C,B55,'1. Staff costs'!B:B,$C$25)+SUMIFS('2-3. Travel Costs&amp;Costs of Stay'!N:N,'2-3. Travel Costs&amp;Costs of Stay'!C:C,B55,'2-3. Travel Costs&amp;Costs of Stay'!B:B,$C$25)+SUMIFS('4. Equipment Costs'!H:H,'4. Equipment Costs'!C:C,B55,'4. Equipment Costs'!B:B,$C$25)+SUMIFS('5. Subcontracting Costs'!H:H,'5. Subcontracting Costs'!C:C,B55,'5. Subcontracting Costs'!B:B,$C$25)</f>
        <v>0</v>
      </c>
      <c r="D55" s="54">
        <f>SUMIFS('1. Staff costs'!S:S,'1. Staff costs'!C:C,B55,'1. Staff costs'!B:B,$D$25)+SUMIFS('2-3. Travel Costs&amp;Costs of Stay'!N:N,'2-3. Travel Costs&amp;Costs of Stay'!C:C,B55,'2-3. Travel Costs&amp;Costs of Stay'!B:B,$D$25)+SUMIFS('4. Equipment Costs'!H:H,'4. Equipment Costs'!C:C,B55,'4. Equipment Costs'!B:B,$D$25)+SUMIFS('5. Subcontracting Costs'!H:H,'5. Subcontracting Costs'!C:C,B55,'5. Subcontracting Costs'!B:B,$D$25)</f>
        <v>0</v>
      </c>
      <c r="E55" s="54">
        <f>SUMIFS('1. Staff costs'!S:S,'1. Staff costs'!C:C,B55,'1. Staff costs'!B:B,$E$25)+SUMIFS('2-3. Travel Costs&amp;Costs of Stay'!N:N,'2-3. Travel Costs&amp;Costs of Stay'!C:C,B55,'2-3. Travel Costs&amp;Costs of Stay'!B:B,$E$25)+SUMIFS('4. Equipment Costs'!H:H,'4. Equipment Costs'!C:C,B55,'4. Equipment Costs'!B:B,$E$25)+SUMIFS('5. Subcontracting Costs'!H:H,'5. Subcontracting Costs'!C:C,B55,'5. Subcontracting Costs'!B:B,$E$25)</f>
        <v>0</v>
      </c>
      <c r="F55" s="54">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54">
        <f>SUMIFS('1. Staff costs'!S:S,'1. Staff costs'!C:C,B55,'1. Staff costs'!B:B,$G$25)+SUMIFS('2-3. Travel Costs&amp;Costs of Stay'!N:N,'2-3. Travel Costs&amp;Costs of Stay'!C:C,B55,'2-3. Travel Costs&amp;Costs of Stay'!B:B,$G$25)+SUMIFS('4. Equipment Costs'!H:H,'4. Equipment Costs'!C:C,B55,'4. Equipment Costs'!B:B,$G$25)+SUMIFS('5. Subcontracting Costs'!H:H,'5. Subcontracting Costs'!C:C,B55,'5. Subcontracting Costs'!B:B,$G$25)</f>
        <v>0</v>
      </c>
      <c r="H55" s="61">
        <f>SUMIF('B. Special Mob Strand - Student'!B:B,B55,'B. Special Mob Strand - Student'!N:N)+SUMIF('B. Special Mob Strand - Staff'!B:B,B55,'B. Special Mob Strand - Staff'!N:N)</f>
        <v>0</v>
      </c>
      <c r="I55" s="64">
        <f t="shared" si="4"/>
        <v>0</v>
      </c>
    </row>
    <row r="56" spans="2:9" x14ac:dyDescent="0.25">
      <c r="B56" s="15" t="s">
        <v>122</v>
      </c>
      <c r="C56" s="54">
        <f>SUMIFS('1. Staff costs'!S:S,'1. Staff costs'!C:C,B56,'1. Staff costs'!B:B,$C$25)+SUMIFS('2-3. Travel Costs&amp;Costs of Stay'!N:N,'2-3. Travel Costs&amp;Costs of Stay'!C:C,B56,'2-3. Travel Costs&amp;Costs of Stay'!B:B,$C$25)+SUMIFS('4. Equipment Costs'!H:H,'4. Equipment Costs'!C:C,B56,'4. Equipment Costs'!B:B,$C$25)+SUMIFS('5. Subcontracting Costs'!H:H,'5. Subcontracting Costs'!C:C,B56,'5. Subcontracting Costs'!B:B,$C$25)</f>
        <v>0</v>
      </c>
      <c r="D56" s="54">
        <f>SUMIFS('1. Staff costs'!S:S,'1. Staff costs'!C:C,B56,'1. Staff costs'!B:B,$D$25)+SUMIFS('2-3. Travel Costs&amp;Costs of Stay'!N:N,'2-3. Travel Costs&amp;Costs of Stay'!C:C,B56,'2-3. Travel Costs&amp;Costs of Stay'!B:B,$D$25)+SUMIFS('4. Equipment Costs'!H:H,'4. Equipment Costs'!C:C,B56,'4. Equipment Costs'!B:B,$D$25)+SUMIFS('5. Subcontracting Costs'!H:H,'5. Subcontracting Costs'!C:C,B56,'5. Subcontracting Costs'!B:B,$D$25)</f>
        <v>0</v>
      </c>
      <c r="E56" s="54">
        <f>SUMIFS('1. Staff costs'!S:S,'1. Staff costs'!C:C,B56,'1. Staff costs'!B:B,$E$25)+SUMIFS('2-3. Travel Costs&amp;Costs of Stay'!N:N,'2-3. Travel Costs&amp;Costs of Stay'!C:C,B56,'2-3. Travel Costs&amp;Costs of Stay'!B:B,$E$25)+SUMIFS('4. Equipment Costs'!H:H,'4. Equipment Costs'!C:C,B56,'4. Equipment Costs'!B:B,$E$25)+SUMIFS('5. Subcontracting Costs'!H:H,'5. Subcontracting Costs'!C:C,B56,'5. Subcontracting Costs'!B:B,$E$25)</f>
        <v>0</v>
      </c>
      <c r="F56" s="54">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54">
        <f>SUMIFS('1. Staff costs'!S:S,'1. Staff costs'!C:C,B56,'1. Staff costs'!B:B,$G$25)+SUMIFS('2-3. Travel Costs&amp;Costs of Stay'!N:N,'2-3. Travel Costs&amp;Costs of Stay'!C:C,B56,'2-3. Travel Costs&amp;Costs of Stay'!B:B,$G$25)+SUMIFS('4. Equipment Costs'!H:H,'4. Equipment Costs'!C:C,B56,'4. Equipment Costs'!B:B,$G$25)+SUMIFS('5. Subcontracting Costs'!H:H,'5. Subcontracting Costs'!C:C,B56,'5. Subcontracting Costs'!B:B,$G$25)</f>
        <v>0</v>
      </c>
      <c r="H56" s="61">
        <f>SUMIF('B. Special Mob Strand - Student'!B:B,B56,'B. Special Mob Strand - Student'!N:N)+SUMIF('B. Special Mob Strand - Staff'!B:B,B56,'B. Special Mob Strand - Staff'!N:N)</f>
        <v>0</v>
      </c>
      <c r="I56" s="64">
        <f t="shared" si="4"/>
        <v>0</v>
      </c>
    </row>
    <row r="57" spans="2:9" x14ac:dyDescent="0.25">
      <c r="B57" s="15" t="s">
        <v>123</v>
      </c>
      <c r="C57" s="54">
        <f>SUMIFS('1. Staff costs'!S:S,'1. Staff costs'!C:C,B57,'1. Staff costs'!B:B,$C$25)+SUMIFS('2-3. Travel Costs&amp;Costs of Stay'!N:N,'2-3. Travel Costs&amp;Costs of Stay'!C:C,B57,'2-3. Travel Costs&amp;Costs of Stay'!B:B,$C$25)+SUMIFS('4. Equipment Costs'!H:H,'4. Equipment Costs'!C:C,B57,'4. Equipment Costs'!B:B,$C$25)+SUMIFS('5. Subcontracting Costs'!H:H,'5. Subcontracting Costs'!C:C,B57,'5. Subcontracting Costs'!B:B,$C$25)</f>
        <v>0</v>
      </c>
      <c r="D57" s="54">
        <f>SUMIFS('1. Staff costs'!S:S,'1. Staff costs'!C:C,B57,'1. Staff costs'!B:B,$D$25)+SUMIFS('2-3. Travel Costs&amp;Costs of Stay'!N:N,'2-3. Travel Costs&amp;Costs of Stay'!C:C,B57,'2-3. Travel Costs&amp;Costs of Stay'!B:B,$D$25)+SUMIFS('4. Equipment Costs'!H:H,'4. Equipment Costs'!C:C,B57,'4. Equipment Costs'!B:B,$D$25)+SUMIFS('5. Subcontracting Costs'!H:H,'5. Subcontracting Costs'!C:C,B57,'5. Subcontracting Costs'!B:B,$D$25)</f>
        <v>0</v>
      </c>
      <c r="E57" s="54">
        <f>SUMIFS('1. Staff costs'!S:S,'1. Staff costs'!C:C,B57,'1. Staff costs'!B:B,$E$25)+SUMIFS('2-3. Travel Costs&amp;Costs of Stay'!N:N,'2-3. Travel Costs&amp;Costs of Stay'!C:C,B57,'2-3. Travel Costs&amp;Costs of Stay'!B:B,$E$25)+SUMIFS('4. Equipment Costs'!H:H,'4. Equipment Costs'!C:C,B57,'4. Equipment Costs'!B:B,$E$25)+SUMIFS('5. Subcontracting Costs'!H:H,'5. Subcontracting Costs'!C:C,B57,'5. Subcontracting Costs'!B:B,$E$25)</f>
        <v>0</v>
      </c>
      <c r="F57" s="54">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54">
        <f>SUMIFS('1. Staff costs'!S:S,'1. Staff costs'!C:C,B57,'1. Staff costs'!B:B,$G$25)+SUMIFS('2-3. Travel Costs&amp;Costs of Stay'!N:N,'2-3. Travel Costs&amp;Costs of Stay'!C:C,B57,'2-3. Travel Costs&amp;Costs of Stay'!B:B,$G$25)+SUMIFS('4. Equipment Costs'!H:H,'4. Equipment Costs'!C:C,B57,'4. Equipment Costs'!B:B,$G$25)+SUMIFS('5. Subcontracting Costs'!H:H,'5. Subcontracting Costs'!C:C,B57,'5. Subcontracting Costs'!B:B,$G$25)</f>
        <v>0</v>
      </c>
      <c r="H57" s="61">
        <f>SUMIF('B. Special Mob Strand - Student'!B:B,B57,'B. Special Mob Strand - Student'!N:N)+SUMIF('B. Special Mob Strand - Staff'!B:B,B57,'B. Special Mob Strand - Staff'!N:N)</f>
        <v>0</v>
      </c>
      <c r="I57" s="64">
        <f t="shared" si="4"/>
        <v>0</v>
      </c>
    </row>
    <row r="58" spans="2:9" x14ac:dyDescent="0.25">
      <c r="B58" s="15" t="s">
        <v>124</v>
      </c>
      <c r="C58" s="54">
        <f>SUMIFS('1. Staff costs'!S:S,'1. Staff costs'!C:C,B58,'1. Staff costs'!B:B,$C$25)+SUMIFS('2-3. Travel Costs&amp;Costs of Stay'!N:N,'2-3. Travel Costs&amp;Costs of Stay'!C:C,B58,'2-3. Travel Costs&amp;Costs of Stay'!B:B,$C$25)+SUMIFS('4. Equipment Costs'!H:H,'4. Equipment Costs'!C:C,B58,'4. Equipment Costs'!B:B,$C$25)+SUMIFS('5. Subcontracting Costs'!H:H,'5. Subcontracting Costs'!C:C,B58,'5. Subcontracting Costs'!B:B,$C$25)</f>
        <v>0</v>
      </c>
      <c r="D58" s="54">
        <f>SUMIFS('1. Staff costs'!S:S,'1. Staff costs'!C:C,B58,'1. Staff costs'!B:B,$D$25)+SUMIFS('2-3. Travel Costs&amp;Costs of Stay'!N:N,'2-3. Travel Costs&amp;Costs of Stay'!C:C,B58,'2-3. Travel Costs&amp;Costs of Stay'!B:B,$D$25)+SUMIFS('4. Equipment Costs'!H:H,'4. Equipment Costs'!C:C,B58,'4. Equipment Costs'!B:B,$D$25)+SUMIFS('5. Subcontracting Costs'!H:H,'5. Subcontracting Costs'!C:C,B58,'5. Subcontracting Costs'!B:B,$D$25)</f>
        <v>0</v>
      </c>
      <c r="E58" s="54">
        <f>SUMIFS('1. Staff costs'!S:S,'1. Staff costs'!C:C,B58,'1. Staff costs'!B:B,$E$25)+SUMIFS('2-3. Travel Costs&amp;Costs of Stay'!N:N,'2-3. Travel Costs&amp;Costs of Stay'!C:C,B58,'2-3. Travel Costs&amp;Costs of Stay'!B:B,$E$25)+SUMIFS('4. Equipment Costs'!H:H,'4. Equipment Costs'!C:C,B58,'4. Equipment Costs'!B:B,$E$25)+SUMIFS('5. Subcontracting Costs'!H:H,'5. Subcontracting Costs'!C:C,B58,'5. Subcontracting Costs'!B:B,$E$25)</f>
        <v>0</v>
      </c>
      <c r="F58" s="54">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54">
        <f>SUMIFS('1. Staff costs'!S:S,'1. Staff costs'!C:C,B58,'1. Staff costs'!B:B,$G$25)+SUMIFS('2-3. Travel Costs&amp;Costs of Stay'!N:N,'2-3. Travel Costs&amp;Costs of Stay'!C:C,B58,'2-3. Travel Costs&amp;Costs of Stay'!B:B,$G$25)+SUMIFS('4. Equipment Costs'!H:H,'4. Equipment Costs'!C:C,B58,'4. Equipment Costs'!B:B,$G$25)+SUMIFS('5. Subcontracting Costs'!H:H,'5. Subcontracting Costs'!C:C,B58,'5. Subcontracting Costs'!B:B,$G$25)</f>
        <v>0</v>
      </c>
      <c r="H58" s="61">
        <f>SUMIF('B. Special Mob Strand - Student'!B:B,B58,'B. Special Mob Strand - Student'!N:N)+SUMIF('B. Special Mob Strand - Staff'!B:B,B58,'B. Special Mob Strand - Staff'!N:N)</f>
        <v>0</v>
      </c>
      <c r="I58" s="64">
        <f t="shared" si="4"/>
        <v>0</v>
      </c>
    </row>
    <row r="59" spans="2:9" x14ac:dyDescent="0.25">
      <c r="B59" s="15" t="s">
        <v>125</v>
      </c>
      <c r="C59" s="54">
        <f>SUMIFS('1. Staff costs'!S:S,'1. Staff costs'!C:C,B59,'1. Staff costs'!B:B,$C$25)+SUMIFS('2-3. Travel Costs&amp;Costs of Stay'!N:N,'2-3. Travel Costs&amp;Costs of Stay'!C:C,B59,'2-3. Travel Costs&amp;Costs of Stay'!B:B,$C$25)+SUMIFS('4. Equipment Costs'!H:H,'4. Equipment Costs'!C:C,B59,'4. Equipment Costs'!B:B,$C$25)+SUMIFS('5. Subcontracting Costs'!H:H,'5. Subcontracting Costs'!C:C,B59,'5. Subcontracting Costs'!B:B,$C$25)</f>
        <v>0</v>
      </c>
      <c r="D59" s="54">
        <f>SUMIFS('1. Staff costs'!S:S,'1. Staff costs'!C:C,B59,'1. Staff costs'!B:B,$D$25)+SUMIFS('2-3. Travel Costs&amp;Costs of Stay'!N:N,'2-3. Travel Costs&amp;Costs of Stay'!C:C,B59,'2-3. Travel Costs&amp;Costs of Stay'!B:B,$D$25)+SUMIFS('4. Equipment Costs'!H:H,'4. Equipment Costs'!C:C,B59,'4. Equipment Costs'!B:B,$D$25)+SUMIFS('5. Subcontracting Costs'!H:H,'5. Subcontracting Costs'!C:C,B59,'5. Subcontracting Costs'!B:B,$D$25)</f>
        <v>0</v>
      </c>
      <c r="E59" s="54">
        <f>SUMIFS('1. Staff costs'!S:S,'1. Staff costs'!C:C,B59,'1. Staff costs'!B:B,$E$25)+SUMIFS('2-3. Travel Costs&amp;Costs of Stay'!N:N,'2-3. Travel Costs&amp;Costs of Stay'!C:C,B59,'2-3. Travel Costs&amp;Costs of Stay'!B:B,$E$25)+SUMIFS('4. Equipment Costs'!H:H,'4. Equipment Costs'!C:C,B59,'4. Equipment Costs'!B:B,$E$25)+SUMIFS('5. Subcontracting Costs'!H:H,'5. Subcontracting Costs'!C:C,B59,'5. Subcontracting Costs'!B:B,$E$25)</f>
        <v>0</v>
      </c>
      <c r="F59" s="54">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54">
        <f>SUMIFS('1. Staff costs'!S:S,'1. Staff costs'!C:C,B59,'1. Staff costs'!B:B,$G$25)+SUMIFS('2-3. Travel Costs&amp;Costs of Stay'!N:N,'2-3. Travel Costs&amp;Costs of Stay'!C:C,B59,'2-3. Travel Costs&amp;Costs of Stay'!B:B,$G$25)+SUMIFS('4. Equipment Costs'!H:H,'4. Equipment Costs'!C:C,B59,'4. Equipment Costs'!B:B,$G$25)+SUMIFS('5. Subcontracting Costs'!H:H,'5. Subcontracting Costs'!C:C,B59,'5. Subcontracting Costs'!B:B,$G$25)</f>
        <v>0</v>
      </c>
      <c r="H59" s="61">
        <f>SUMIF('B. Special Mob Strand - Student'!B:B,B59,'B. Special Mob Strand - Student'!N:N)+SUMIF('B. Special Mob Strand - Staff'!B:B,B59,'B. Special Mob Strand - Staff'!N:N)</f>
        <v>0</v>
      </c>
      <c r="I59" s="64">
        <f t="shared" si="4"/>
        <v>0</v>
      </c>
    </row>
    <row r="60" spans="2:9" x14ac:dyDescent="0.25">
      <c r="B60" s="15" t="s">
        <v>126</v>
      </c>
      <c r="C60" s="54">
        <f>SUMIFS('1. Staff costs'!S:S,'1. Staff costs'!C:C,B60,'1. Staff costs'!B:B,$C$25)+SUMIFS('2-3. Travel Costs&amp;Costs of Stay'!N:N,'2-3. Travel Costs&amp;Costs of Stay'!C:C,B60,'2-3. Travel Costs&amp;Costs of Stay'!B:B,$C$25)+SUMIFS('4. Equipment Costs'!H:H,'4. Equipment Costs'!C:C,B60,'4. Equipment Costs'!B:B,$C$25)+SUMIFS('5. Subcontracting Costs'!H:H,'5. Subcontracting Costs'!C:C,B60,'5. Subcontracting Costs'!B:B,$C$25)</f>
        <v>0</v>
      </c>
      <c r="D60" s="54">
        <f>SUMIFS('1. Staff costs'!S:S,'1. Staff costs'!C:C,B60,'1. Staff costs'!B:B,$D$25)+SUMIFS('2-3. Travel Costs&amp;Costs of Stay'!N:N,'2-3. Travel Costs&amp;Costs of Stay'!C:C,B60,'2-3. Travel Costs&amp;Costs of Stay'!B:B,$D$25)+SUMIFS('4. Equipment Costs'!H:H,'4. Equipment Costs'!C:C,B60,'4. Equipment Costs'!B:B,$D$25)+SUMIFS('5. Subcontracting Costs'!H:H,'5. Subcontracting Costs'!C:C,B60,'5. Subcontracting Costs'!B:B,$D$25)</f>
        <v>0</v>
      </c>
      <c r="E60" s="54">
        <f>SUMIFS('1. Staff costs'!S:S,'1. Staff costs'!C:C,B60,'1. Staff costs'!B:B,$E$25)+SUMIFS('2-3. Travel Costs&amp;Costs of Stay'!N:N,'2-3. Travel Costs&amp;Costs of Stay'!C:C,B60,'2-3. Travel Costs&amp;Costs of Stay'!B:B,$E$25)+SUMIFS('4. Equipment Costs'!H:H,'4. Equipment Costs'!C:C,B60,'4. Equipment Costs'!B:B,$E$25)+SUMIFS('5. Subcontracting Costs'!H:H,'5. Subcontracting Costs'!C:C,B60,'5. Subcontracting Costs'!B:B,$E$25)</f>
        <v>0</v>
      </c>
      <c r="F60" s="54">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54">
        <f>SUMIFS('1. Staff costs'!S:S,'1. Staff costs'!C:C,B60,'1. Staff costs'!B:B,$G$25)+SUMIFS('2-3. Travel Costs&amp;Costs of Stay'!N:N,'2-3. Travel Costs&amp;Costs of Stay'!C:C,B60,'2-3. Travel Costs&amp;Costs of Stay'!B:B,$G$25)+SUMIFS('4. Equipment Costs'!H:H,'4. Equipment Costs'!C:C,B60,'4. Equipment Costs'!B:B,$G$25)+SUMIFS('5. Subcontracting Costs'!H:H,'5. Subcontracting Costs'!C:C,B60,'5. Subcontracting Costs'!B:B,$G$25)</f>
        <v>0</v>
      </c>
      <c r="H60" s="61">
        <f>SUMIF('B. Special Mob Strand - Student'!B:B,B60,'B. Special Mob Strand - Student'!N:N)+SUMIF('B. Special Mob Strand - Staff'!B:B,B60,'B. Special Mob Strand - Staff'!N:N)</f>
        <v>0</v>
      </c>
      <c r="I60" s="64">
        <f t="shared" si="4"/>
        <v>0</v>
      </c>
    </row>
    <row r="61" spans="2:9" x14ac:dyDescent="0.25">
      <c r="B61" s="15" t="s">
        <v>127</v>
      </c>
      <c r="C61" s="54">
        <f>SUMIFS('1. Staff costs'!S:S,'1. Staff costs'!C:C,B61,'1. Staff costs'!B:B,$C$25)+SUMIFS('2-3. Travel Costs&amp;Costs of Stay'!N:N,'2-3. Travel Costs&amp;Costs of Stay'!C:C,B61,'2-3. Travel Costs&amp;Costs of Stay'!B:B,$C$25)+SUMIFS('4. Equipment Costs'!H:H,'4. Equipment Costs'!C:C,B61,'4. Equipment Costs'!B:B,$C$25)+SUMIFS('5. Subcontracting Costs'!H:H,'5. Subcontracting Costs'!C:C,B61,'5. Subcontracting Costs'!B:B,$C$25)</f>
        <v>0</v>
      </c>
      <c r="D61" s="54">
        <f>SUMIFS('1. Staff costs'!S:S,'1. Staff costs'!C:C,B61,'1. Staff costs'!B:B,$D$25)+SUMIFS('2-3. Travel Costs&amp;Costs of Stay'!N:N,'2-3. Travel Costs&amp;Costs of Stay'!C:C,B61,'2-3. Travel Costs&amp;Costs of Stay'!B:B,$D$25)+SUMIFS('4. Equipment Costs'!H:H,'4. Equipment Costs'!C:C,B61,'4. Equipment Costs'!B:B,$D$25)+SUMIFS('5. Subcontracting Costs'!H:H,'5. Subcontracting Costs'!C:C,B61,'5. Subcontracting Costs'!B:B,$D$25)</f>
        <v>0</v>
      </c>
      <c r="E61" s="54">
        <f>SUMIFS('1. Staff costs'!S:S,'1. Staff costs'!C:C,B61,'1. Staff costs'!B:B,$E$25)+SUMIFS('2-3. Travel Costs&amp;Costs of Stay'!N:N,'2-3. Travel Costs&amp;Costs of Stay'!C:C,B61,'2-3. Travel Costs&amp;Costs of Stay'!B:B,$E$25)+SUMIFS('4. Equipment Costs'!H:H,'4. Equipment Costs'!C:C,B61,'4. Equipment Costs'!B:B,$E$25)+SUMIFS('5. Subcontracting Costs'!H:H,'5. Subcontracting Costs'!C:C,B61,'5. Subcontracting Costs'!B:B,$E$25)</f>
        <v>0</v>
      </c>
      <c r="F61" s="54">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54">
        <f>SUMIFS('1. Staff costs'!S:S,'1. Staff costs'!C:C,B61,'1. Staff costs'!B:B,$G$25)+SUMIFS('2-3. Travel Costs&amp;Costs of Stay'!N:N,'2-3. Travel Costs&amp;Costs of Stay'!C:C,B61,'2-3. Travel Costs&amp;Costs of Stay'!B:B,$G$25)+SUMIFS('4. Equipment Costs'!H:H,'4. Equipment Costs'!C:C,B61,'4. Equipment Costs'!B:B,$G$25)+SUMIFS('5. Subcontracting Costs'!H:H,'5. Subcontracting Costs'!C:C,B61,'5. Subcontracting Costs'!B:B,$G$25)</f>
        <v>0</v>
      </c>
      <c r="H61" s="61">
        <f>SUMIF('B. Special Mob Strand - Student'!B:B,B61,'B. Special Mob Strand - Student'!N:N)+SUMIF('B. Special Mob Strand - Staff'!B:B,B61,'B. Special Mob Strand - Staff'!N:N)</f>
        <v>0</v>
      </c>
      <c r="I61" s="64">
        <f t="shared" si="4"/>
        <v>0</v>
      </c>
    </row>
    <row r="62" spans="2:9" x14ac:dyDescent="0.25">
      <c r="B62" s="15" t="s">
        <v>128</v>
      </c>
      <c r="C62" s="54">
        <f>SUMIFS('1. Staff costs'!S:S,'1. Staff costs'!C:C,B62,'1. Staff costs'!B:B,$C$25)+SUMIFS('2-3. Travel Costs&amp;Costs of Stay'!N:N,'2-3. Travel Costs&amp;Costs of Stay'!C:C,B62,'2-3. Travel Costs&amp;Costs of Stay'!B:B,$C$25)+SUMIFS('4. Equipment Costs'!H:H,'4. Equipment Costs'!C:C,B62,'4. Equipment Costs'!B:B,$C$25)+SUMIFS('5. Subcontracting Costs'!H:H,'5. Subcontracting Costs'!C:C,B62,'5. Subcontracting Costs'!B:B,$C$25)</f>
        <v>0</v>
      </c>
      <c r="D62" s="54">
        <f>SUMIFS('1. Staff costs'!S:S,'1. Staff costs'!C:C,B62,'1. Staff costs'!B:B,$D$25)+SUMIFS('2-3. Travel Costs&amp;Costs of Stay'!N:N,'2-3. Travel Costs&amp;Costs of Stay'!C:C,B62,'2-3. Travel Costs&amp;Costs of Stay'!B:B,$D$25)+SUMIFS('4. Equipment Costs'!H:H,'4. Equipment Costs'!C:C,B62,'4. Equipment Costs'!B:B,$D$25)+SUMIFS('5. Subcontracting Costs'!H:H,'5. Subcontracting Costs'!C:C,B62,'5. Subcontracting Costs'!B:B,$D$25)</f>
        <v>0</v>
      </c>
      <c r="E62" s="54">
        <f>SUMIFS('1. Staff costs'!S:S,'1. Staff costs'!C:C,B62,'1. Staff costs'!B:B,$E$25)+SUMIFS('2-3. Travel Costs&amp;Costs of Stay'!N:N,'2-3. Travel Costs&amp;Costs of Stay'!C:C,B62,'2-3. Travel Costs&amp;Costs of Stay'!B:B,$E$25)+SUMIFS('4. Equipment Costs'!H:H,'4. Equipment Costs'!C:C,B62,'4. Equipment Costs'!B:B,$E$25)+SUMIFS('5. Subcontracting Costs'!H:H,'5. Subcontracting Costs'!C:C,B62,'5. Subcontracting Costs'!B:B,$E$25)</f>
        <v>0</v>
      </c>
      <c r="F62" s="54">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54">
        <f>SUMIFS('1. Staff costs'!S:S,'1. Staff costs'!C:C,B62,'1. Staff costs'!B:B,$G$25)+SUMIFS('2-3. Travel Costs&amp;Costs of Stay'!N:N,'2-3. Travel Costs&amp;Costs of Stay'!C:C,B62,'2-3. Travel Costs&amp;Costs of Stay'!B:B,$G$25)+SUMIFS('4. Equipment Costs'!H:H,'4. Equipment Costs'!C:C,B62,'4. Equipment Costs'!B:B,$G$25)+SUMIFS('5. Subcontracting Costs'!H:H,'5. Subcontracting Costs'!C:C,B62,'5. Subcontracting Costs'!B:B,$G$25)</f>
        <v>0</v>
      </c>
      <c r="H62" s="61">
        <f>SUMIF('B. Special Mob Strand - Student'!B:B,B62,'B. Special Mob Strand - Student'!N:N)+SUMIF('B. Special Mob Strand - Staff'!B:B,B62,'B. Special Mob Strand - Staff'!N:N)</f>
        <v>0</v>
      </c>
      <c r="I62" s="64">
        <f t="shared" si="4"/>
        <v>0</v>
      </c>
    </row>
    <row r="63" spans="2:9" x14ac:dyDescent="0.25">
      <c r="B63" s="15" t="s">
        <v>129</v>
      </c>
      <c r="C63" s="54">
        <f>SUMIFS('1. Staff costs'!S:S,'1. Staff costs'!C:C,B63,'1. Staff costs'!B:B,$C$25)+SUMIFS('2-3. Travel Costs&amp;Costs of Stay'!N:N,'2-3. Travel Costs&amp;Costs of Stay'!C:C,B63,'2-3. Travel Costs&amp;Costs of Stay'!B:B,$C$25)+SUMIFS('4. Equipment Costs'!H:H,'4. Equipment Costs'!C:C,B63,'4. Equipment Costs'!B:B,$C$25)+SUMIFS('5. Subcontracting Costs'!H:H,'5. Subcontracting Costs'!C:C,B63,'5. Subcontracting Costs'!B:B,$C$25)</f>
        <v>0</v>
      </c>
      <c r="D63" s="54">
        <f>SUMIFS('1. Staff costs'!S:S,'1. Staff costs'!C:C,B63,'1. Staff costs'!B:B,$D$25)+SUMIFS('2-3. Travel Costs&amp;Costs of Stay'!N:N,'2-3. Travel Costs&amp;Costs of Stay'!C:C,B63,'2-3. Travel Costs&amp;Costs of Stay'!B:B,$D$25)+SUMIFS('4. Equipment Costs'!H:H,'4. Equipment Costs'!C:C,B63,'4. Equipment Costs'!B:B,$D$25)+SUMIFS('5. Subcontracting Costs'!H:H,'5. Subcontracting Costs'!C:C,B63,'5. Subcontracting Costs'!B:B,$D$25)</f>
        <v>0</v>
      </c>
      <c r="E63" s="54">
        <f>SUMIFS('1. Staff costs'!S:S,'1. Staff costs'!C:C,B63,'1. Staff costs'!B:B,$E$25)+SUMIFS('2-3. Travel Costs&amp;Costs of Stay'!N:N,'2-3. Travel Costs&amp;Costs of Stay'!C:C,B63,'2-3. Travel Costs&amp;Costs of Stay'!B:B,$E$25)+SUMIFS('4. Equipment Costs'!H:H,'4. Equipment Costs'!C:C,B63,'4. Equipment Costs'!B:B,$E$25)+SUMIFS('5. Subcontracting Costs'!H:H,'5. Subcontracting Costs'!C:C,B63,'5. Subcontracting Costs'!B:B,$E$25)</f>
        <v>0</v>
      </c>
      <c r="F63" s="54">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54">
        <f>SUMIFS('1. Staff costs'!S:S,'1. Staff costs'!C:C,B63,'1. Staff costs'!B:B,$G$25)+SUMIFS('2-3. Travel Costs&amp;Costs of Stay'!N:N,'2-3. Travel Costs&amp;Costs of Stay'!C:C,B63,'2-3. Travel Costs&amp;Costs of Stay'!B:B,$G$25)+SUMIFS('4. Equipment Costs'!H:H,'4. Equipment Costs'!C:C,B63,'4. Equipment Costs'!B:B,$G$25)+SUMIFS('5. Subcontracting Costs'!H:H,'5. Subcontracting Costs'!C:C,B63,'5. Subcontracting Costs'!B:B,$G$25)</f>
        <v>0</v>
      </c>
      <c r="H63" s="61">
        <f>SUMIF('B. Special Mob Strand - Student'!B:B,B63,'B. Special Mob Strand - Student'!N:N)+SUMIF('B. Special Mob Strand - Staff'!B:B,B63,'B. Special Mob Strand - Staff'!N:N)</f>
        <v>0</v>
      </c>
      <c r="I63" s="64">
        <f t="shared" si="4"/>
        <v>0</v>
      </c>
    </row>
    <row r="64" spans="2:9" x14ac:dyDescent="0.25">
      <c r="B64" s="15" t="s">
        <v>130</v>
      </c>
      <c r="C64" s="54">
        <f>SUMIFS('1. Staff costs'!S:S,'1. Staff costs'!C:C,B64,'1. Staff costs'!B:B,$C$25)+SUMIFS('2-3. Travel Costs&amp;Costs of Stay'!N:N,'2-3. Travel Costs&amp;Costs of Stay'!C:C,B64,'2-3. Travel Costs&amp;Costs of Stay'!B:B,$C$25)+SUMIFS('4. Equipment Costs'!H:H,'4. Equipment Costs'!C:C,B64,'4. Equipment Costs'!B:B,$C$25)+SUMIFS('5. Subcontracting Costs'!H:H,'5. Subcontracting Costs'!C:C,B64,'5. Subcontracting Costs'!B:B,$C$25)</f>
        <v>0</v>
      </c>
      <c r="D64" s="54">
        <f>SUMIFS('1. Staff costs'!S:S,'1. Staff costs'!C:C,B64,'1. Staff costs'!B:B,$D$25)+SUMIFS('2-3. Travel Costs&amp;Costs of Stay'!N:N,'2-3. Travel Costs&amp;Costs of Stay'!C:C,B64,'2-3. Travel Costs&amp;Costs of Stay'!B:B,$D$25)+SUMIFS('4. Equipment Costs'!H:H,'4. Equipment Costs'!C:C,B64,'4. Equipment Costs'!B:B,$D$25)+SUMIFS('5. Subcontracting Costs'!H:H,'5. Subcontracting Costs'!C:C,B64,'5. Subcontracting Costs'!B:B,$D$25)</f>
        <v>0</v>
      </c>
      <c r="E64" s="54">
        <f>SUMIFS('1. Staff costs'!S:S,'1. Staff costs'!C:C,B64,'1. Staff costs'!B:B,$E$25)+SUMIFS('2-3. Travel Costs&amp;Costs of Stay'!N:N,'2-3. Travel Costs&amp;Costs of Stay'!C:C,B64,'2-3. Travel Costs&amp;Costs of Stay'!B:B,$E$25)+SUMIFS('4. Equipment Costs'!H:H,'4. Equipment Costs'!C:C,B64,'4. Equipment Costs'!B:B,$E$25)+SUMIFS('5. Subcontracting Costs'!H:H,'5. Subcontracting Costs'!C:C,B64,'5. Subcontracting Costs'!B:B,$E$25)</f>
        <v>0</v>
      </c>
      <c r="F64" s="54">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54">
        <f>SUMIFS('1. Staff costs'!S:S,'1. Staff costs'!C:C,B64,'1. Staff costs'!B:B,$G$25)+SUMIFS('2-3. Travel Costs&amp;Costs of Stay'!N:N,'2-3. Travel Costs&amp;Costs of Stay'!C:C,B64,'2-3. Travel Costs&amp;Costs of Stay'!B:B,$G$25)+SUMIFS('4. Equipment Costs'!H:H,'4. Equipment Costs'!C:C,B64,'4. Equipment Costs'!B:B,$G$25)+SUMIFS('5. Subcontracting Costs'!H:H,'5. Subcontracting Costs'!C:C,B64,'5. Subcontracting Costs'!B:B,$G$25)</f>
        <v>0</v>
      </c>
      <c r="H64" s="61">
        <f>SUMIF('B. Special Mob Strand - Student'!B:B,B64,'B. Special Mob Strand - Student'!N:N)+SUMIF('B. Special Mob Strand - Staff'!B:B,B64,'B. Special Mob Strand - Staff'!N:N)</f>
        <v>0</v>
      </c>
      <c r="I64" s="64">
        <f t="shared" si="4"/>
        <v>0</v>
      </c>
    </row>
    <row r="65" spans="2:9" x14ac:dyDescent="0.25">
      <c r="B65" s="15" t="s">
        <v>131</v>
      </c>
      <c r="C65" s="54">
        <f>SUMIFS('1. Staff costs'!S:S,'1. Staff costs'!C:C,B65,'1. Staff costs'!B:B,$C$25)+SUMIFS('2-3. Travel Costs&amp;Costs of Stay'!N:N,'2-3. Travel Costs&amp;Costs of Stay'!C:C,B65,'2-3. Travel Costs&amp;Costs of Stay'!B:B,$C$25)+SUMIFS('4. Equipment Costs'!H:H,'4. Equipment Costs'!C:C,B65,'4. Equipment Costs'!B:B,$C$25)+SUMIFS('5. Subcontracting Costs'!H:H,'5. Subcontracting Costs'!C:C,B65,'5. Subcontracting Costs'!B:B,$C$25)</f>
        <v>0</v>
      </c>
      <c r="D65" s="54">
        <f>SUMIFS('1. Staff costs'!S:S,'1. Staff costs'!C:C,B65,'1. Staff costs'!B:B,$D$25)+SUMIFS('2-3. Travel Costs&amp;Costs of Stay'!N:N,'2-3. Travel Costs&amp;Costs of Stay'!C:C,B65,'2-3. Travel Costs&amp;Costs of Stay'!B:B,$D$25)+SUMIFS('4. Equipment Costs'!H:H,'4. Equipment Costs'!C:C,B65,'4. Equipment Costs'!B:B,$D$25)+SUMIFS('5. Subcontracting Costs'!H:H,'5. Subcontracting Costs'!C:C,B65,'5. Subcontracting Costs'!B:B,$D$25)</f>
        <v>0</v>
      </c>
      <c r="E65" s="54">
        <f>SUMIFS('1. Staff costs'!S:S,'1. Staff costs'!C:C,B65,'1. Staff costs'!B:B,$E$25)+SUMIFS('2-3. Travel Costs&amp;Costs of Stay'!N:N,'2-3. Travel Costs&amp;Costs of Stay'!C:C,B65,'2-3. Travel Costs&amp;Costs of Stay'!B:B,$E$25)+SUMIFS('4. Equipment Costs'!H:H,'4. Equipment Costs'!C:C,B65,'4. Equipment Costs'!B:B,$E$25)+SUMIFS('5. Subcontracting Costs'!H:H,'5. Subcontracting Costs'!C:C,B65,'5. Subcontracting Costs'!B:B,$E$25)</f>
        <v>0</v>
      </c>
      <c r="F65" s="54">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54">
        <f>SUMIFS('1. Staff costs'!S:S,'1. Staff costs'!C:C,B65,'1. Staff costs'!B:B,$G$25)+SUMIFS('2-3. Travel Costs&amp;Costs of Stay'!N:N,'2-3. Travel Costs&amp;Costs of Stay'!C:C,B65,'2-3. Travel Costs&amp;Costs of Stay'!B:B,$G$25)+SUMIFS('4. Equipment Costs'!H:H,'4. Equipment Costs'!C:C,B65,'4. Equipment Costs'!B:B,$G$25)+SUMIFS('5. Subcontracting Costs'!H:H,'5. Subcontracting Costs'!C:C,B65,'5. Subcontracting Costs'!B:B,$G$25)</f>
        <v>0</v>
      </c>
      <c r="H65" s="61">
        <f>SUMIF('B. Special Mob Strand - Student'!B:B,B65,'B. Special Mob Strand - Student'!N:N)+SUMIF('B. Special Mob Strand - Staff'!B:B,B65,'B. Special Mob Strand - Staff'!N:N)</f>
        <v>0</v>
      </c>
      <c r="I65" s="64">
        <f t="shared" si="4"/>
        <v>0</v>
      </c>
    </row>
    <row r="66" spans="2:9" x14ac:dyDescent="0.25">
      <c r="B66" s="15" t="s">
        <v>141</v>
      </c>
      <c r="C66" s="54">
        <f>SUMIFS('1. Staff costs'!S:S,'1. Staff costs'!C:C,B66,'1. Staff costs'!B:B,$C$25)+SUMIFS('2-3. Travel Costs&amp;Costs of Stay'!N:N,'2-3. Travel Costs&amp;Costs of Stay'!C:C,B66,'2-3. Travel Costs&amp;Costs of Stay'!B:B,$C$25)+SUMIFS('4. Equipment Costs'!H:H,'4. Equipment Costs'!C:C,B66,'4. Equipment Costs'!B:B,$C$25)+SUMIFS('5. Subcontracting Costs'!H:H,'5. Subcontracting Costs'!C:C,B66,'5. Subcontracting Costs'!B:B,$C$25)</f>
        <v>0</v>
      </c>
      <c r="D66" s="54">
        <f>SUMIFS('1. Staff costs'!S:S,'1. Staff costs'!C:C,B66,'1. Staff costs'!B:B,$D$25)+SUMIFS('2-3. Travel Costs&amp;Costs of Stay'!N:N,'2-3. Travel Costs&amp;Costs of Stay'!C:C,B66,'2-3. Travel Costs&amp;Costs of Stay'!B:B,$D$25)+SUMIFS('4. Equipment Costs'!H:H,'4. Equipment Costs'!C:C,B66,'4. Equipment Costs'!B:B,$D$25)+SUMIFS('5. Subcontracting Costs'!H:H,'5. Subcontracting Costs'!C:C,B66,'5. Subcontracting Costs'!B:B,$D$25)</f>
        <v>0</v>
      </c>
      <c r="E66" s="54">
        <f>SUMIFS('1. Staff costs'!S:S,'1. Staff costs'!C:C,B66,'1. Staff costs'!B:B,$E$25)+SUMIFS('2-3. Travel Costs&amp;Costs of Stay'!N:N,'2-3. Travel Costs&amp;Costs of Stay'!C:C,B66,'2-3. Travel Costs&amp;Costs of Stay'!B:B,$E$25)+SUMIFS('4. Equipment Costs'!H:H,'4. Equipment Costs'!C:C,B66,'4. Equipment Costs'!B:B,$E$25)+SUMIFS('5. Subcontracting Costs'!H:H,'5. Subcontracting Costs'!C:C,B66,'5. Subcontracting Costs'!B:B,$E$25)</f>
        <v>0</v>
      </c>
      <c r="F66" s="54">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54">
        <f>SUMIFS('1. Staff costs'!S:S,'1. Staff costs'!C:C,B66,'1. Staff costs'!B:B,$G$25)+SUMIFS('2-3. Travel Costs&amp;Costs of Stay'!N:N,'2-3. Travel Costs&amp;Costs of Stay'!C:C,B66,'2-3. Travel Costs&amp;Costs of Stay'!B:B,$G$25)+SUMIFS('4. Equipment Costs'!H:H,'4. Equipment Costs'!C:C,B66,'4. Equipment Costs'!B:B,$G$25)+SUMIFS('5. Subcontracting Costs'!H:H,'5. Subcontracting Costs'!C:C,B66,'5. Subcontracting Costs'!B:B,$G$25)</f>
        <v>0</v>
      </c>
      <c r="H66" s="61">
        <f>SUMIF('B. Special Mob Strand - Student'!B:B,B66,'B. Special Mob Strand - Student'!N:N)+SUMIF('B. Special Mob Strand - Staff'!B:B,B66,'B. Special Mob Strand - Staff'!N:N)</f>
        <v>0</v>
      </c>
      <c r="I66" s="64">
        <f t="shared" si="4"/>
        <v>0</v>
      </c>
    </row>
    <row r="67" spans="2:9" x14ac:dyDescent="0.25">
      <c r="B67" s="15" t="s">
        <v>142</v>
      </c>
      <c r="C67" s="54">
        <f>SUMIFS('1. Staff costs'!S:S,'1. Staff costs'!C:C,B67,'1. Staff costs'!B:B,$C$25)+SUMIFS('2-3. Travel Costs&amp;Costs of Stay'!N:N,'2-3. Travel Costs&amp;Costs of Stay'!C:C,B67,'2-3. Travel Costs&amp;Costs of Stay'!B:B,$C$25)+SUMIFS('4. Equipment Costs'!H:H,'4. Equipment Costs'!C:C,B67,'4. Equipment Costs'!B:B,$C$25)+SUMIFS('5. Subcontracting Costs'!H:H,'5. Subcontracting Costs'!C:C,B67,'5. Subcontracting Costs'!B:B,$C$25)</f>
        <v>0</v>
      </c>
      <c r="D67" s="54">
        <f>SUMIFS('1. Staff costs'!S:S,'1. Staff costs'!C:C,B67,'1. Staff costs'!B:B,$D$25)+SUMIFS('2-3. Travel Costs&amp;Costs of Stay'!N:N,'2-3. Travel Costs&amp;Costs of Stay'!C:C,B67,'2-3. Travel Costs&amp;Costs of Stay'!B:B,$D$25)+SUMIFS('4. Equipment Costs'!H:H,'4. Equipment Costs'!C:C,B67,'4. Equipment Costs'!B:B,$D$25)+SUMIFS('5. Subcontracting Costs'!H:H,'5. Subcontracting Costs'!C:C,B67,'5. Subcontracting Costs'!B:B,$D$25)</f>
        <v>0</v>
      </c>
      <c r="E67" s="54">
        <f>SUMIFS('1. Staff costs'!S:S,'1. Staff costs'!C:C,B67,'1. Staff costs'!B:B,$E$25)+SUMIFS('2-3. Travel Costs&amp;Costs of Stay'!N:N,'2-3. Travel Costs&amp;Costs of Stay'!C:C,B67,'2-3. Travel Costs&amp;Costs of Stay'!B:B,$E$25)+SUMIFS('4. Equipment Costs'!H:H,'4. Equipment Costs'!C:C,B67,'4. Equipment Costs'!B:B,$E$25)+SUMIFS('5. Subcontracting Costs'!H:H,'5. Subcontracting Costs'!C:C,B67,'5. Subcontracting Costs'!B:B,$E$25)</f>
        <v>0</v>
      </c>
      <c r="F67" s="54">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54">
        <f>SUMIFS('1. Staff costs'!S:S,'1. Staff costs'!C:C,B67,'1. Staff costs'!B:B,$G$25)+SUMIFS('2-3. Travel Costs&amp;Costs of Stay'!N:N,'2-3. Travel Costs&amp;Costs of Stay'!C:C,B67,'2-3. Travel Costs&amp;Costs of Stay'!B:B,$G$25)+SUMIFS('4. Equipment Costs'!H:H,'4. Equipment Costs'!C:C,B67,'4. Equipment Costs'!B:B,$G$25)+SUMIFS('5. Subcontracting Costs'!H:H,'5. Subcontracting Costs'!C:C,B67,'5. Subcontracting Costs'!B:B,$G$25)</f>
        <v>0</v>
      </c>
      <c r="H67" s="61">
        <f>SUMIF('B. Special Mob Strand - Student'!B:B,B67,'B. Special Mob Strand - Student'!N:N)+SUMIF('B. Special Mob Strand - Staff'!B:B,B67,'B. Special Mob Strand - Staff'!N:N)</f>
        <v>0</v>
      </c>
      <c r="I67" s="64">
        <f t="shared" si="4"/>
        <v>0</v>
      </c>
    </row>
    <row r="68" spans="2:9" x14ac:dyDescent="0.25">
      <c r="B68" s="15" t="s">
        <v>143</v>
      </c>
      <c r="C68" s="54">
        <f>SUMIFS('1. Staff costs'!S:S,'1. Staff costs'!C:C,B68,'1. Staff costs'!B:B,$C$25)+SUMIFS('2-3. Travel Costs&amp;Costs of Stay'!N:N,'2-3. Travel Costs&amp;Costs of Stay'!C:C,B68,'2-3. Travel Costs&amp;Costs of Stay'!B:B,$C$25)+SUMIFS('4. Equipment Costs'!H:H,'4. Equipment Costs'!C:C,B68,'4. Equipment Costs'!B:B,$C$25)+SUMIFS('5. Subcontracting Costs'!H:H,'5. Subcontracting Costs'!C:C,B68,'5. Subcontracting Costs'!B:B,$C$25)</f>
        <v>0</v>
      </c>
      <c r="D68" s="54">
        <f>SUMIFS('1. Staff costs'!S:S,'1. Staff costs'!C:C,B68,'1. Staff costs'!B:B,$D$25)+SUMIFS('2-3. Travel Costs&amp;Costs of Stay'!N:N,'2-3. Travel Costs&amp;Costs of Stay'!C:C,B68,'2-3. Travel Costs&amp;Costs of Stay'!B:B,$D$25)+SUMIFS('4. Equipment Costs'!H:H,'4. Equipment Costs'!C:C,B68,'4. Equipment Costs'!B:B,$D$25)+SUMIFS('5. Subcontracting Costs'!H:H,'5. Subcontracting Costs'!C:C,B68,'5. Subcontracting Costs'!B:B,$D$25)</f>
        <v>0</v>
      </c>
      <c r="E68" s="54">
        <f>SUMIFS('1. Staff costs'!S:S,'1. Staff costs'!C:C,B68,'1. Staff costs'!B:B,$E$25)+SUMIFS('2-3. Travel Costs&amp;Costs of Stay'!N:N,'2-3. Travel Costs&amp;Costs of Stay'!C:C,B68,'2-3. Travel Costs&amp;Costs of Stay'!B:B,$E$25)+SUMIFS('4. Equipment Costs'!H:H,'4. Equipment Costs'!C:C,B68,'4. Equipment Costs'!B:B,$E$25)+SUMIFS('5. Subcontracting Costs'!H:H,'5. Subcontracting Costs'!C:C,B68,'5. Subcontracting Costs'!B:B,$E$25)</f>
        <v>0</v>
      </c>
      <c r="F68" s="54">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54">
        <f>SUMIFS('1. Staff costs'!S:S,'1. Staff costs'!C:C,B68,'1. Staff costs'!B:B,$G$25)+SUMIFS('2-3. Travel Costs&amp;Costs of Stay'!N:N,'2-3. Travel Costs&amp;Costs of Stay'!C:C,B68,'2-3. Travel Costs&amp;Costs of Stay'!B:B,$G$25)+SUMIFS('4. Equipment Costs'!H:H,'4. Equipment Costs'!C:C,B68,'4. Equipment Costs'!B:B,$G$25)+SUMIFS('5. Subcontracting Costs'!H:H,'5. Subcontracting Costs'!C:C,B68,'5. Subcontracting Costs'!B:B,$G$25)</f>
        <v>0</v>
      </c>
      <c r="H68" s="61">
        <f>SUMIF('B. Special Mob Strand - Student'!B:B,B68,'B. Special Mob Strand - Student'!N:N)+SUMIF('B. Special Mob Strand - Staff'!B:B,B68,'B. Special Mob Strand - Staff'!N:N)</f>
        <v>0</v>
      </c>
      <c r="I68" s="64">
        <f t="shared" si="4"/>
        <v>0</v>
      </c>
    </row>
    <row r="69" spans="2:9" x14ac:dyDescent="0.25">
      <c r="B69" s="15" t="s">
        <v>144</v>
      </c>
      <c r="C69" s="54">
        <f>SUMIFS('1. Staff costs'!S:S,'1. Staff costs'!C:C,B69,'1. Staff costs'!B:B,$C$25)+SUMIFS('2-3. Travel Costs&amp;Costs of Stay'!N:N,'2-3. Travel Costs&amp;Costs of Stay'!C:C,B69,'2-3. Travel Costs&amp;Costs of Stay'!B:B,$C$25)+SUMIFS('4. Equipment Costs'!H:H,'4. Equipment Costs'!C:C,B69,'4. Equipment Costs'!B:B,$C$25)+SUMIFS('5. Subcontracting Costs'!H:H,'5. Subcontracting Costs'!C:C,B69,'5. Subcontracting Costs'!B:B,$C$25)</f>
        <v>0</v>
      </c>
      <c r="D69" s="54">
        <f>SUMIFS('1. Staff costs'!S:S,'1. Staff costs'!C:C,B69,'1. Staff costs'!B:B,$D$25)+SUMIFS('2-3. Travel Costs&amp;Costs of Stay'!N:N,'2-3. Travel Costs&amp;Costs of Stay'!C:C,B69,'2-3. Travel Costs&amp;Costs of Stay'!B:B,$D$25)+SUMIFS('4. Equipment Costs'!H:H,'4. Equipment Costs'!C:C,B69,'4. Equipment Costs'!B:B,$D$25)+SUMIFS('5. Subcontracting Costs'!H:H,'5. Subcontracting Costs'!C:C,B69,'5. Subcontracting Costs'!B:B,$D$25)</f>
        <v>0</v>
      </c>
      <c r="E69" s="54">
        <f>SUMIFS('1. Staff costs'!S:S,'1. Staff costs'!C:C,B69,'1. Staff costs'!B:B,$E$25)+SUMIFS('2-3. Travel Costs&amp;Costs of Stay'!N:N,'2-3. Travel Costs&amp;Costs of Stay'!C:C,B69,'2-3. Travel Costs&amp;Costs of Stay'!B:B,$E$25)+SUMIFS('4. Equipment Costs'!H:H,'4. Equipment Costs'!C:C,B69,'4. Equipment Costs'!B:B,$E$25)+SUMIFS('5. Subcontracting Costs'!H:H,'5. Subcontracting Costs'!C:C,B69,'5. Subcontracting Costs'!B:B,$E$25)</f>
        <v>0</v>
      </c>
      <c r="F69" s="54">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54">
        <f>SUMIFS('1. Staff costs'!S:S,'1. Staff costs'!C:C,B69,'1. Staff costs'!B:B,$G$25)+SUMIFS('2-3. Travel Costs&amp;Costs of Stay'!N:N,'2-3. Travel Costs&amp;Costs of Stay'!C:C,B69,'2-3. Travel Costs&amp;Costs of Stay'!B:B,$G$25)+SUMIFS('4. Equipment Costs'!H:H,'4. Equipment Costs'!C:C,B69,'4. Equipment Costs'!B:B,$G$25)+SUMIFS('5. Subcontracting Costs'!H:H,'5. Subcontracting Costs'!C:C,B69,'5. Subcontracting Costs'!B:B,$G$25)</f>
        <v>0</v>
      </c>
      <c r="H69" s="61">
        <f>SUMIF('B. Special Mob Strand - Student'!B:B,B69,'B. Special Mob Strand - Student'!N:N)+SUMIF('B. Special Mob Strand - Staff'!B:B,B69,'B. Special Mob Strand - Staff'!N:N)</f>
        <v>0</v>
      </c>
      <c r="I69" s="64">
        <f t="shared" si="4"/>
        <v>0</v>
      </c>
    </row>
    <row r="70" spans="2:9" x14ac:dyDescent="0.25">
      <c r="B70" s="15" t="s">
        <v>145</v>
      </c>
      <c r="C70" s="54">
        <f>SUMIFS('1. Staff costs'!S:S,'1. Staff costs'!C:C,B70,'1. Staff costs'!B:B,$C$25)+SUMIFS('2-3. Travel Costs&amp;Costs of Stay'!N:N,'2-3. Travel Costs&amp;Costs of Stay'!C:C,B70,'2-3. Travel Costs&amp;Costs of Stay'!B:B,$C$25)+SUMIFS('4. Equipment Costs'!H:H,'4. Equipment Costs'!C:C,B70,'4. Equipment Costs'!B:B,$C$25)+SUMIFS('5. Subcontracting Costs'!H:H,'5. Subcontracting Costs'!C:C,B70,'5. Subcontracting Costs'!B:B,$C$25)</f>
        <v>0</v>
      </c>
      <c r="D70" s="54">
        <f>SUMIFS('1. Staff costs'!S:S,'1. Staff costs'!C:C,B70,'1. Staff costs'!B:B,$D$25)+SUMIFS('2-3. Travel Costs&amp;Costs of Stay'!N:N,'2-3. Travel Costs&amp;Costs of Stay'!C:C,B70,'2-3. Travel Costs&amp;Costs of Stay'!B:B,$D$25)+SUMIFS('4. Equipment Costs'!H:H,'4. Equipment Costs'!C:C,B70,'4. Equipment Costs'!B:B,$D$25)+SUMIFS('5. Subcontracting Costs'!H:H,'5. Subcontracting Costs'!C:C,B70,'5. Subcontracting Costs'!B:B,$D$25)</f>
        <v>0</v>
      </c>
      <c r="E70" s="54">
        <f>SUMIFS('1. Staff costs'!S:S,'1. Staff costs'!C:C,B70,'1. Staff costs'!B:B,$E$25)+SUMIFS('2-3. Travel Costs&amp;Costs of Stay'!N:N,'2-3. Travel Costs&amp;Costs of Stay'!C:C,B70,'2-3. Travel Costs&amp;Costs of Stay'!B:B,$E$25)+SUMIFS('4. Equipment Costs'!H:H,'4. Equipment Costs'!C:C,B70,'4. Equipment Costs'!B:B,$E$25)+SUMIFS('5. Subcontracting Costs'!H:H,'5. Subcontracting Costs'!C:C,B70,'5. Subcontracting Costs'!B:B,$E$25)</f>
        <v>0</v>
      </c>
      <c r="F70" s="54">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54">
        <f>SUMIFS('1. Staff costs'!S:S,'1. Staff costs'!C:C,B70,'1. Staff costs'!B:B,$G$25)+SUMIFS('2-3. Travel Costs&amp;Costs of Stay'!N:N,'2-3. Travel Costs&amp;Costs of Stay'!C:C,B70,'2-3. Travel Costs&amp;Costs of Stay'!B:B,$G$25)+SUMIFS('4. Equipment Costs'!H:H,'4. Equipment Costs'!C:C,B70,'4. Equipment Costs'!B:B,$G$25)+SUMIFS('5. Subcontracting Costs'!H:H,'5. Subcontracting Costs'!C:C,B70,'5. Subcontracting Costs'!B:B,$G$25)</f>
        <v>0</v>
      </c>
      <c r="H70" s="61">
        <f>SUMIF('B. Special Mob Strand - Student'!B:B,B70,'B. Special Mob Strand - Student'!N:N)+SUMIF('B. Special Mob Strand - Staff'!B:B,B70,'B. Special Mob Strand - Staff'!N:N)</f>
        <v>0</v>
      </c>
      <c r="I70" s="64">
        <f t="shared" si="4"/>
        <v>0</v>
      </c>
    </row>
    <row r="71" spans="2:9" x14ac:dyDescent="0.25">
      <c r="B71" s="15" t="s">
        <v>146</v>
      </c>
      <c r="C71" s="54">
        <f>SUMIFS('1. Staff costs'!S:S,'1. Staff costs'!C:C,B71,'1. Staff costs'!B:B,$C$25)+SUMIFS('2-3. Travel Costs&amp;Costs of Stay'!N:N,'2-3. Travel Costs&amp;Costs of Stay'!C:C,B71,'2-3. Travel Costs&amp;Costs of Stay'!B:B,$C$25)+SUMIFS('4. Equipment Costs'!H:H,'4. Equipment Costs'!C:C,B71,'4. Equipment Costs'!B:B,$C$25)+SUMIFS('5. Subcontracting Costs'!H:H,'5. Subcontracting Costs'!C:C,B71,'5. Subcontracting Costs'!B:B,$C$25)</f>
        <v>0</v>
      </c>
      <c r="D71" s="54">
        <f>SUMIFS('1. Staff costs'!S:S,'1. Staff costs'!C:C,B71,'1. Staff costs'!B:B,$D$25)+SUMIFS('2-3. Travel Costs&amp;Costs of Stay'!N:N,'2-3. Travel Costs&amp;Costs of Stay'!C:C,B71,'2-3. Travel Costs&amp;Costs of Stay'!B:B,$D$25)+SUMIFS('4. Equipment Costs'!H:H,'4. Equipment Costs'!C:C,B71,'4. Equipment Costs'!B:B,$D$25)+SUMIFS('5. Subcontracting Costs'!H:H,'5. Subcontracting Costs'!C:C,B71,'5. Subcontracting Costs'!B:B,$D$25)</f>
        <v>0</v>
      </c>
      <c r="E71" s="54">
        <f>SUMIFS('1. Staff costs'!S:S,'1. Staff costs'!C:C,B71,'1. Staff costs'!B:B,$E$25)+SUMIFS('2-3. Travel Costs&amp;Costs of Stay'!N:N,'2-3. Travel Costs&amp;Costs of Stay'!C:C,B71,'2-3. Travel Costs&amp;Costs of Stay'!B:B,$E$25)+SUMIFS('4. Equipment Costs'!H:H,'4. Equipment Costs'!C:C,B71,'4. Equipment Costs'!B:B,$E$25)+SUMIFS('5. Subcontracting Costs'!H:H,'5. Subcontracting Costs'!C:C,B71,'5. Subcontracting Costs'!B:B,$E$25)</f>
        <v>0</v>
      </c>
      <c r="F71" s="54">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54">
        <f>SUMIFS('1. Staff costs'!S:S,'1. Staff costs'!C:C,B71,'1. Staff costs'!B:B,$G$25)+SUMIFS('2-3. Travel Costs&amp;Costs of Stay'!N:N,'2-3. Travel Costs&amp;Costs of Stay'!C:C,B71,'2-3. Travel Costs&amp;Costs of Stay'!B:B,$G$25)+SUMIFS('4. Equipment Costs'!H:H,'4. Equipment Costs'!C:C,B71,'4. Equipment Costs'!B:B,$G$25)+SUMIFS('5. Subcontracting Costs'!H:H,'5. Subcontracting Costs'!C:C,B71,'5. Subcontracting Costs'!B:B,$G$25)</f>
        <v>0</v>
      </c>
      <c r="H71" s="61">
        <f>SUMIF('B. Special Mob Strand - Student'!B:B,B71,'B. Special Mob Strand - Student'!N:N)+SUMIF('B. Special Mob Strand - Staff'!B:B,B71,'B. Special Mob Strand - Staff'!N:N)</f>
        <v>0</v>
      </c>
      <c r="I71" s="64">
        <f t="shared" si="4"/>
        <v>0</v>
      </c>
    </row>
    <row r="72" spans="2:9" x14ac:dyDescent="0.25">
      <c r="B72" s="15" t="s">
        <v>147</v>
      </c>
      <c r="C72" s="54">
        <f>SUMIFS('1. Staff costs'!S:S,'1. Staff costs'!C:C,B72,'1. Staff costs'!B:B,$C$25)+SUMIFS('2-3. Travel Costs&amp;Costs of Stay'!N:N,'2-3. Travel Costs&amp;Costs of Stay'!C:C,B72,'2-3. Travel Costs&amp;Costs of Stay'!B:B,$C$25)+SUMIFS('4. Equipment Costs'!H:H,'4. Equipment Costs'!C:C,B72,'4. Equipment Costs'!B:B,$C$25)+SUMIFS('5. Subcontracting Costs'!H:H,'5. Subcontracting Costs'!C:C,B72,'5. Subcontracting Costs'!B:B,$C$25)</f>
        <v>0</v>
      </c>
      <c r="D72" s="54">
        <f>SUMIFS('1. Staff costs'!S:S,'1. Staff costs'!C:C,B72,'1. Staff costs'!B:B,$D$25)+SUMIFS('2-3. Travel Costs&amp;Costs of Stay'!N:N,'2-3. Travel Costs&amp;Costs of Stay'!C:C,B72,'2-3. Travel Costs&amp;Costs of Stay'!B:B,$D$25)+SUMIFS('4. Equipment Costs'!H:H,'4. Equipment Costs'!C:C,B72,'4. Equipment Costs'!B:B,$D$25)+SUMIFS('5. Subcontracting Costs'!H:H,'5. Subcontracting Costs'!C:C,B72,'5. Subcontracting Costs'!B:B,$D$25)</f>
        <v>0</v>
      </c>
      <c r="E72" s="54">
        <f>SUMIFS('1. Staff costs'!S:S,'1. Staff costs'!C:C,B72,'1. Staff costs'!B:B,$E$25)+SUMIFS('2-3. Travel Costs&amp;Costs of Stay'!N:N,'2-3. Travel Costs&amp;Costs of Stay'!C:C,B72,'2-3. Travel Costs&amp;Costs of Stay'!B:B,$E$25)+SUMIFS('4. Equipment Costs'!H:H,'4. Equipment Costs'!C:C,B72,'4. Equipment Costs'!B:B,$E$25)+SUMIFS('5. Subcontracting Costs'!H:H,'5. Subcontracting Costs'!C:C,B72,'5. Subcontracting Costs'!B:B,$E$25)</f>
        <v>0</v>
      </c>
      <c r="F72" s="54">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54">
        <f>SUMIFS('1. Staff costs'!S:S,'1. Staff costs'!C:C,B72,'1. Staff costs'!B:B,$G$25)+SUMIFS('2-3. Travel Costs&amp;Costs of Stay'!N:N,'2-3. Travel Costs&amp;Costs of Stay'!C:C,B72,'2-3. Travel Costs&amp;Costs of Stay'!B:B,$G$25)+SUMIFS('4. Equipment Costs'!H:H,'4. Equipment Costs'!C:C,B72,'4. Equipment Costs'!B:B,$G$25)+SUMIFS('5. Subcontracting Costs'!H:H,'5. Subcontracting Costs'!C:C,B72,'5. Subcontracting Costs'!B:B,$G$25)</f>
        <v>0</v>
      </c>
      <c r="H72" s="61">
        <f>SUMIF('B. Special Mob Strand - Student'!B:B,B72,'B. Special Mob Strand - Student'!N:N)+SUMIF('B. Special Mob Strand - Staff'!B:B,B72,'B. Special Mob Strand - Staff'!N:N)</f>
        <v>0</v>
      </c>
      <c r="I72" s="64">
        <f t="shared" si="4"/>
        <v>0</v>
      </c>
    </row>
    <row r="73" spans="2:9" x14ac:dyDescent="0.25">
      <c r="B73" s="15" t="s">
        <v>148</v>
      </c>
      <c r="C73" s="54">
        <f>SUMIFS('1. Staff costs'!S:S,'1. Staff costs'!C:C,B73,'1. Staff costs'!B:B,$C$25)+SUMIFS('2-3. Travel Costs&amp;Costs of Stay'!N:N,'2-3. Travel Costs&amp;Costs of Stay'!C:C,B73,'2-3. Travel Costs&amp;Costs of Stay'!B:B,$C$25)+SUMIFS('4. Equipment Costs'!H:H,'4. Equipment Costs'!C:C,B73,'4. Equipment Costs'!B:B,$C$25)+SUMIFS('5. Subcontracting Costs'!H:H,'5. Subcontracting Costs'!C:C,B73,'5. Subcontracting Costs'!B:B,$C$25)</f>
        <v>0</v>
      </c>
      <c r="D73" s="54">
        <f>SUMIFS('1. Staff costs'!S:S,'1. Staff costs'!C:C,B73,'1. Staff costs'!B:B,$D$25)+SUMIFS('2-3. Travel Costs&amp;Costs of Stay'!N:N,'2-3. Travel Costs&amp;Costs of Stay'!C:C,B73,'2-3. Travel Costs&amp;Costs of Stay'!B:B,$D$25)+SUMIFS('4. Equipment Costs'!H:H,'4. Equipment Costs'!C:C,B73,'4. Equipment Costs'!B:B,$D$25)+SUMIFS('5. Subcontracting Costs'!H:H,'5. Subcontracting Costs'!C:C,B73,'5. Subcontracting Costs'!B:B,$D$25)</f>
        <v>0</v>
      </c>
      <c r="E73" s="54">
        <f>SUMIFS('1. Staff costs'!S:S,'1. Staff costs'!C:C,B73,'1. Staff costs'!B:B,$E$25)+SUMIFS('2-3. Travel Costs&amp;Costs of Stay'!N:N,'2-3. Travel Costs&amp;Costs of Stay'!C:C,B73,'2-3. Travel Costs&amp;Costs of Stay'!B:B,$E$25)+SUMIFS('4. Equipment Costs'!H:H,'4. Equipment Costs'!C:C,B73,'4. Equipment Costs'!B:B,$E$25)+SUMIFS('5. Subcontracting Costs'!H:H,'5. Subcontracting Costs'!C:C,B73,'5. Subcontracting Costs'!B:B,$E$25)</f>
        <v>0</v>
      </c>
      <c r="F73" s="54">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54">
        <f>SUMIFS('1. Staff costs'!S:S,'1. Staff costs'!C:C,B73,'1. Staff costs'!B:B,$G$25)+SUMIFS('2-3. Travel Costs&amp;Costs of Stay'!N:N,'2-3. Travel Costs&amp;Costs of Stay'!C:C,B73,'2-3. Travel Costs&amp;Costs of Stay'!B:B,$G$25)+SUMIFS('4. Equipment Costs'!H:H,'4. Equipment Costs'!C:C,B73,'4. Equipment Costs'!B:B,$G$25)+SUMIFS('5. Subcontracting Costs'!H:H,'5. Subcontracting Costs'!C:C,B73,'5. Subcontracting Costs'!B:B,$G$25)</f>
        <v>0</v>
      </c>
      <c r="H73" s="61">
        <f>SUMIF('B. Special Mob Strand - Student'!B:B,B73,'B. Special Mob Strand - Student'!N:N)+SUMIF('B. Special Mob Strand - Staff'!B:B,B73,'B. Special Mob Strand - Staff'!N:N)</f>
        <v>0</v>
      </c>
      <c r="I73" s="64">
        <f t="shared" si="4"/>
        <v>0</v>
      </c>
    </row>
    <row r="74" spans="2:9" x14ac:dyDescent="0.25">
      <c r="B74" s="15" t="s">
        <v>149</v>
      </c>
      <c r="C74" s="54">
        <f>SUMIFS('1. Staff costs'!S:S,'1. Staff costs'!C:C,B74,'1. Staff costs'!B:B,$C$25)+SUMIFS('2-3. Travel Costs&amp;Costs of Stay'!N:N,'2-3. Travel Costs&amp;Costs of Stay'!C:C,B74,'2-3. Travel Costs&amp;Costs of Stay'!B:B,$C$25)+SUMIFS('4. Equipment Costs'!H:H,'4. Equipment Costs'!C:C,B74,'4. Equipment Costs'!B:B,$C$25)+SUMIFS('5. Subcontracting Costs'!H:H,'5. Subcontracting Costs'!C:C,B74,'5. Subcontracting Costs'!B:B,$C$25)</f>
        <v>0</v>
      </c>
      <c r="D74" s="54">
        <f>SUMIFS('1. Staff costs'!S:S,'1. Staff costs'!C:C,B74,'1. Staff costs'!B:B,$D$25)+SUMIFS('2-3. Travel Costs&amp;Costs of Stay'!N:N,'2-3. Travel Costs&amp;Costs of Stay'!C:C,B74,'2-3. Travel Costs&amp;Costs of Stay'!B:B,$D$25)+SUMIFS('4. Equipment Costs'!H:H,'4. Equipment Costs'!C:C,B74,'4. Equipment Costs'!B:B,$D$25)+SUMIFS('5. Subcontracting Costs'!H:H,'5. Subcontracting Costs'!C:C,B74,'5. Subcontracting Costs'!B:B,$D$25)</f>
        <v>0</v>
      </c>
      <c r="E74" s="54">
        <f>SUMIFS('1. Staff costs'!S:S,'1. Staff costs'!C:C,B74,'1. Staff costs'!B:B,$E$25)+SUMIFS('2-3. Travel Costs&amp;Costs of Stay'!N:N,'2-3. Travel Costs&amp;Costs of Stay'!C:C,B74,'2-3. Travel Costs&amp;Costs of Stay'!B:B,$E$25)+SUMIFS('4. Equipment Costs'!H:H,'4. Equipment Costs'!C:C,B74,'4. Equipment Costs'!B:B,$E$25)+SUMIFS('5. Subcontracting Costs'!H:H,'5. Subcontracting Costs'!C:C,B74,'5. Subcontracting Costs'!B:B,$E$25)</f>
        <v>0</v>
      </c>
      <c r="F74" s="54">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54">
        <f>SUMIFS('1. Staff costs'!S:S,'1. Staff costs'!C:C,B74,'1. Staff costs'!B:B,$G$25)+SUMIFS('2-3. Travel Costs&amp;Costs of Stay'!N:N,'2-3. Travel Costs&amp;Costs of Stay'!C:C,B74,'2-3. Travel Costs&amp;Costs of Stay'!B:B,$G$25)+SUMIFS('4. Equipment Costs'!H:H,'4. Equipment Costs'!C:C,B74,'4. Equipment Costs'!B:B,$G$25)+SUMIFS('5. Subcontracting Costs'!H:H,'5. Subcontracting Costs'!C:C,B74,'5. Subcontracting Costs'!B:B,$G$25)</f>
        <v>0</v>
      </c>
      <c r="H74" s="61">
        <f>SUMIF('B. Special Mob Strand - Student'!B:B,B74,'B. Special Mob Strand - Student'!N:N)+SUMIF('B. Special Mob Strand - Staff'!B:B,B74,'B. Special Mob Strand - Staff'!N:N)</f>
        <v>0</v>
      </c>
      <c r="I74" s="64">
        <f t="shared" si="4"/>
        <v>0</v>
      </c>
    </row>
    <row r="75" spans="2:9" x14ac:dyDescent="0.25">
      <c r="B75" s="15" t="s">
        <v>150</v>
      </c>
      <c r="C75" s="54">
        <f>SUMIFS('1. Staff costs'!S:S,'1. Staff costs'!C:C,B75,'1. Staff costs'!B:B,$C$25)+SUMIFS('2-3. Travel Costs&amp;Costs of Stay'!N:N,'2-3. Travel Costs&amp;Costs of Stay'!C:C,B75,'2-3. Travel Costs&amp;Costs of Stay'!B:B,$C$25)+SUMIFS('4. Equipment Costs'!H:H,'4. Equipment Costs'!C:C,B75,'4. Equipment Costs'!B:B,$C$25)+SUMIFS('5. Subcontracting Costs'!H:H,'5. Subcontracting Costs'!C:C,B75,'5. Subcontracting Costs'!B:B,$C$25)</f>
        <v>0</v>
      </c>
      <c r="D75" s="54">
        <f>SUMIFS('1. Staff costs'!S:S,'1. Staff costs'!C:C,B75,'1. Staff costs'!B:B,$D$25)+SUMIFS('2-3. Travel Costs&amp;Costs of Stay'!N:N,'2-3. Travel Costs&amp;Costs of Stay'!C:C,B75,'2-3. Travel Costs&amp;Costs of Stay'!B:B,$D$25)+SUMIFS('4. Equipment Costs'!H:H,'4. Equipment Costs'!C:C,B75,'4. Equipment Costs'!B:B,$D$25)+SUMIFS('5. Subcontracting Costs'!H:H,'5. Subcontracting Costs'!C:C,B75,'5. Subcontracting Costs'!B:B,$D$25)</f>
        <v>0</v>
      </c>
      <c r="E75" s="54">
        <f>SUMIFS('1. Staff costs'!S:S,'1. Staff costs'!C:C,B75,'1. Staff costs'!B:B,$E$25)+SUMIFS('2-3. Travel Costs&amp;Costs of Stay'!N:N,'2-3. Travel Costs&amp;Costs of Stay'!C:C,B75,'2-3. Travel Costs&amp;Costs of Stay'!B:B,$E$25)+SUMIFS('4. Equipment Costs'!H:H,'4. Equipment Costs'!C:C,B75,'4. Equipment Costs'!B:B,$E$25)+SUMIFS('5. Subcontracting Costs'!H:H,'5. Subcontracting Costs'!C:C,B75,'5. Subcontracting Costs'!B:B,$E$25)</f>
        <v>0</v>
      </c>
      <c r="F75" s="54">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54">
        <f>SUMIFS('1. Staff costs'!S:S,'1. Staff costs'!C:C,B75,'1. Staff costs'!B:B,$G$25)+SUMIFS('2-3. Travel Costs&amp;Costs of Stay'!N:N,'2-3. Travel Costs&amp;Costs of Stay'!C:C,B75,'2-3. Travel Costs&amp;Costs of Stay'!B:B,$G$25)+SUMIFS('4. Equipment Costs'!H:H,'4. Equipment Costs'!C:C,B75,'4. Equipment Costs'!B:B,$G$25)+SUMIFS('5. Subcontracting Costs'!H:H,'5. Subcontracting Costs'!C:C,B75,'5. Subcontracting Costs'!B:B,$G$25)</f>
        <v>0</v>
      </c>
      <c r="H75" s="61">
        <f>SUMIF('B. Special Mob Strand - Student'!B:B,B75,'B. Special Mob Strand - Student'!N:N)+SUMIF('B. Special Mob Strand - Staff'!B:B,B75,'B. Special Mob Strand - Staff'!N:N)</f>
        <v>0</v>
      </c>
      <c r="I75" s="64">
        <f t="shared" si="4"/>
        <v>0</v>
      </c>
    </row>
    <row r="76" spans="2:9" x14ac:dyDescent="0.25">
      <c r="B76" s="15" t="s">
        <v>163</v>
      </c>
      <c r="C76" s="54">
        <f>SUMIFS('1. Staff costs'!S:S,'1. Staff costs'!C:C,B76,'1. Staff costs'!B:B,$C$25)+SUMIFS('2-3. Travel Costs&amp;Costs of Stay'!N:N,'2-3. Travel Costs&amp;Costs of Stay'!C:C,B76,'2-3. Travel Costs&amp;Costs of Stay'!B:B,$C$25)+SUMIFS('4. Equipment Costs'!H:H,'4. Equipment Costs'!C:C,B76,'4. Equipment Costs'!B:B,$C$25)+SUMIFS('5. Subcontracting Costs'!H:H,'5. Subcontracting Costs'!C:C,B76,'5. Subcontracting Costs'!B:B,$C$25)</f>
        <v>0</v>
      </c>
      <c r="D76" s="54">
        <f>SUMIFS('1. Staff costs'!S:S,'1. Staff costs'!C:C,B76,'1. Staff costs'!B:B,$D$25)+SUMIFS('2-3. Travel Costs&amp;Costs of Stay'!N:N,'2-3. Travel Costs&amp;Costs of Stay'!C:C,B76,'2-3. Travel Costs&amp;Costs of Stay'!B:B,$D$25)+SUMIFS('4. Equipment Costs'!H:H,'4. Equipment Costs'!C:C,B76,'4. Equipment Costs'!B:B,$D$25)+SUMIFS('5. Subcontracting Costs'!H:H,'5. Subcontracting Costs'!C:C,B76,'5. Subcontracting Costs'!B:B,$D$25)</f>
        <v>0</v>
      </c>
      <c r="E76" s="54">
        <f>SUMIFS('1. Staff costs'!S:S,'1. Staff costs'!C:C,B76,'1. Staff costs'!B:B,$E$25)+SUMIFS('2-3. Travel Costs&amp;Costs of Stay'!N:N,'2-3. Travel Costs&amp;Costs of Stay'!C:C,B76,'2-3. Travel Costs&amp;Costs of Stay'!B:B,$E$25)+SUMIFS('4. Equipment Costs'!H:H,'4. Equipment Costs'!C:C,B76,'4. Equipment Costs'!B:B,$E$25)+SUMIFS('5. Subcontracting Costs'!H:H,'5. Subcontracting Costs'!C:C,B76,'5. Subcontracting Costs'!B:B,$E$25)</f>
        <v>0</v>
      </c>
      <c r="F76" s="54">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54">
        <f>SUMIFS('1. Staff costs'!S:S,'1. Staff costs'!C:C,B76,'1. Staff costs'!B:B,$G$25)+SUMIFS('2-3. Travel Costs&amp;Costs of Stay'!N:N,'2-3. Travel Costs&amp;Costs of Stay'!C:C,B76,'2-3. Travel Costs&amp;Costs of Stay'!B:B,$G$25)+SUMIFS('4. Equipment Costs'!H:H,'4. Equipment Costs'!C:C,B76,'4. Equipment Costs'!B:B,$G$25)+SUMIFS('5. Subcontracting Costs'!H:H,'5. Subcontracting Costs'!C:C,B76,'5. Subcontracting Costs'!B:B,$G$25)</f>
        <v>0</v>
      </c>
      <c r="H76" s="61">
        <f>SUMIF('B. Special Mob Strand - Student'!B:B,B76,'B. Special Mob Strand - Student'!N:N)+SUMIF('B. Special Mob Strand - Staff'!B:B,B76,'B. Special Mob Strand - Staff'!N:N)</f>
        <v>0</v>
      </c>
      <c r="I76" s="64">
        <f t="shared" si="4"/>
        <v>0</v>
      </c>
    </row>
    <row r="77" spans="2:9" x14ac:dyDescent="0.25">
      <c r="B77" s="15" t="s">
        <v>164</v>
      </c>
      <c r="C77" s="54">
        <f>SUMIFS('1. Staff costs'!S:S,'1. Staff costs'!C:C,B77,'1. Staff costs'!B:B,$C$25)+SUMIFS('2-3. Travel Costs&amp;Costs of Stay'!N:N,'2-3. Travel Costs&amp;Costs of Stay'!C:C,B77,'2-3. Travel Costs&amp;Costs of Stay'!B:B,$C$25)+SUMIFS('4. Equipment Costs'!H:H,'4. Equipment Costs'!C:C,B77,'4. Equipment Costs'!B:B,$C$25)+SUMIFS('5. Subcontracting Costs'!H:H,'5. Subcontracting Costs'!C:C,B77,'5. Subcontracting Costs'!B:B,$C$25)</f>
        <v>0</v>
      </c>
      <c r="D77" s="54">
        <f>SUMIFS('1. Staff costs'!S:S,'1. Staff costs'!C:C,B77,'1. Staff costs'!B:B,$D$25)+SUMIFS('2-3. Travel Costs&amp;Costs of Stay'!N:N,'2-3. Travel Costs&amp;Costs of Stay'!C:C,B77,'2-3. Travel Costs&amp;Costs of Stay'!B:B,$D$25)+SUMIFS('4. Equipment Costs'!H:H,'4. Equipment Costs'!C:C,B77,'4. Equipment Costs'!B:B,$D$25)+SUMIFS('5. Subcontracting Costs'!H:H,'5. Subcontracting Costs'!C:C,B77,'5. Subcontracting Costs'!B:B,$D$25)</f>
        <v>0</v>
      </c>
      <c r="E77" s="54">
        <f>SUMIFS('1. Staff costs'!S:S,'1. Staff costs'!C:C,B77,'1. Staff costs'!B:B,$E$25)+SUMIFS('2-3. Travel Costs&amp;Costs of Stay'!N:N,'2-3. Travel Costs&amp;Costs of Stay'!C:C,B77,'2-3. Travel Costs&amp;Costs of Stay'!B:B,$E$25)+SUMIFS('4. Equipment Costs'!H:H,'4. Equipment Costs'!C:C,B77,'4. Equipment Costs'!B:B,$E$25)+SUMIFS('5. Subcontracting Costs'!H:H,'5. Subcontracting Costs'!C:C,B77,'5. Subcontracting Costs'!B:B,$E$25)</f>
        <v>0</v>
      </c>
      <c r="F77" s="54">
        <f>SUMIFS('1. Staff costs'!S:S,'1. Staff costs'!C:C,B77,'1. Staff costs'!B:B,$B$8)+SUMIFS('2-3. Travel Costs&amp;Costs of Stay'!N:N,'2-3. Travel Costs&amp;Costs of Stay'!C:C,B77,'2-3. Travel Costs&amp;Costs of Stay'!B:B,$B$8)+SUMIFS('4. Equipment Costs'!H:H,'4. Equipment Costs'!C:C,B77,'4. Equipment Costs'!B:B,$B$8)+SUMIFS('5. Subcontracting Costs'!H:H,'5. Subcontracting Costs'!C:C,B77,'5. Subcontracting Costs'!B:B,$B$8)</f>
        <v>0</v>
      </c>
      <c r="G77" s="54">
        <f>SUMIFS('1. Staff costs'!S:S,'1. Staff costs'!C:C,B77,'1. Staff costs'!B:B,$G$25)+SUMIFS('2-3. Travel Costs&amp;Costs of Stay'!N:N,'2-3. Travel Costs&amp;Costs of Stay'!C:C,B77,'2-3. Travel Costs&amp;Costs of Stay'!B:B,$G$25)+SUMIFS('4. Equipment Costs'!H:H,'4. Equipment Costs'!C:C,B77,'4. Equipment Costs'!B:B,$G$25)+SUMIFS('5. Subcontracting Costs'!H:H,'5. Subcontracting Costs'!C:C,B77,'5. Subcontracting Costs'!B:B,$G$25)</f>
        <v>0</v>
      </c>
      <c r="H77" s="61">
        <f>SUMIF('B. Special Mob Strand - Student'!B:B,B77,'B. Special Mob Strand - Student'!N:N)+SUMIF('B. Special Mob Strand - Staff'!B:B,B77,'B. Special Mob Strand - Staff'!N:N)</f>
        <v>0</v>
      </c>
      <c r="I77" s="64">
        <f t="shared" si="4"/>
        <v>0</v>
      </c>
    </row>
    <row r="78" spans="2:9" x14ac:dyDescent="0.25">
      <c r="B78" s="15" t="s">
        <v>165</v>
      </c>
      <c r="C78" s="54">
        <f>SUMIFS('1. Staff costs'!S:S,'1. Staff costs'!C:C,B78,'1. Staff costs'!B:B,$C$25)+SUMIFS('2-3. Travel Costs&amp;Costs of Stay'!N:N,'2-3. Travel Costs&amp;Costs of Stay'!C:C,B78,'2-3. Travel Costs&amp;Costs of Stay'!B:B,$C$25)+SUMIFS('4. Equipment Costs'!H:H,'4. Equipment Costs'!C:C,B78,'4. Equipment Costs'!B:B,$C$25)+SUMIFS('5. Subcontracting Costs'!H:H,'5. Subcontracting Costs'!C:C,B78,'5. Subcontracting Costs'!B:B,$C$25)</f>
        <v>0</v>
      </c>
      <c r="D78" s="54">
        <f>SUMIFS('1. Staff costs'!S:S,'1. Staff costs'!C:C,B78,'1. Staff costs'!B:B,$D$25)+SUMIFS('2-3. Travel Costs&amp;Costs of Stay'!N:N,'2-3. Travel Costs&amp;Costs of Stay'!C:C,B78,'2-3. Travel Costs&amp;Costs of Stay'!B:B,$D$25)+SUMIFS('4. Equipment Costs'!H:H,'4. Equipment Costs'!C:C,B78,'4. Equipment Costs'!B:B,$D$25)+SUMIFS('5. Subcontracting Costs'!H:H,'5. Subcontracting Costs'!C:C,B78,'5. Subcontracting Costs'!B:B,$D$25)</f>
        <v>0</v>
      </c>
      <c r="E78" s="54">
        <f>SUMIFS('1. Staff costs'!S:S,'1. Staff costs'!C:C,B78,'1. Staff costs'!B:B,$E$25)+SUMIFS('2-3. Travel Costs&amp;Costs of Stay'!N:N,'2-3. Travel Costs&amp;Costs of Stay'!C:C,B78,'2-3. Travel Costs&amp;Costs of Stay'!B:B,$E$25)+SUMIFS('4. Equipment Costs'!H:H,'4. Equipment Costs'!C:C,B78,'4. Equipment Costs'!B:B,$E$25)+SUMIFS('5. Subcontracting Costs'!H:H,'5. Subcontracting Costs'!C:C,B78,'5. Subcontracting Costs'!B:B,$E$25)</f>
        <v>0</v>
      </c>
      <c r="F78" s="54">
        <f>SUMIFS('1. Staff costs'!S:S,'1. Staff costs'!C:C,B78,'1. Staff costs'!B:B,$B$8)+SUMIFS('2-3. Travel Costs&amp;Costs of Stay'!N:N,'2-3. Travel Costs&amp;Costs of Stay'!C:C,B78,'2-3. Travel Costs&amp;Costs of Stay'!B:B,$B$8)+SUMIFS('4. Equipment Costs'!H:H,'4. Equipment Costs'!C:C,B78,'4. Equipment Costs'!B:B,$B$8)+SUMIFS('5. Subcontracting Costs'!H:H,'5. Subcontracting Costs'!C:C,B78,'5. Subcontracting Costs'!B:B,$B$8)</f>
        <v>0</v>
      </c>
      <c r="G78" s="54">
        <f>SUMIFS('1. Staff costs'!S:S,'1. Staff costs'!C:C,B78,'1. Staff costs'!B:B,$G$25)+SUMIFS('2-3. Travel Costs&amp;Costs of Stay'!N:N,'2-3. Travel Costs&amp;Costs of Stay'!C:C,B78,'2-3. Travel Costs&amp;Costs of Stay'!B:B,$G$25)+SUMIFS('4. Equipment Costs'!H:H,'4. Equipment Costs'!C:C,B78,'4. Equipment Costs'!B:B,$G$25)+SUMIFS('5. Subcontracting Costs'!H:H,'5. Subcontracting Costs'!C:C,B78,'5. Subcontracting Costs'!B:B,$G$25)</f>
        <v>0</v>
      </c>
      <c r="H78" s="61">
        <f>SUMIF('B. Special Mob Strand - Student'!B:B,B78,'B. Special Mob Strand - Student'!N:N)+SUMIF('B. Special Mob Strand - Staff'!B:B,B78,'B. Special Mob Strand - Staff'!N:N)</f>
        <v>0</v>
      </c>
      <c r="I78" s="64">
        <f t="shared" si="4"/>
        <v>0</v>
      </c>
    </row>
    <row r="79" spans="2:9" x14ac:dyDescent="0.25">
      <c r="B79" s="15" t="s">
        <v>166</v>
      </c>
      <c r="C79" s="54">
        <f>SUMIFS('1. Staff costs'!S:S,'1. Staff costs'!C:C,B79,'1. Staff costs'!B:B,$C$25)+SUMIFS('2-3. Travel Costs&amp;Costs of Stay'!N:N,'2-3. Travel Costs&amp;Costs of Stay'!C:C,B79,'2-3. Travel Costs&amp;Costs of Stay'!B:B,$C$25)+SUMIFS('4. Equipment Costs'!H:H,'4. Equipment Costs'!C:C,B79,'4. Equipment Costs'!B:B,$C$25)+SUMIFS('5. Subcontracting Costs'!H:H,'5. Subcontracting Costs'!C:C,B79,'5. Subcontracting Costs'!B:B,$C$25)</f>
        <v>0</v>
      </c>
      <c r="D79" s="54">
        <f>SUMIFS('1. Staff costs'!S:S,'1. Staff costs'!C:C,B79,'1. Staff costs'!B:B,$D$25)+SUMIFS('2-3. Travel Costs&amp;Costs of Stay'!N:N,'2-3. Travel Costs&amp;Costs of Stay'!C:C,B79,'2-3. Travel Costs&amp;Costs of Stay'!B:B,$D$25)+SUMIFS('4. Equipment Costs'!H:H,'4. Equipment Costs'!C:C,B79,'4. Equipment Costs'!B:B,$D$25)+SUMIFS('5. Subcontracting Costs'!H:H,'5. Subcontracting Costs'!C:C,B79,'5. Subcontracting Costs'!B:B,$D$25)</f>
        <v>0</v>
      </c>
      <c r="E79" s="54">
        <f>SUMIFS('1. Staff costs'!S:S,'1. Staff costs'!C:C,B79,'1. Staff costs'!B:B,$E$25)+SUMIFS('2-3. Travel Costs&amp;Costs of Stay'!N:N,'2-3. Travel Costs&amp;Costs of Stay'!C:C,B79,'2-3. Travel Costs&amp;Costs of Stay'!B:B,$E$25)+SUMIFS('4. Equipment Costs'!H:H,'4. Equipment Costs'!C:C,B79,'4. Equipment Costs'!B:B,$E$25)+SUMIFS('5. Subcontracting Costs'!H:H,'5. Subcontracting Costs'!C:C,B79,'5. Subcontracting Costs'!B:B,$E$25)</f>
        <v>0</v>
      </c>
      <c r="F79" s="54">
        <f>SUMIFS('1. Staff costs'!S:S,'1. Staff costs'!C:C,B79,'1. Staff costs'!B:B,$B$8)+SUMIFS('2-3. Travel Costs&amp;Costs of Stay'!N:N,'2-3. Travel Costs&amp;Costs of Stay'!C:C,B79,'2-3. Travel Costs&amp;Costs of Stay'!B:B,$B$8)+SUMIFS('4. Equipment Costs'!H:H,'4. Equipment Costs'!C:C,B79,'4. Equipment Costs'!B:B,$B$8)+SUMIFS('5. Subcontracting Costs'!H:H,'5. Subcontracting Costs'!C:C,B79,'5. Subcontracting Costs'!B:B,$B$8)</f>
        <v>0</v>
      </c>
      <c r="G79" s="54">
        <f>SUMIFS('1. Staff costs'!S:S,'1. Staff costs'!C:C,B79,'1. Staff costs'!B:B,$G$25)+SUMIFS('2-3. Travel Costs&amp;Costs of Stay'!N:N,'2-3. Travel Costs&amp;Costs of Stay'!C:C,B79,'2-3. Travel Costs&amp;Costs of Stay'!B:B,$G$25)+SUMIFS('4. Equipment Costs'!H:H,'4. Equipment Costs'!C:C,B79,'4. Equipment Costs'!B:B,$G$25)+SUMIFS('5. Subcontracting Costs'!H:H,'5. Subcontracting Costs'!C:C,B79,'5. Subcontracting Costs'!B:B,$G$25)</f>
        <v>0</v>
      </c>
      <c r="H79" s="61">
        <f>SUMIF('B. Special Mob Strand - Student'!B:B,B79,'B. Special Mob Strand - Student'!N:N)+SUMIF('B. Special Mob Strand - Staff'!B:B,B79,'B. Special Mob Strand - Staff'!N:N)</f>
        <v>0</v>
      </c>
      <c r="I79" s="64">
        <f t="shared" si="4"/>
        <v>0</v>
      </c>
    </row>
    <row r="80" spans="2:9" x14ac:dyDescent="0.25">
      <c r="B80" s="15" t="s">
        <v>167</v>
      </c>
      <c r="C80" s="54">
        <f>SUMIFS('1. Staff costs'!S:S,'1. Staff costs'!C:C,B80,'1. Staff costs'!B:B,$C$25)+SUMIFS('2-3. Travel Costs&amp;Costs of Stay'!N:N,'2-3. Travel Costs&amp;Costs of Stay'!C:C,B80,'2-3. Travel Costs&amp;Costs of Stay'!B:B,$C$25)+SUMIFS('4. Equipment Costs'!H:H,'4. Equipment Costs'!C:C,B80,'4. Equipment Costs'!B:B,$C$25)+SUMIFS('5. Subcontracting Costs'!H:H,'5. Subcontracting Costs'!C:C,B80,'5. Subcontracting Costs'!B:B,$C$25)</f>
        <v>0</v>
      </c>
      <c r="D80" s="54">
        <f>SUMIFS('1. Staff costs'!S:S,'1. Staff costs'!C:C,B80,'1. Staff costs'!B:B,$D$25)+SUMIFS('2-3. Travel Costs&amp;Costs of Stay'!N:N,'2-3. Travel Costs&amp;Costs of Stay'!C:C,B80,'2-3. Travel Costs&amp;Costs of Stay'!B:B,$D$25)+SUMIFS('4. Equipment Costs'!H:H,'4. Equipment Costs'!C:C,B80,'4. Equipment Costs'!B:B,$D$25)+SUMIFS('5. Subcontracting Costs'!H:H,'5. Subcontracting Costs'!C:C,B80,'5. Subcontracting Costs'!B:B,$D$25)</f>
        <v>0</v>
      </c>
      <c r="E80" s="54">
        <f>SUMIFS('1. Staff costs'!S:S,'1. Staff costs'!C:C,B80,'1. Staff costs'!B:B,$E$25)+SUMIFS('2-3. Travel Costs&amp;Costs of Stay'!N:N,'2-3. Travel Costs&amp;Costs of Stay'!C:C,B80,'2-3. Travel Costs&amp;Costs of Stay'!B:B,$E$25)+SUMIFS('4. Equipment Costs'!H:H,'4. Equipment Costs'!C:C,B80,'4. Equipment Costs'!B:B,$E$25)+SUMIFS('5. Subcontracting Costs'!H:H,'5. Subcontracting Costs'!C:C,B80,'5. Subcontracting Costs'!B:B,$E$25)</f>
        <v>0</v>
      </c>
      <c r="F80" s="54">
        <f>SUMIFS('1. Staff costs'!S:S,'1. Staff costs'!C:C,B80,'1. Staff costs'!B:B,$B$8)+SUMIFS('2-3. Travel Costs&amp;Costs of Stay'!N:N,'2-3. Travel Costs&amp;Costs of Stay'!C:C,B80,'2-3. Travel Costs&amp;Costs of Stay'!B:B,$B$8)+SUMIFS('4. Equipment Costs'!H:H,'4. Equipment Costs'!C:C,B80,'4. Equipment Costs'!B:B,$B$8)+SUMIFS('5. Subcontracting Costs'!H:H,'5. Subcontracting Costs'!C:C,B80,'5. Subcontracting Costs'!B:B,$B$8)</f>
        <v>0</v>
      </c>
      <c r="G80" s="54">
        <f>SUMIFS('1. Staff costs'!S:S,'1. Staff costs'!C:C,B80,'1. Staff costs'!B:B,$G$25)+SUMIFS('2-3. Travel Costs&amp;Costs of Stay'!N:N,'2-3. Travel Costs&amp;Costs of Stay'!C:C,B80,'2-3. Travel Costs&amp;Costs of Stay'!B:B,$G$25)+SUMIFS('4. Equipment Costs'!H:H,'4. Equipment Costs'!C:C,B80,'4. Equipment Costs'!B:B,$G$25)+SUMIFS('5. Subcontracting Costs'!H:H,'5. Subcontracting Costs'!C:C,B80,'5. Subcontracting Costs'!B:B,$G$25)</f>
        <v>0</v>
      </c>
      <c r="H80" s="61">
        <f>SUMIF('B. Special Mob Strand - Student'!B:B,B80,'B. Special Mob Strand - Student'!N:N)+SUMIF('B. Special Mob Strand - Staff'!B:B,B80,'B. Special Mob Strand - Staff'!N:N)</f>
        <v>0</v>
      </c>
      <c r="I80" s="64">
        <f t="shared" si="4"/>
        <v>0</v>
      </c>
    </row>
    <row r="81" spans="2:9" x14ac:dyDescent="0.25">
      <c r="B81" s="65" t="s">
        <v>132</v>
      </c>
      <c r="C81" s="55">
        <f>SUM(C26:C80)</f>
        <v>0</v>
      </c>
      <c r="D81" s="55">
        <f t="shared" ref="D81:H81" si="5">SUM(D26:D80)</f>
        <v>0</v>
      </c>
      <c r="E81" s="55">
        <f t="shared" si="5"/>
        <v>0</v>
      </c>
      <c r="F81" s="55">
        <f t="shared" si="5"/>
        <v>0</v>
      </c>
      <c r="G81" s="55">
        <f t="shared" si="5"/>
        <v>0</v>
      </c>
      <c r="H81" s="57">
        <f t="shared" si="5"/>
        <v>0</v>
      </c>
      <c r="I81" s="66">
        <f>SUM(C81:H81)</f>
        <v>0</v>
      </c>
    </row>
  </sheetData>
  <sheetProtection password="E359" sheet="1" objects="1" scenarios="1" selectLockedCells="1" selectUnlockedCells="1"/>
  <dataConsolidate/>
  <mergeCells count="4">
    <mergeCell ref="B2:I2"/>
    <mergeCell ref="B14:I14"/>
    <mergeCell ref="H5:H9"/>
    <mergeCell ref="B23:I23"/>
  </mergeCells>
  <conditionalFormatting sqref="B2:E2">
    <cfRule type="cellIs" dxfId="17" priority="131" stopIfTrue="1" operator="equal">
      <formula>"&gt; 30 %"</formula>
    </cfRule>
  </conditionalFormatting>
  <conditionalFormatting sqref="C4">
    <cfRule type="cellIs" dxfId="16" priority="44" stopIfTrue="1" operator="equal">
      <formula>"ERROR"</formula>
    </cfRule>
  </conditionalFormatting>
  <conditionalFormatting sqref="F4">
    <cfRule type="cellIs" dxfId="15" priority="42" stopIfTrue="1" operator="equal">
      <formula>"ERROR"</formula>
    </cfRule>
  </conditionalFormatting>
  <conditionalFormatting sqref="D4:E4">
    <cfRule type="cellIs" dxfId="14" priority="43" stopIfTrue="1" operator="equal">
      <formula>"ERROR"</formula>
    </cfRule>
  </conditionalFormatting>
  <conditionalFormatting sqref="G4:H4">
    <cfRule type="cellIs" dxfId="13" priority="41" stopIfTrue="1" operator="equal">
      <formula>"ERROR"</formula>
    </cfRule>
  </conditionalFormatting>
  <conditionalFormatting sqref="I4">
    <cfRule type="cellIs" dxfId="12" priority="40" stopIfTrue="1" operator="equal">
      <formula>"ERROR"</formula>
    </cfRule>
  </conditionalFormatting>
  <conditionalFormatting sqref="B14:E14">
    <cfRule type="cellIs" dxfId="11" priority="25" stopIfTrue="1" operator="equal">
      <formula>"&gt; 30 %"</formula>
    </cfRule>
  </conditionalFormatting>
  <conditionalFormatting sqref="I16">
    <cfRule type="cellIs" dxfId="10" priority="26" stopIfTrue="1" operator="equal">
      <formula>"ERROR"</formula>
    </cfRule>
  </conditionalFormatting>
  <conditionalFormatting sqref="B10">
    <cfRule type="cellIs" dxfId="9" priority="21" stopIfTrue="1" operator="equal">
      <formula>"ERROR"</formula>
    </cfRule>
  </conditionalFormatting>
  <conditionalFormatting sqref="B19">
    <cfRule type="cellIs" dxfId="8" priority="20" stopIfTrue="1" operator="equal">
      <formula>"ERROR"</formula>
    </cfRule>
  </conditionalFormatting>
  <conditionalFormatting sqref="C16">
    <cfRule type="cellIs" dxfId="7" priority="11" stopIfTrue="1" operator="equal">
      <formula>"ERROR"</formula>
    </cfRule>
  </conditionalFormatting>
  <conditionalFormatting sqref="F16">
    <cfRule type="cellIs" dxfId="6" priority="9" stopIfTrue="1" operator="equal">
      <formula>"ERROR"</formula>
    </cfRule>
  </conditionalFormatting>
  <conditionalFormatting sqref="D16:E16">
    <cfRule type="cellIs" dxfId="5" priority="10" stopIfTrue="1" operator="equal">
      <formula>"ERROR"</formula>
    </cfRule>
  </conditionalFormatting>
  <conditionalFormatting sqref="G16:H16">
    <cfRule type="cellIs" dxfId="4" priority="8" stopIfTrue="1" operator="equal">
      <formula>"ERROR"</formula>
    </cfRule>
  </conditionalFormatting>
  <conditionalFormatting sqref="B23:E23">
    <cfRule type="cellIs" dxfId="3" priority="6" stopIfTrue="1" operator="equal">
      <formula>"&gt; 30 %"</formula>
    </cfRule>
  </conditionalFormatting>
  <conditionalFormatting sqref="H26:H80">
    <cfRule type="cellIs" dxfId="2" priority="4" stopIfTrue="1" operator="equal">
      <formula>"ERROR"</formula>
    </cfRule>
  </conditionalFormatting>
  <conditionalFormatting sqref="I25">
    <cfRule type="cellIs" dxfId="1" priority="3" stopIfTrue="1" operator="equal">
      <formula>"ERROR"</formula>
    </cfRule>
  </conditionalFormatting>
  <conditionalFormatting sqref="H25">
    <cfRule type="cellIs" dxfId="0" priority="2"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82"/>
  <sheetViews>
    <sheetView zoomScale="70" zoomScaleNormal="70" workbookViewId="0">
      <selection activeCell="C3" sqref="C3"/>
    </sheetView>
  </sheetViews>
  <sheetFormatPr defaultRowHeight="15" x14ac:dyDescent="0.25"/>
  <cols>
    <col min="1" max="1" width="1.7109375" style="10" customWidth="1"/>
    <col min="2" max="2" width="18.7109375" style="10" customWidth="1"/>
    <col min="3" max="3" width="39.5703125" style="1" bestFit="1" customWidth="1"/>
    <col min="4" max="4" width="21.7109375" style="1" bestFit="1" customWidth="1"/>
    <col min="5" max="12" width="18.7109375" style="1" customWidth="1"/>
    <col min="13" max="13" width="1.7109375" style="1" customWidth="1"/>
    <col min="14" max="14" width="40.85546875" style="1" bestFit="1" customWidth="1"/>
    <col min="15" max="15" width="1.7109375" style="1" customWidth="1"/>
    <col min="16" max="16" width="42.7109375" style="1" customWidth="1"/>
    <col min="17" max="17" width="12.85546875" style="1" customWidth="1"/>
    <col min="18" max="16384" width="9.140625" style="1"/>
  </cols>
  <sheetData>
    <row r="1" spans="2:17" ht="9.9499999999999993" customHeight="1" x14ac:dyDescent="0.25"/>
    <row r="2" spans="2:17" ht="24.95" customHeight="1" x14ac:dyDescent="0.25">
      <c r="C2" s="10"/>
      <c r="D2" s="10"/>
      <c r="E2" s="212" t="s">
        <v>162</v>
      </c>
      <c r="F2" s="212"/>
      <c r="G2" s="212"/>
      <c r="H2" s="212"/>
      <c r="I2" s="212" t="s">
        <v>349</v>
      </c>
      <c r="J2" s="212"/>
      <c r="K2" s="212"/>
      <c r="L2" s="212"/>
    </row>
    <row r="3" spans="2:17" ht="82.5" customHeight="1" x14ac:dyDescent="0.25">
      <c r="C3" s="2" t="s">
        <v>0</v>
      </c>
      <c r="D3" s="2" t="s">
        <v>182</v>
      </c>
      <c r="E3" s="2" t="s">
        <v>135</v>
      </c>
      <c r="F3" s="3" t="s">
        <v>133</v>
      </c>
      <c r="G3" s="2" t="s">
        <v>361</v>
      </c>
      <c r="H3" s="3" t="s">
        <v>359</v>
      </c>
      <c r="I3" s="9" t="s">
        <v>220</v>
      </c>
      <c r="J3" s="9" t="s">
        <v>221</v>
      </c>
      <c r="K3" s="9" t="s">
        <v>224</v>
      </c>
      <c r="L3" s="9" t="s">
        <v>225</v>
      </c>
      <c r="N3" s="3" t="s">
        <v>348</v>
      </c>
      <c r="P3" s="3" t="s">
        <v>28</v>
      </c>
      <c r="Q3" s="3" t="s">
        <v>177</v>
      </c>
    </row>
    <row r="4" spans="2:17" x14ac:dyDescent="0.25">
      <c r="B4" s="116">
        <v>1</v>
      </c>
      <c r="C4" s="4" t="s">
        <v>4</v>
      </c>
      <c r="D4" s="4" t="s">
        <v>208</v>
      </c>
      <c r="E4" s="5">
        <v>294</v>
      </c>
      <c r="F4" s="5">
        <v>241</v>
      </c>
      <c r="G4" s="5">
        <v>190</v>
      </c>
      <c r="H4" s="5">
        <v>157</v>
      </c>
      <c r="I4" s="6">
        <v>850</v>
      </c>
      <c r="J4" s="6">
        <v>0</v>
      </c>
      <c r="K4" s="7">
        <v>140</v>
      </c>
      <c r="L4" s="8">
        <v>0</v>
      </c>
      <c r="N4" s="4" t="s">
        <v>4</v>
      </c>
      <c r="P4" s="4" t="s">
        <v>329</v>
      </c>
      <c r="Q4" s="4">
        <v>0</v>
      </c>
    </row>
    <row r="5" spans="2:17" x14ac:dyDescent="0.25">
      <c r="B5" s="116">
        <v>2</v>
      </c>
      <c r="C5" s="4" t="s">
        <v>5</v>
      </c>
      <c r="D5" s="4" t="s">
        <v>208</v>
      </c>
      <c r="E5" s="5">
        <v>280</v>
      </c>
      <c r="F5" s="5">
        <v>214</v>
      </c>
      <c r="G5" s="5">
        <v>162</v>
      </c>
      <c r="H5" s="5">
        <v>131</v>
      </c>
      <c r="I5" s="6">
        <v>800</v>
      </c>
      <c r="J5" s="6">
        <v>0</v>
      </c>
      <c r="K5" s="7">
        <v>140</v>
      </c>
      <c r="L5" s="8">
        <v>0</v>
      </c>
      <c r="N5" s="4" t="s">
        <v>5</v>
      </c>
      <c r="P5" s="4" t="s">
        <v>153</v>
      </c>
      <c r="Q5" s="4">
        <v>180</v>
      </c>
    </row>
    <row r="6" spans="2:17" x14ac:dyDescent="0.25">
      <c r="B6" s="116">
        <v>3</v>
      </c>
      <c r="C6" s="4" t="s">
        <v>7</v>
      </c>
      <c r="D6" s="4" t="s">
        <v>208</v>
      </c>
      <c r="E6" s="5">
        <v>88</v>
      </c>
      <c r="F6" s="5">
        <v>74</v>
      </c>
      <c r="G6" s="5">
        <v>55</v>
      </c>
      <c r="H6" s="5">
        <v>39</v>
      </c>
      <c r="I6" s="6">
        <v>750</v>
      </c>
      <c r="J6" s="6">
        <v>0</v>
      </c>
      <c r="K6" s="7">
        <v>140</v>
      </c>
      <c r="L6" s="8">
        <v>0</v>
      </c>
      <c r="N6" s="4" t="s">
        <v>7</v>
      </c>
      <c r="P6" s="4" t="s">
        <v>154</v>
      </c>
      <c r="Q6" s="4">
        <v>275</v>
      </c>
    </row>
    <row r="7" spans="2:17" x14ac:dyDescent="0.25">
      <c r="B7" s="116">
        <v>4</v>
      </c>
      <c r="C7" s="4" t="s">
        <v>47</v>
      </c>
      <c r="D7" s="4" t="s">
        <v>208</v>
      </c>
      <c r="E7" s="5">
        <v>88</v>
      </c>
      <c r="F7" s="5">
        <v>74</v>
      </c>
      <c r="G7" s="5">
        <v>55</v>
      </c>
      <c r="H7" s="5">
        <v>39</v>
      </c>
      <c r="I7" s="6">
        <v>800</v>
      </c>
      <c r="J7" s="6">
        <v>0</v>
      </c>
      <c r="K7" s="7">
        <v>100</v>
      </c>
      <c r="L7" s="8">
        <v>0</v>
      </c>
      <c r="N7" s="4" t="s">
        <v>47</v>
      </c>
      <c r="P7" s="4" t="s">
        <v>155</v>
      </c>
      <c r="Q7" s="4">
        <v>360</v>
      </c>
    </row>
    <row r="8" spans="2:17" x14ac:dyDescent="0.25">
      <c r="B8" s="116">
        <v>5</v>
      </c>
      <c r="C8" s="4" t="s">
        <v>6</v>
      </c>
      <c r="D8" s="4" t="s">
        <v>208</v>
      </c>
      <c r="E8" s="5">
        <v>164</v>
      </c>
      <c r="F8" s="5">
        <v>137</v>
      </c>
      <c r="G8" s="5">
        <v>102</v>
      </c>
      <c r="H8" s="5">
        <v>78</v>
      </c>
      <c r="I8" s="6">
        <v>800</v>
      </c>
      <c r="J8" s="6">
        <v>0</v>
      </c>
      <c r="K8" s="7">
        <v>140</v>
      </c>
      <c r="L8" s="8">
        <v>0</v>
      </c>
      <c r="N8" s="4" t="s">
        <v>6</v>
      </c>
      <c r="P8" s="4" t="s">
        <v>158</v>
      </c>
      <c r="Q8" s="4">
        <v>530</v>
      </c>
    </row>
    <row r="9" spans="2:17" x14ac:dyDescent="0.25">
      <c r="B9" s="116">
        <v>6</v>
      </c>
      <c r="C9" s="4" t="s">
        <v>41</v>
      </c>
      <c r="D9" s="4" t="s">
        <v>208</v>
      </c>
      <c r="E9" s="5">
        <v>164</v>
      </c>
      <c r="F9" s="5">
        <v>137</v>
      </c>
      <c r="G9" s="5">
        <v>102</v>
      </c>
      <c r="H9" s="5">
        <v>78</v>
      </c>
      <c r="I9" s="6">
        <v>800</v>
      </c>
      <c r="J9" s="6">
        <v>0</v>
      </c>
      <c r="K9" s="7">
        <v>140</v>
      </c>
      <c r="L9" s="8">
        <v>0</v>
      </c>
      <c r="N9" s="4" t="s">
        <v>41</v>
      </c>
      <c r="P9" s="4" t="s">
        <v>159</v>
      </c>
      <c r="Q9" s="4">
        <v>820</v>
      </c>
    </row>
    <row r="10" spans="2:17" x14ac:dyDescent="0.25">
      <c r="B10" s="116">
        <v>7</v>
      </c>
      <c r="C10" s="4" t="s">
        <v>29</v>
      </c>
      <c r="D10" s="4" t="s">
        <v>208</v>
      </c>
      <c r="E10" s="5">
        <v>294</v>
      </c>
      <c r="F10" s="5">
        <v>241</v>
      </c>
      <c r="G10" s="5">
        <v>190</v>
      </c>
      <c r="H10" s="5">
        <v>157</v>
      </c>
      <c r="I10" s="6">
        <v>850</v>
      </c>
      <c r="J10" s="6">
        <v>0</v>
      </c>
      <c r="K10" s="7">
        <v>160</v>
      </c>
      <c r="L10" s="8">
        <v>0</v>
      </c>
      <c r="N10" s="4" t="s">
        <v>29</v>
      </c>
      <c r="P10" s="4" t="s">
        <v>156</v>
      </c>
      <c r="Q10" s="4">
        <v>1100</v>
      </c>
    </row>
    <row r="11" spans="2:17" x14ac:dyDescent="0.25">
      <c r="B11" s="116">
        <v>8</v>
      </c>
      <c r="C11" s="4" t="s">
        <v>48</v>
      </c>
      <c r="D11" s="4" t="s">
        <v>208</v>
      </c>
      <c r="E11" s="5">
        <v>88</v>
      </c>
      <c r="F11" s="5">
        <v>74</v>
      </c>
      <c r="G11" s="5">
        <v>55</v>
      </c>
      <c r="H11" s="5">
        <v>39</v>
      </c>
      <c r="I11" s="6">
        <v>750</v>
      </c>
      <c r="J11" s="6">
        <v>0</v>
      </c>
      <c r="K11" s="7">
        <v>100</v>
      </c>
      <c r="L11" s="8">
        <v>0</v>
      </c>
      <c r="N11" s="4" t="s">
        <v>48</v>
      </c>
    </row>
    <row r="12" spans="2:17" x14ac:dyDescent="0.25">
      <c r="B12" s="116">
        <v>9</v>
      </c>
      <c r="C12" s="4" t="s">
        <v>35</v>
      </c>
      <c r="D12" s="4" t="s">
        <v>208</v>
      </c>
      <c r="E12" s="5">
        <v>280</v>
      </c>
      <c r="F12" s="5">
        <v>214</v>
      </c>
      <c r="G12" s="5">
        <v>162</v>
      </c>
      <c r="H12" s="5">
        <v>131</v>
      </c>
      <c r="I12" s="6">
        <v>850</v>
      </c>
      <c r="J12" s="6">
        <v>0</v>
      </c>
      <c r="K12" s="7">
        <v>140</v>
      </c>
      <c r="L12" s="8">
        <v>0</v>
      </c>
      <c r="N12" s="4" t="s">
        <v>35</v>
      </c>
      <c r="P12" s="2" t="s">
        <v>336</v>
      </c>
      <c r="Q12" s="108"/>
    </row>
    <row r="13" spans="2:17" x14ac:dyDescent="0.25">
      <c r="B13" s="116">
        <v>10</v>
      </c>
      <c r="C13" s="4" t="s">
        <v>256</v>
      </c>
      <c r="D13" s="4" t="s">
        <v>208</v>
      </c>
      <c r="E13" s="5">
        <v>88</v>
      </c>
      <c r="F13" s="5">
        <v>74</v>
      </c>
      <c r="G13" s="5">
        <v>55</v>
      </c>
      <c r="H13" s="5">
        <v>39</v>
      </c>
      <c r="I13" s="6">
        <v>750</v>
      </c>
      <c r="J13" s="6">
        <v>0</v>
      </c>
      <c r="K13" s="7">
        <v>120</v>
      </c>
      <c r="L13" s="8">
        <v>0</v>
      </c>
      <c r="N13" s="4" t="s">
        <v>256</v>
      </c>
      <c r="P13" s="103" t="s">
        <v>179</v>
      </c>
      <c r="Q13" s="109"/>
    </row>
    <row r="14" spans="2:17" x14ac:dyDescent="0.25">
      <c r="B14" s="116">
        <v>11</v>
      </c>
      <c r="C14" s="4" t="s">
        <v>36</v>
      </c>
      <c r="D14" s="4" t="s">
        <v>208</v>
      </c>
      <c r="E14" s="5">
        <v>280</v>
      </c>
      <c r="F14" s="5">
        <v>214</v>
      </c>
      <c r="G14" s="5">
        <v>162</v>
      </c>
      <c r="H14" s="5">
        <v>131</v>
      </c>
      <c r="I14" s="6">
        <v>850</v>
      </c>
      <c r="J14" s="6">
        <v>0</v>
      </c>
      <c r="K14" s="7">
        <v>140</v>
      </c>
      <c r="L14" s="8">
        <v>0</v>
      </c>
      <c r="N14" s="4" t="s">
        <v>36</v>
      </c>
      <c r="P14" s="103" t="s">
        <v>178</v>
      </c>
      <c r="Q14" s="109"/>
    </row>
    <row r="15" spans="2:17" x14ac:dyDescent="0.25">
      <c r="B15" s="116">
        <v>12</v>
      </c>
      <c r="C15" s="4" t="s">
        <v>37</v>
      </c>
      <c r="D15" s="4" t="s">
        <v>208</v>
      </c>
      <c r="E15" s="5">
        <v>280</v>
      </c>
      <c r="F15" s="5">
        <v>214</v>
      </c>
      <c r="G15" s="5">
        <v>162</v>
      </c>
      <c r="H15" s="5">
        <v>131</v>
      </c>
      <c r="I15" s="6">
        <v>800</v>
      </c>
      <c r="J15" s="6">
        <v>0</v>
      </c>
      <c r="K15" s="7">
        <v>120</v>
      </c>
      <c r="L15" s="8">
        <v>0</v>
      </c>
      <c r="N15" s="4" t="s">
        <v>37</v>
      </c>
      <c r="P15" s="103" t="s">
        <v>366</v>
      </c>
      <c r="Q15" s="109"/>
    </row>
    <row r="16" spans="2:17" x14ac:dyDescent="0.25">
      <c r="B16" s="116">
        <v>13</v>
      </c>
      <c r="C16" s="4" t="s">
        <v>42</v>
      </c>
      <c r="D16" s="4" t="s">
        <v>208</v>
      </c>
      <c r="E16" s="5">
        <v>164</v>
      </c>
      <c r="F16" s="5">
        <v>137</v>
      </c>
      <c r="G16" s="5">
        <v>102</v>
      </c>
      <c r="H16" s="5">
        <v>78</v>
      </c>
      <c r="I16" s="6">
        <v>800</v>
      </c>
      <c r="J16" s="6">
        <v>0</v>
      </c>
      <c r="K16" s="7">
        <v>140</v>
      </c>
      <c r="L16" s="8">
        <v>0</v>
      </c>
      <c r="N16" s="4" t="s">
        <v>42</v>
      </c>
      <c r="P16" s="103" t="s">
        <v>372</v>
      </c>
      <c r="Q16" s="109"/>
    </row>
    <row r="17" spans="2:17" x14ac:dyDescent="0.25">
      <c r="B17" s="116">
        <v>14</v>
      </c>
      <c r="C17" s="4" t="s">
        <v>49</v>
      </c>
      <c r="D17" s="4" t="s">
        <v>208</v>
      </c>
      <c r="E17" s="5">
        <v>88</v>
      </c>
      <c r="F17" s="5">
        <v>74</v>
      </c>
      <c r="G17" s="5">
        <v>55</v>
      </c>
      <c r="H17" s="5">
        <v>39</v>
      </c>
      <c r="I17" s="6">
        <v>750</v>
      </c>
      <c r="J17" s="6">
        <v>0</v>
      </c>
      <c r="K17" s="7">
        <v>140</v>
      </c>
      <c r="L17" s="8">
        <v>0</v>
      </c>
      <c r="N17" s="4" t="s">
        <v>49</v>
      </c>
      <c r="P17" s="103" t="s">
        <v>180</v>
      </c>
      <c r="Q17" s="109"/>
    </row>
    <row r="18" spans="2:17" x14ac:dyDescent="0.25">
      <c r="B18" s="116">
        <v>15</v>
      </c>
      <c r="C18" s="4" t="s">
        <v>38</v>
      </c>
      <c r="D18" s="4" t="s">
        <v>208</v>
      </c>
      <c r="E18" s="5">
        <v>280</v>
      </c>
      <c r="F18" s="5">
        <v>214</v>
      </c>
      <c r="G18" s="5">
        <v>162</v>
      </c>
      <c r="H18" s="5">
        <v>131</v>
      </c>
      <c r="I18" s="6">
        <v>800</v>
      </c>
      <c r="J18" s="6">
        <v>0</v>
      </c>
      <c r="K18" s="7">
        <v>140</v>
      </c>
      <c r="L18" s="8">
        <v>0</v>
      </c>
      <c r="N18" s="4" t="s">
        <v>38</v>
      </c>
      <c r="P18" s="11"/>
      <c r="Q18" s="14"/>
    </row>
    <row r="19" spans="2:17" x14ac:dyDescent="0.25">
      <c r="B19" s="116">
        <v>16</v>
      </c>
      <c r="C19" s="4" t="s">
        <v>30</v>
      </c>
      <c r="D19" s="4" t="s">
        <v>208</v>
      </c>
      <c r="E19" s="5">
        <v>294</v>
      </c>
      <c r="F19" s="5">
        <v>241</v>
      </c>
      <c r="G19" s="5">
        <v>190</v>
      </c>
      <c r="H19" s="5">
        <v>157</v>
      </c>
      <c r="I19" s="6">
        <v>850</v>
      </c>
      <c r="J19" s="6">
        <v>0</v>
      </c>
      <c r="K19" s="7">
        <v>160</v>
      </c>
      <c r="L19" s="8">
        <v>0</v>
      </c>
      <c r="N19" s="4" t="s">
        <v>30</v>
      </c>
      <c r="P19" s="3" t="s">
        <v>330</v>
      </c>
      <c r="Q19" s="11"/>
    </row>
    <row r="20" spans="2:17" x14ac:dyDescent="0.25">
      <c r="B20" s="116">
        <v>17</v>
      </c>
      <c r="C20" s="4" t="s">
        <v>39</v>
      </c>
      <c r="D20" s="4" t="s">
        <v>208</v>
      </c>
      <c r="E20" s="5">
        <v>280</v>
      </c>
      <c r="F20" s="5">
        <v>214</v>
      </c>
      <c r="G20" s="5">
        <v>162</v>
      </c>
      <c r="H20" s="5">
        <v>131</v>
      </c>
      <c r="I20" s="6">
        <v>850</v>
      </c>
      <c r="J20" s="6">
        <v>0</v>
      </c>
      <c r="K20" s="7">
        <v>140</v>
      </c>
      <c r="L20" s="8">
        <v>0</v>
      </c>
      <c r="N20" s="4" t="s">
        <v>39</v>
      </c>
      <c r="P20" s="104" t="s">
        <v>333</v>
      </c>
      <c r="Q20" s="14"/>
    </row>
    <row r="21" spans="2:17" x14ac:dyDescent="0.25">
      <c r="B21" s="116">
        <v>18</v>
      </c>
      <c r="C21" s="4" t="s">
        <v>50</v>
      </c>
      <c r="D21" s="4" t="s">
        <v>208</v>
      </c>
      <c r="E21" s="5">
        <v>88</v>
      </c>
      <c r="F21" s="5">
        <v>74</v>
      </c>
      <c r="G21" s="5">
        <v>55</v>
      </c>
      <c r="H21" s="5">
        <v>39</v>
      </c>
      <c r="I21" s="6">
        <v>750</v>
      </c>
      <c r="J21" s="6">
        <v>0</v>
      </c>
      <c r="K21" s="7">
        <v>120</v>
      </c>
      <c r="L21" s="8">
        <v>0</v>
      </c>
      <c r="N21" s="4" t="s">
        <v>50</v>
      </c>
      <c r="P21" s="104" t="s">
        <v>332</v>
      </c>
      <c r="Q21" s="14"/>
    </row>
    <row r="22" spans="2:17" x14ac:dyDescent="0.25">
      <c r="B22" s="116">
        <v>19</v>
      </c>
      <c r="C22" s="4" t="s">
        <v>31</v>
      </c>
      <c r="D22" s="4" t="s">
        <v>208</v>
      </c>
      <c r="E22" s="5">
        <v>294</v>
      </c>
      <c r="F22" s="5">
        <v>241</v>
      </c>
      <c r="G22" s="5">
        <v>190</v>
      </c>
      <c r="H22" s="5">
        <v>157</v>
      </c>
      <c r="I22" s="6">
        <v>850</v>
      </c>
      <c r="J22" s="6">
        <v>0</v>
      </c>
      <c r="K22" s="7">
        <v>140</v>
      </c>
      <c r="L22" s="8">
        <v>0</v>
      </c>
      <c r="N22" s="4" t="s">
        <v>31</v>
      </c>
    </row>
    <row r="23" spans="2:17" x14ac:dyDescent="0.25">
      <c r="B23" s="116">
        <v>20</v>
      </c>
      <c r="C23" s="4" t="s">
        <v>51</v>
      </c>
      <c r="D23" s="4" t="s">
        <v>208</v>
      </c>
      <c r="E23" s="5">
        <v>88</v>
      </c>
      <c r="F23" s="5">
        <v>74</v>
      </c>
      <c r="G23" s="5">
        <v>55</v>
      </c>
      <c r="H23" s="5">
        <v>39</v>
      </c>
      <c r="I23" s="6">
        <v>750</v>
      </c>
      <c r="J23" s="6">
        <v>0</v>
      </c>
      <c r="K23" s="7">
        <v>100</v>
      </c>
      <c r="L23" s="8">
        <v>0</v>
      </c>
      <c r="N23" s="4" t="s">
        <v>51</v>
      </c>
      <c r="P23" s="3" t="s">
        <v>331</v>
      </c>
    </row>
    <row r="24" spans="2:17" x14ac:dyDescent="0.25">
      <c r="B24" s="116">
        <v>21</v>
      </c>
      <c r="C24" s="4" t="s">
        <v>138</v>
      </c>
      <c r="D24" s="4" t="s">
        <v>208</v>
      </c>
      <c r="E24" s="5">
        <v>294</v>
      </c>
      <c r="F24" s="5">
        <v>241</v>
      </c>
      <c r="G24" s="5">
        <v>190</v>
      </c>
      <c r="H24" s="5">
        <v>157</v>
      </c>
      <c r="I24" s="6">
        <v>800</v>
      </c>
      <c r="J24" s="6">
        <v>0</v>
      </c>
      <c r="K24" s="7">
        <v>140</v>
      </c>
      <c r="L24" s="8">
        <v>0</v>
      </c>
      <c r="N24" s="4" t="s">
        <v>138</v>
      </c>
      <c r="P24" s="105">
        <v>24</v>
      </c>
    </row>
    <row r="25" spans="2:17" x14ac:dyDescent="0.25">
      <c r="B25" s="116">
        <v>22</v>
      </c>
      <c r="C25" s="4" t="s">
        <v>43</v>
      </c>
      <c r="D25" s="4" t="s">
        <v>208</v>
      </c>
      <c r="E25" s="5">
        <v>164</v>
      </c>
      <c r="F25" s="5">
        <v>137</v>
      </c>
      <c r="G25" s="5">
        <v>102</v>
      </c>
      <c r="H25" s="5">
        <v>78</v>
      </c>
      <c r="I25" s="6">
        <v>750</v>
      </c>
      <c r="J25" s="6">
        <v>0</v>
      </c>
      <c r="K25" s="7">
        <v>120</v>
      </c>
      <c r="L25" s="8">
        <v>0</v>
      </c>
      <c r="N25" s="4" t="s">
        <v>43</v>
      </c>
      <c r="P25" s="105">
        <v>36</v>
      </c>
    </row>
    <row r="26" spans="2:17" x14ac:dyDescent="0.25">
      <c r="B26" s="116">
        <v>23</v>
      </c>
      <c r="C26" s="4" t="s">
        <v>32</v>
      </c>
      <c r="D26" s="4" t="s">
        <v>208</v>
      </c>
      <c r="E26" s="5">
        <v>294</v>
      </c>
      <c r="F26" s="5">
        <v>241</v>
      </c>
      <c r="G26" s="5">
        <v>190</v>
      </c>
      <c r="H26" s="5">
        <v>157</v>
      </c>
      <c r="I26" s="6">
        <v>800</v>
      </c>
      <c r="J26" s="6">
        <v>0</v>
      </c>
      <c r="K26" s="7">
        <v>160</v>
      </c>
      <c r="L26" s="8">
        <v>0</v>
      </c>
      <c r="N26" s="4" t="s">
        <v>32</v>
      </c>
    </row>
    <row r="27" spans="2:17" x14ac:dyDescent="0.25">
      <c r="B27" s="116">
        <v>24</v>
      </c>
      <c r="C27" s="4" t="s">
        <v>33</v>
      </c>
      <c r="D27" s="4" t="s">
        <v>208</v>
      </c>
      <c r="E27" s="5">
        <v>294</v>
      </c>
      <c r="F27" s="5">
        <v>241</v>
      </c>
      <c r="G27" s="5">
        <v>190</v>
      </c>
      <c r="H27" s="5">
        <v>157</v>
      </c>
      <c r="I27" s="6">
        <v>850</v>
      </c>
      <c r="J27" s="6">
        <v>0</v>
      </c>
      <c r="K27" s="7">
        <v>140</v>
      </c>
      <c r="L27" s="8">
        <v>0</v>
      </c>
      <c r="N27" s="4" t="s">
        <v>33</v>
      </c>
      <c r="P27" s="3" t="s">
        <v>350</v>
      </c>
    </row>
    <row r="28" spans="2:17" x14ac:dyDescent="0.25">
      <c r="B28" s="116">
        <v>25</v>
      </c>
      <c r="C28" s="4" t="s">
        <v>52</v>
      </c>
      <c r="D28" s="4" t="s">
        <v>208</v>
      </c>
      <c r="E28" s="5">
        <v>88</v>
      </c>
      <c r="F28" s="5">
        <v>74</v>
      </c>
      <c r="G28" s="5">
        <v>55</v>
      </c>
      <c r="H28" s="5">
        <v>39</v>
      </c>
      <c r="I28" s="6">
        <v>750</v>
      </c>
      <c r="J28" s="6">
        <v>0</v>
      </c>
      <c r="K28" s="7">
        <v>140</v>
      </c>
      <c r="L28" s="8">
        <v>0</v>
      </c>
      <c r="N28" s="4" t="s">
        <v>52</v>
      </c>
      <c r="P28" s="4" t="s">
        <v>228</v>
      </c>
    </row>
    <row r="29" spans="2:17" x14ac:dyDescent="0.25">
      <c r="B29" s="116">
        <v>26</v>
      </c>
      <c r="C29" s="4" t="s">
        <v>44</v>
      </c>
      <c r="D29" s="4" t="s">
        <v>208</v>
      </c>
      <c r="E29" s="5">
        <v>164</v>
      </c>
      <c r="F29" s="5">
        <v>137</v>
      </c>
      <c r="G29" s="5">
        <v>102</v>
      </c>
      <c r="H29" s="5">
        <v>78</v>
      </c>
      <c r="I29" s="6">
        <v>800</v>
      </c>
      <c r="J29" s="6">
        <v>0</v>
      </c>
      <c r="K29" s="7">
        <v>120</v>
      </c>
      <c r="L29" s="8">
        <v>0</v>
      </c>
      <c r="N29" s="4" t="s">
        <v>44</v>
      </c>
      <c r="P29" s="4" t="s">
        <v>226</v>
      </c>
    </row>
    <row r="30" spans="2:17" x14ac:dyDescent="0.25">
      <c r="B30" s="116">
        <v>27</v>
      </c>
      <c r="C30" s="4" t="s">
        <v>53</v>
      </c>
      <c r="D30" s="4" t="s">
        <v>208</v>
      </c>
      <c r="E30" s="5">
        <v>88</v>
      </c>
      <c r="F30" s="5">
        <v>74</v>
      </c>
      <c r="G30" s="5">
        <v>55</v>
      </c>
      <c r="H30" s="5">
        <v>39</v>
      </c>
      <c r="I30" s="6">
        <v>750</v>
      </c>
      <c r="J30" s="6">
        <v>0</v>
      </c>
      <c r="K30" s="7">
        <v>140</v>
      </c>
      <c r="L30" s="8">
        <v>0</v>
      </c>
      <c r="N30" s="4" t="s">
        <v>53</v>
      </c>
    </row>
    <row r="31" spans="2:17" x14ac:dyDescent="0.25">
      <c r="B31" s="116">
        <v>28</v>
      </c>
      <c r="C31" s="4" t="s">
        <v>157</v>
      </c>
      <c r="D31" s="4" t="s">
        <v>208</v>
      </c>
      <c r="E31" s="5">
        <v>88</v>
      </c>
      <c r="F31" s="5">
        <v>74</v>
      </c>
      <c r="G31" s="5">
        <v>55</v>
      </c>
      <c r="H31" s="5">
        <v>39</v>
      </c>
      <c r="I31" s="6">
        <v>750</v>
      </c>
      <c r="J31" s="6">
        <v>0</v>
      </c>
      <c r="K31" s="7">
        <v>120</v>
      </c>
      <c r="L31" s="8">
        <v>0</v>
      </c>
      <c r="N31" s="4" t="s">
        <v>157</v>
      </c>
    </row>
    <row r="32" spans="2:17" x14ac:dyDescent="0.25">
      <c r="B32" s="116">
        <v>29</v>
      </c>
      <c r="C32" s="4" t="s">
        <v>45</v>
      </c>
      <c r="D32" s="4" t="s">
        <v>208</v>
      </c>
      <c r="E32" s="5">
        <v>164</v>
      </c>
      <c r="F32" s="5">
        <v>137</v>
      </c>
      <c r="G32" s="5">
        <v>102</v>
      </c>
      <c r="H32" s="5">
        <v>78</v>
      </c>
      <c r="I32" s="6">
        <v>800</v>
      </c>
      <c r="J32" s="6">
        <v>0</v>
      </c>
      <c r="K32" s="7">
        <v>100</v>
      </c>
      <c r="L32" s="8">
        <v>0</v>
      </c>
      <c r="N32" s="4" t="s">
        <v>45</v>
      </c>
    </row>
    <row r="33" spans="2:14" x14ac:dyDescent="0.25">
      <c r="B33" s="116">
        <v>30</v>
      </c>
      <c r="C33" s="4" t="s">
        <v>46</v>
      </c>
      <c r="D33" s="4" t="s">
        <v>208</v>
      </c>
      <c r="E33" s="5">
        <v>164</v>
      </c>
      <c r="F33" s="5">
        <v>137</v>
      </c>
      <c r="G33" s="5">
        <v>102</v>
      </c>
      <c r="H33" s="5">
        <v>78</v>
      </c>
      <c r="I33" s="6">
        <v>800</v>
      </c>
      <c r="J33" s="6">
        <v>0</v>
      </c>
      <c r="K33" s="7">
        <v>120</v>
      </c>
      <c r="L33" s="8">
        <v>0</v>
      </c>
      <c r="N33" s="4" t="s">
        <v>46</v>
      </c>
    </row>
    <row r="34" spans="2:14" x14ac:dyDescent="0.25">
      <c r="B34" s="116">
        <v>31</v>
      </c>
      <c r="C34" s="4" t="s">
        <v>34</v>
      </c>
      <c r="D34" s="4" t="s">
        <v>208</v>
      </c>
      <c r="E34" s="5">
        <v>294</v>
      </c>
      <c r="F34" s="5">
        <v>241</v>
      </c>
      <c r="G34" s="5">
        <v>190</v>
      </c>
      <c r="H34" s="5">
        <v>157</v>
      </c>
      <c r="I34" s="6">
        <v>850</v>
      </c>
      <c r="J34" s="6">
        <v>0</v>
      </c>
      <c r="K34" s="7">
        <v>160</v>
      </c>
      <c r="L34" s="8">
        <v>0</v>
      </c>
      <c r="N34" s="4" t="s">
        <v>34</v>
      </c>
    </row>
    <row r="35" spans="2:14" x14ac:dyDescent="0.25">
      <c r="B35" s="116">
        <v>32</v>
      </c>
      <c r="C35" s="4" t="s">
        <v>54</v>
      </c>
      <c r="D35" s="4" t="s">
        <v>208</v>
      </c>
      <c r="E35" s="5">
        <v>88</v>
      </c>
      <c r="F35" s="5">
        <v>74</v>
      </c>
      <c r="G35" s="5">
        <v>55</v>
      </c>
      <c r="H35" s="5">
        <v>39</v>
      </c>
      <c r="I35" s="6">
        <v>800</v>
      </c>
      <c r="J35" s="6">
        <v>0</v>
      </c>
      <c r="K35" s="7">
        <v>140</v>
      </c>
      <c r="L35" s="8">
        <v>0</v>
      </c>
      <c r="N35" s="4" t="s">
        <v>54</v>
      </c>
    </row>
    <row r="36" spans="2:14" x14ac:dyDescent="0.25">
      <c r="B36" s="116">
        <v>33</v>
      </c>
      <c r="C36" s="4" t="s">
        <v>40</v>
      </c>
      <c r="D36" s="4" t="s">
        <v>208</v>
      </c>
      <c r="E36" s="5">
        <v>280</v>
      </c>
      <c r="F36" s="5">
        <v>214</v>
      </c>
      <c r="G36" s="5">
        <v>162</v>
      </c>
      <c r="H36" s="5">
        <v>131</v>
      </c>
      <c r="I36" s="6">
        <v>850</v>
      </c>
      <c r="J36" s="6">
        <v>0</v>
      </c>
      <c r="K36" s="7">
        <v>160</v>
      </c>
      <c r="L36" s="8">
        <v>0</v>
      </c>
      <c r="N36" s="4" t="s">
        <v>40</v>
      </c>
    </row>
    <row r="37" spans="2:14" x14ac:dyDescent="0.25">
      <c r="B37" s="116">
        <v>34</v>
      </c>
      <c r="C37" s="4" t="s">
        <v>8</v>
      </c>
      <c r="D37" s="4" t="s">
        <v>209</v>
      </c>
      <c r="E37" s="5">
        <v>77</v>
      </c>
      <c r="F37" s="5">
        <v>57</v>
      </c>
      <c r="G37" s="5">
        <v>40</v>
      </c>
      <c r="H37" s="5">
        <v>32</v>
      </c>
      <c r="I37" s="6">
        <v>0</v>
      </c>
      <c r="J37" s="6">
        <v>0</v>
      </c>
      <c r="K37" s="7">
        <v>0</v>
      </c>
      <c r="L37" s="8">
        <v>0</v>
      </c>
      <c r="N37" s="4" t="s">
        <v>56</v>
      </c>
    </row>
    <row r="38" spans="2:14" x14ac:dyDescent="0.25">
      <c r="B38" s="116">
        <v>35</v>
      </c>
      <c r="C38" s="4" t="s">
        <v>56</v>
      </c>
      <c r="D38" s="4" t="s">
        <v>209</v>
      </c>
      <c r="E38" s="5">
        <v>108</v>
      </c>
      <c r="F38" s="5">
        <v>80</v>
      </c>
      <c r="G38" s="5">
        <v>57</v>
      </c>
      <c r="H38" s="5">
        <v>45</v>
      </c>
      <c r="I38" s="6">
        <v>750</v>
      </c>
      <c r="J38" s="6">
        <v>650</v>
      </c>
      <c r="K38" s="7">
        <v>100</v>
      </c>
      <c r="L38" s="8">
        <v>160</v>
      </c>
      <c r="N38" s="4" t="s">
        <v>57</v>
      </c>
    </row>
    <row r="39" spans="2:14" x14ac:dyDescent="0.25">
      <c r="B39" s="116">
        <v>36</v>
      </c>
      <c r="C39" s="4" t="s">
        <v>57</v>
      </c>
      <c r="D39" s="4" t="s">
        <v>209</v>
      </c>
      <c r="E39" s="5">
        <v>47</v>
      </c>
      <c r="F39" s="5">
        <v>33</v>
      </c>
      <c r="G39" s="5">
        <v>22</v>
      </c>
      <c r="H39" s="5">
        <v>17</v>
      </c>
      <c r="I39" s="6">
        <v>750</v>
      </c>
      <c r="J39" s="6">
        <v>650</v>
      </c>
      <c r="K39" s="7">
        <v>100</v>
      </c>
      <c r="L39" s="8">
        <v>160</v>
      </c>
      <c r="N39" s="4" t="s">
        <v>59</v>
      </c>
    </row>
    <row r="40" spans="2:14" x14ac:dyDescent="0.25">
      <c r="B40" s="116">
        <v>37</v>
      </c>
      <c r="C40" s="4" t="s">
        <v>257</v>
      </c>
      <c r="D40" s="4" t="s">
        <v>209</v>
      </c>
      <c r="E40" s="5">
        <v>108</v>
      </c>
      <c r="F40" s="5">
        <v>80</v>
      </c>
      <c r="G40" s="5">
        <v>57</v>
      </c>
      <c r="H40" s="5">
        <v>45</v>
      </c>
      <c r="I40" s="6">
        <v>0</v>
      </c>
      <c r="J40" s="6">
        <v>0</v>
      </c>
      <c r="K40" s="7">
        <v>0</v>
      </c>
      <c r="L40" s="8">
        <v>0</v>
      </c>
      <c r="N40" s="4" t="s">
        <v>60</v>
      </c>
    </row>
    <row r="41" spans="2:14" x14ac:dyDescent="0.25">
      <c r="B41" s="116">
        <v>38</v>
      </c>
      <c r="C41" s="4" t="s">
        <v>258</v>
      </c>
      <c r="D41" s="4" t="s">
        <v>209</v>
      </c>
      <c r="E41" s="5">
        <v>108</v>
      </c>
      <c r="F41" s="5">
        <v>80</v>
      </c>
      <c r="G41" s="5">
        <v>57</v>
      </c>
      <c r="H41" s="5">
        <v>45</v>
      </c>
      <c r="I41" s="6">
        <v>0</v>
      </c>
      <c r="J41" s="6">
        <v>0</v>
      </c>
      <c r="K41" s="7">
        <v>0</v>
      </c>
      <c r="L41" s="8">
        <v>0</v>
      </c>
      <c r="N41" s="4" t="s">
        <v>63</v>
      </c>
    </row>
    <row r="42" spans="2:14" x14ac:dyDescent="0.25">
      <c r="B42" s="116">
        <v>39</v>
      </c>
      <c r="C42" s="4" t="s">
        <v>58</v>
      </c>
      <c r="D42" s="4" t="s">
        <v>209</v>
      </c>
      <c r="E42" s="5">
        <v>108</v>
      </c>
      <c r="F42" s="5">
        <v>80</v>
      </c>
      <c r="G42" s="5">
        <v>57</v>
      </c>
      <c r="H42" s="5">
        <v>45</v>
      </c>
      <c r="I42" s="6">
        <v>0</v>
      </c>
      <c r="J42" s="6">
        <v>0</v>
      </c>
      <c r="K42" s="7">
        <v>0</v>
      </c>
      <c r="L42" s="8">
        <v>0</v>
      </c>
      <c r="N42" s="4" t="s">
        <v>66</v>
      </c>
    </row>
    <row r="43" spans="2:14" x14ac:dyDescent="0.25">
      <c r="B43" s="116">
        <v>40</v>
      </c>
      <c r="C43" s="4" t="s">
        <v>59</v>
      </c>
      <c r="D43" s="4" t="s">
        <v>209</v>
      </c>
      <c r="E43" s="5">
        <v>47</v>
      </c>
      <c r="F43" s="5">
        <v>33</v>
      </c>
      <c r="G43" s="5">
        <v>22</v>
      </c>
      <c r="H43" s="5">
        <v>17</v>
      </c>
      <c r="I43" s="6">
        <v>750</v>
      </c>
      <c r="J43" s="6">
        <v>650</v>
      </c>
      <c r="K43" s="7">
        <v>100</v>
      </c>
      <c r="L43" s="8">
        <v>160</v>
      </c>
      <c r="N43" s="4" t="s">
        <v>74</v>
      </c>
    </row>
    <row r="44" spans="2:14" x14ac:dyDescent="0.25">
      <c r="B44" s="116">
        <v>41</v>
      </c>
      <c r="C44" s="4" t="s">
        <v>60</v>
      </c>
      <c r="D44" s="4" t="s">
        <v>209</v>
      </c>
      <c r="E44" s="5">
        <v>77</v>
      </c>
      <c r="F44" s="5">
        <v>57</v>
      </c>
      <c r="G44" s="5">
        <v>40</v>
      </c>
      <c r="H44" s="5">
        <v>32</v>
      </c>
      <c r="I44" s="6">
        <v>750</v>
      </c>
      <c r="J44" s="6">
        <v>650</v>
      </c>
      <c r="K44" s="7">
        <v>100</v>
      </c>
      <c r="L44" s="8">
        <v>160</v>
      </c>
      <c r="N44" s="4" t="s">
        <v>75</v>
      </c>
    </row>
    <row r="45" spans="2:14" x14ac:dyDescent="0.25">
      <c r="B45" s="116">
        <v>42</v>
      </c>
      <c r="C45" s="4" t="s">
        <v>259</v>
      </c>
      <c r="D45" s="4" t="s">
        <v>209</v>
      </c>
      <c r="E45" s="5">
        <v>77</v>
      </c>
      <c r="F45" s="5">
        <v>57</v>
      </c>
      <c r="G45" s="5">
        <v>40</v>
      </c>
      <c r="H45" s="5">
        <v>32</v>
      </c>
      <c r="I45" s="6">
        <v>0</v>
      </c>
      <c r="J45" s="6">
        <v>0</v>
      </c>
      <c r="K45" s="7">
        <v>0</v>
      </c>
      <c r="L45" s="8">
        <v>0</v>
      </c>
      <c r="N45" s="4" t="s">
        <v>55</v>
      </c>
    </row>
    <row r="46" spans="2:14" x14ac:dyDescent="0.25">
      <c r="B46" s="116">
        <v>43</v>
      </c>
      <c r="C46" s="4" t="s">
        <v>61</v>
      </c>
      <c r="D46" s="4" t="s">
        <v>209</v>
      </c>
      <c r="E46" s="5">
        <v>47</v>
      </c>
      <c r="F46" s="5">
        <v>33</v>
      </c>
      <c r="G46" s="5">
        <v>22</v>
      </c>
      <c r="H46" s="5">
        <v>17</v>
      </c>
      <c r="I46" s="6">
        <v>0</v>
      </c>
      <c r="J46" s="6">
        <v>0</v>
      </c>
      <c r="K46" s="7">
        <v>0</v>
      </c>
      <c r="L46" s="8">
        <v>0</v>
      </c>
      <c r="N46" s="4" t="s">
        <v>82</v>
      </c>
    </row>
    <row r="47" spans="2:14" x14ac:dyDescent="0.25">
      <c r="B47" s="116">
        <v>44</v>
      </c>
      <c r="C47" s="4" t="s">
        <v>260</v>
      </c>
      <c r="D47" s="4" t="s">
        <v>209</v>
      </c>
      <c r="E47" s="5">
        <v>108</v>
      </c>
      <c r="F47" s="5">
        <v>80</v>
      </c>
      <c r="G47" s="5">
        <v>57</v>
      </c>
      <c r="H47" s="5">
        <v>45</v>
      </c>
      <c r="I47" s="6">
        <v>0</v>
      </c>
      <c r="J47" s="6">
        <v>0</v>
      </c>
      <c r="K47" s="7">
        <v>0</v>
      </c>
      <c r="L47" s="8">
        <v>0</v>
      </c>
      <c r="N47" s="4" t="s">
        <v>174</v>
      </c>
    </row>
    <row r="48" spans="2:14" x14ac:dyDescent="0.25">
      <c r="B48" s="116">
        <v>45</v>
      </c>
      <c r="C48" s="4" t="s">
        <v>63</v>
      </c>
      <c r="D48" s="4" t="s">
        <v>209</v>
      </c>
      <c r="E48" s="5">
        <v>47</v>
      </c>
      <c r="F48" s="5">
        <v>33</v>
      </c>
      <c r="G48" s="5">
        <v>22</v>
      </c>
      <c r="H48" s="5">
        <v>17</v>
      </c>
      <c r="I48" s="6">
        <v>750</v>
      </c>
      <c r="J48" s="6">
        <v>650</v>
      </c>
      <c r="K48" s="7">
        <v>100</v>
      </c>
      <c r="L48" s="8">
        <v>160</v>
      </c>
      <c r="N48" s="4" t="s">
        <v>85</v>
      </c>
    </row>
    <row r="49" spans="2:14" x14ac:dyDescent="0.25">
      <c r="B49" s="116">
        <v>46</v>
      </c>
      <c r="C49" s="4" t="s">
        <v>261</v>
      </c>
      <c r="D49" s="4" t="s">
        <v>209</v>
      </c>
      <c r="E49" s="5">
        <v>47</v>
      </c>
      <c r="F49" s="5">
        <v>33</v>
      </c>
      <c r="G49" s="5">
        <v>22</v>
      </c>
      <c r="H49" s="5">
        <v>17</v>
      </c>
      <c r="I49" s="6">
        <v>0</v>
      </c>
      <c r="J49" s="6">
        <v>0</v>
      </c>
      <c r="K49" s="7">
        <v>0</v>
      </c>
      <c r="L49" s="8">
        <v>0</v>
      </c>
      <c r="N49" s="4" t="s">
        <v>86</v>
      </c>
    </row>
    <row r="50" spans="2:14" x14ac:dyDescent="0.25">
      <c r="B50" s="116">
        <v>47</v>
      </c>
      <c r="C50" s="4" t="s">
        <v>262</v>
      </c>
      <c r="D50" s="4" t="s">
        <v>209</v>
      </c>
      <c r="E50" s="5">
        <v>47</v>
      </c>
      <c r="F50" s="5">
        <v>33</v>
      </c>
      <c r="G50" s="5">
        <v>22</v>
      </c>
      <c r="H50" s="5">
        <v>17</v>
      </c>
      <c r="I50" s="6">
        <v>0</v>
      </c>
      <c r="J50" s="6">
        <v>0</v>
      </c>
      <c r="K50" s="7">
        <v>0</v>
      </c>
      <c r="L50" s="8">
        <v>0</v>
      </c>
      <c r="N50" s="4" t="s">
        <v>90</v>
      </c>
    </row>
    <row r="51" spans="2:14" x14ac:dyDescent="0.25">
      <c r="B51" s="116">
        <v>48</v>
      </c>
      <c r="C51" s="4" t="s">
        <v>64</v>
      </c>
      <c r="D51" s="4" t="s">
        <v>209</v>
      </c>
      <c r="E51" s="5">
        <v>47</v>
      </c>
      <c r="F51" s="5">
        <v>33</v>
      </c>
      <c r="G51" s="5">
        <v>22</v>
      </c>
      <c r="H51" s="5">
        <v>17</v>
      </c>
      <c r="I51" s="6">
        <v>0</v>
      </c>
      <c r="J51" s="6">
        <v>0</v>
      </c>
      <c r="K51" s="7">
        <v>0</v>
      </c>
      <c r="L51" s="8">
        <v>0</v>
      </c>
      <c r="N51" s="4" t="s">
        <v>92</v>
      </c>
    </row>
    <row r="52" spans="2:14" x14ac:dyDescent="0.25">
      <c r="B52" s="116">
        <v>49</v>
      </c>
      <c r="C52" s="4" t="s">
        <v>65</v>
      </c>
      <c r="D52" s="4" t="s">
        <v>209</v>
      </c>
      <c r="E52" s="5">
        <v>77</v>
      </c>
      <c r="F52" s="5">
        <v>57</v>
      </c>
      <c r="G52" s="5">
        <v>40</v>
      </c>
      <c r="H52" s="5">
        <v>32</v>
      </c>
      <c r="I52" s="6">
        <v>0</v>
      </c>
      <c r="J52" s="6">
        <v>0</v>
      </c>
      <c r="K52" s="7">
        <v>0</v>
      </c>
      <c r="L52" s="8">
        <v>0</v>
      </c>
      <c r="N52" s="4" t="s">
        <v>93</v>
      </c>
    </row>
    <row r="53" spans="2:14" x14ac:dyDescent="0.25">
      <c r="B53" s="116">
        <v>50</v>
      </c>
      <c r="C53" s="4" t="s">
        <v>66</v>
      </c>
      <c r="D53" s="4" t="s">
        <v>209</v>
      </c>
      <c r="E53" s="5">
        <v>108</v>
      </c>
      <c r="F53" s="5">
        <v>80</v>
      </c>
      <c r="G53" s="5">
        <v>57</v>
      </c>
      <c r="H53" s="5">
        <v>45</v>
      </c>
      <c r="I53" s="6">
        <v>750</v>
      </c>
      <c r="J53" s="6">
        <v>650</v>
      </c>
      <c r="K53" s="7">
        <v>100</v>
      </c>
      <c r="L53" s="8">
        <v>160</v>
      </c>
      <c r="N53" s="4" t="s">
        <v>173</v>
      </c>
    </row>
    <row r="54" spans="2:14" x14ac:dyDescent="0.25">
      <c r="B54" s="116">
        <v>51</v>
      </c>
      <c r="C54" s="4" t="s">
        <v>263</v>
      </c>
      <c r="D54" s="4" t="s">
        <v>209</v>
      </c>
      <c r="E54" s="5">
        <v>47</v>
      </c>
      <c r="F54" s="5">
        <v>33</v>
      </c>
      <c r="G54" s="5">
        <v>22</v>
      </c>
      <c r="H54" s="5">
        <v>17</v>
      </c>
      <c r="I54" s="6">
        <v>0</v>
      </c>
      <c r="J54" s="6">
        <v>0</v>
      </c>
      <c r="K54" s="7">
        <v>0</v>
      </c>
      <c r="L54" s="8">
        <v>0</v>
      </c>
      <c r="N54" s="4" t="s">
        <v>100</v>
      </c>
    </row>
    <row r="55" spans="2:14" x14ac:dyDescent="0.25">
      <c r="B55" s="116">
        <v>52</v>
      </c>
      <c r="C55" s="4" t="s">
        <v>67</v>
      </c>
      <c r="D55" s="4" t="s">
        <v>209</v>
      </c>
      <c r="E55" s="5">
        <v>108</v>
      </c>
      <c r="F55" s="5">
        <v>80</v>
      </c>
      <c r="G55" s="5">
        <v>57</v>
      </c>
      <c r="H55" s="5">
        <v>45</v>
      </c>
      <c r="I55" s="6">
        <v>0</v>
      </c>
      <c r="J55" s="6">
        <v>0</v>
      </c>
      <c r="K55" s="7">
        <v>0</v>
      </c>
      <c r="L55" s="8">
        <v>0</v>
      </c>
      <c r="N55" s="4" t="s">
        <v>102</v>
      </c>
    </row>
    <row r="56" spans="2:14" x14ac:dyDescent="0.25">
      <c r="B56" s="116">
        <v>53</v>
      </c>
      <c r="C56" s="4" t="s">
        <v>264</v>
      </c>
      <c r="D56" s="4" t="s">
        <v>209</v>
      </c>
      <c r="E56" s="5">
        <v>77</v>
      </c>
      <c r="F56" s="5">
        <v>57</v>
      </c>
      <c r="G56" s="5">
        <v>40</v>
      </c>
      <c r="H56" s="5">
        <v>32</v>
      </c>
      <c r="I56" s="6">
        <v>0</v>
      </c>
      <c r="J56" s="6">
        <v>0</v>
      </c>
      <c r="K56" s="7">
        <v>0</v>
      </c>
      <c r="L56" s="8">
        <v>0</v>
      </c>
      <c r="N56" s="4" t="s">
        <v>105</v>
      </c>
    </row>
    <row r="57" spans="2:14" x14ac:dyDescent="0.25">
      <c r="B57" s="116">
        <v>54</v>
      </c>
      <c r="C57" s="4" t="s">
        <v>265</v>
      </c>
      <c r="D57" s="4" t="s">
        <v>209</v>
      </c>
      <c r="E57" s="5">
        <v>47</v>
      </c>
      <c r="F57" s="5">
        <v>33</v>
      </c>
      <c r="G57" s="5">
        <v>22</v>
      </c>
      <c r="H57" s="5">
        <v>17</v>
      </c>
      <c r="I57" s="6">
        <v>0</v>
      </c>
      <c r="J57" s="6">
        <v>0</v>
      </c>
      <c r="K57" s="7">
        <v>0</v>
      </c>
      <c r="L57" s="8">
        <v>0</v>
      </c>
      <c r="N57" s="4" t="s">
        <v>186</v>
      </c>
    </row>
    <row r="58" spans="2:14" x14ac:dyDescent="0.25">
      <c r="B58" s="116">
        <v>55</v>
      </c>
      <c r="C58" s="4" t="s">
        <v>68</v>
      </c>
      <c r="D58" s="4" t="s">
        <v>209</v>
      </c>
      <c r="E58" s="5">
        <v>47</v>
      </c>
      <c r="F58" s="5">
        <v>33</v>
      </c>
      <c r="G58" s="5">
        <v>22</v>
      </c>
      <c r="H58" s="5">
        <v>17</v>
      </c>
      <c r="I58" s="6">
        <v>0</v>
      </c>
      <c r="J58" s="6">
        <v>0</v>
      </c>
      <c r="K58" s="7">
        <v>0</v>
      </c>
      <c r="L58" s="8">
        <v>0</v>
      </c>
    </row>
    <row r="59" spans="2:14" x14ac:dyDescent="0.25">
      <c r="B59" s="116">
        <v>56</v>
      </c>
      <c r="C59" s="4" t="s">
        <v>266</v>
      </c>
      <c r="D59" s="4" t="s">
        <v>209</v>
      </c>
      <c r="E59" s="5">
        <v>77</v>
      </c>
      <c r="F59" s="5">
        <v>57</v>
      </c>
      <c r="G59" s="5">
        <v>40</v>
      </c>
      <c r="H59" s="5">
        <v>32</v>
      </c>
      <c r="I59" s="6">
        <v>0</v>
      </c>
      <c r="J59" s="6">
        <v>0</v>
      </c>
      <c r="K59" s="7">
        <v>0</v>
      </c>
      <c r="L59" s="8">
        <v>0</v>
      </c>
    </row>
    <row r="60" spans="2:14" x14ac:dyDescent="0.25">
      <c r="B60" s="116">
        <v>57</v>
      </c>
      <c r="C60" s="4" t="s">
        <v>267</v>
      </c>
      <c r="D60" s="4" t="s">
        <v>209</v>
      </c>
      <c r="E60" s="5">
        <v>47</v>
      </c>
      <c r="F60" s="5">
        <v>33</v>
      </c>
      <c r="G60" s="5">
        <v>22</v>
      </c>
      <c r="H60" s="5">
        <v>17</v>
      </c>
      <c r="I60" s="6">
        <v>0</v>
      </c>
      <c r="J60" s="6">
        <v>0</v>
      </c>
      <c r="K60" s="7">
        <v>0</v>
      </c>
      <c r="L60" s="8">
        <v>0</v>
      </c>
    </row>
    <row r="61" spans="2:14" x14ac:dyDescent="0.25">
      <c r="B61" s="116">
        <v>58</v>
      </c>
      <c r="C61" s="4" t="s">
        <v>268</v>
      </c>
      <c r="D61" s="4" t="s">
        <v>209</v>
      </c>
      <c r="E61" s="5">
        <v>47</v>
      </c>
      <c r="F61" s="5">
        <v>33</v>
      </c>
      <c r="G61" s="5">
        <v>22</v>
      </c>
      <c r="H61" s="5">
        <v>17</v>
      </c>
      <c r="I61" s="6">
        <v>0</v>
      </c>
      <c r="J61" s="6">
        <v>0</v>
      </c>
      <c r="K61" s="7">
        <v>0</v>
      </c>
      <c r="L61" s="8">
        <v>0</v>
      </c>
    </row>
    <row r="62" spans="2:14" x14ac:dyDescent="0.25">
      <c r="B62" s="116">
        <v>59</v>
      </c>
      <c r="C62" s="4" t="s">
        <v>269</v>
      </c>
      <c r="D62" s="4" t="s">
        <v>209</v>
      </c>
      <c r="E62" s="5">
        <v>47</v>
      </c>
      <c r="F62" s="5">
        <v>33</v>
      </c>
      <c r="G62" s="5">
        <v>22</v>
      </c>
      <c r="H62" s="5">
        <v>17</v>
      </c>
      <c r="I62" s="6">
        <v>0</v>
      </c>
      <c r="J62" s="6">
        <v>0</v>
      </c>
      <c r="K62" s="7">
        <v>0</v>
      </c>
      <c r="L62" s="8">
        <v>0</v>
      </c>
    </row>
    <row r="63" spans="2:14" x14ac:dyDescent="0.25">
      <c r="B63" s="116">
        <v>60</v>
      </c>
      <c r="C63" s="4" t="s">
        <v>62</v>
      </c>
      <c r="D63" s="4" t="s">
        <v>209</v>
      </c>
      <c r="E63" s="5">
        <v>108</v>
      </c>
      <c r="F63" s="5">
        <v>80</v>
      </c>
      <c r="G63" s="5">
        <v>57</v>
      </c>
      <c r="H63" s="5">
        <v>45</v>
      </c>
      <c r="I63" s="6">
        <v>0</v>
      </c>
      <c r="J63" s="6">
        <v>0</v>
      </c>
      <c r="K63" s="7">
        <v>0</v>
      </c>
      <c r="L63" s="8">
        <v>0</v>
      </c>
    </row>
    <row r="64" spans="2:14" x14ac:dyDescent="0.25">
      <c r="B64" s="116">
        <v>61</v>
      </c>
      <c r="C64" s="4" t="s">
        <v>69</v>
      </c>
      <c r="D64" s="4" t="s">
        <v>209</v>
      </c>
      <c r="E64" s="5">
        <v>77</v>
      </c>
      <c r="F64" s="5">
        <v>57</v>
      </c>
      <c r="G64" s="5">
        <v>40</v>
      </c>
      <c r="H64" s="5">
        <v>32</v>
      </c>
      <c r="I64" s="6">
        <v>0</v>
      </c>
      <c r="J64" s="6">
        <v>0</v>
      </c>
      <c r="K64" s="7">
        <v>0</v>
      </c>
      <c r="L64" s="8">
        <v>0</v>
      </c>
    </row>
    <row r="65" spans="2:12" x14ac:dyDescent="0.25">
      <c r="B65" s="116">
        <v>62</v>
      </c>
      <c r="C65" s="4" t="s">
        <v>70</v>
      </c>
      <c r="D65" s="4" t="s">
        <v>209</v>
      </c>
      <c r="E65" s="5">
        <v>108</v>
      </c>
      <c r="F65" s="5">
        <v>80</v>
      </c>
      <c r="G65" s="5">
        <v>57</v>
      </c>
      <c r="H65" s="5">
        <v>45</v>
      </c>
      <c r="I65" s="6">
        <v>0</v>
      </c>
      <c r="J65" s="6">
        <v>0</v>
      </c>
      <c r="K65" s="7">
        <v>0</v>
      </c>
      <c r="L65" s="8">
        <v>0</v>
      </c>
    </row>
    <row r="66" spans="2:12" x14ac:dyDescent="0.25">
      <c r="B66" s="116">
        <v>63</v>
      </c>
      <c r="C66" s="4" t="s">
        <v>270</v>
      </c>
      <c r="D66" s="4" t="s">
        <v>209</v>
      </c>
      <c r="E66" s="5">
        <v>108</v>
      </c>
      <c r="F66" s="5">
        <v>80</v>
      </c>
      <c r="G66" s="5">
        <v>57</v>
      </c>
      <c r="H66" s="5">
        <v>45</v>
      </c>
      <c r="I66" s="6">
        <v>0</v>
      </c>
      <c r="J66" s="6">
        <v>0</v>
      </c>
      <c r="K66" s="7">
        <v>0</v>
      </c>
      <c r="L66" s="8">
        <v>0</v>
      </c>
    </row>
    <row r="67" spans="2:12" x14ac:dyDescent="0.25">
      <c r="B67" s="116">
        <v>64</v>
      </c>
      <c r="C67" s="4" t="s">
        <v>271</v>
      </c>
      <c r="D67" s="4" t="s">
        <v>209</v>
      </c>
      <c r="E67" s="5">
        <v>77</v>
      </c>
      <c r="F67" s="5">
        <v>57</v>
      </c>
      <c r="G67" s="5">
        <v>40</v>
      </c>
      <c r="H67" s="5">
        <v>32</v>
      </c>
      <c r="I67" s="6">
        <v>0</v>
      </c>
      <c r="J67" s="6">
        <v>0</v>
      </c>
      <c r="K67" s="7">
        <v>0</v>
      </c>
      <c r="L67" s="8">
        <v>0</v>
      </c>
    </row>
    <row r="68" spans="2:12" x14ac:dyDescent="0.25">
      <c r="B68" s="116">
        <v>65</v>
      </c>
      <c r="C68" s="4" t="s">
        <v>378</v>
      </c>
      <c r="D68" s="4" t="s">
        <v>209</v>
      </c>
      <c r="E68" s="5">
        <v>47</v>
      </c>
      <c r="F68" s="5">
        <v>33</v>
      </c>
      <c r="G68" s="5">
        <v>22</v>
      </c>
      <c r="H68" s="5">
        <v>17</v>
      </c>
      <c r="I68" s="6">
        <v>0</v>
      </c>
      <c r="J68" s="6">
        <v>0</v>
      </c>
      <c r="K68" s="7">
        <v>0</v>
      </c>
      <c r="L68" s="8">
        <v>0</v>
      </c>
    </row>
    <row r="69" spans="2:12" x14ac:dyDescent="0.25">
      <c r="B69" s="116">
        <v>66</v>
      </c>
      <c r="C69" s="4" t="s">
        <v>272</v>
      </c>
      <c r="D69" s="4" t="s">
        <v>209</v>
      </c>
      <c r="E69" s="5">
        <v>108</v>
      </c>
      <c r="F69" s="5">
        <v>80</v>
      </c>
      <c r="G69" s="5">
        <v>57</v>
      </c>
      <c r="H69" s="5">
        <v>45</v>
      </c>
      <c r="I69" s="6">
        <v>0</v>
      </c>
      <c r="J69" s="6">
        <v>0</v>
      </c>
      <c r="K69" s="7">
        <v>0</v>
      </c>
      <c r="L69" s="8">
        <v>0</v>
      </c>
    </row>
    <row r="70" spans="2:12" x14ac:dyDescent="0.25">
      <c r="B70" s="116">
        <v>67</v>
      </c>
      <c r="C70" s="4" t="s">
        <v>71</v>
      </c>
      <c r="D70" s="4" t="s">
        <v>209</v>
      </c>
      <c r="E70" s="5">
        <v>77</v>
      </c>
      <c r="F70" s="5">
        <v>57</v>
      </c>
      <c r="G70" s="5">
        <v>40</v>
      </c>
      <c r="H70" s="5">
        <v>32</v>
      </c>
      <c r="I70" s="6">
        <v>0</v>
      </c>
      <c r="J70" s="6">
        <v>0</v>
      </c>
      <c r="K70" s="7">
        <v>0</v>
      </c>
      <c r="L70" s="8">
        <v>0</v>
      </c>
    </row>
    <row r="71" spans="2:12" x14ac:dyDescent="0.25">
      <c r="B71" s="116">
        <v>68</v>
      </c>
      <c r="C71" s="4" t="s">
        <v>72</v>
      </c>
      <c r="D71" s="4" t="s">
        <v>209</v>
      </c>
      <c r="E71" s="5">
        <v>47</v>
      </c>
      <c r="F71" s="5">
        <v>33</v>
      </c>
      <c r="G71" s="5">
        <v>22</v>
      </c>
      <c r="H71" s="5">
        <v>17</v>
      </c>
      <c r="I71" s="6">
        <v>0</v>
      </c>
      <c r="J71" s="6">
        <v>0</v>
      </c>
      <c r="K71" s="7">
        <v>0</v>
      </c>
      <c r="L71" s="8">
        <v>0</v>
      </c>
    </row>
    <row r="72" spans="2:12" x14ac:dyDescent="0.25">
      <c r="B72" s="116">
        <v>69</v>
      </c>
      <c r="C72" s="4" t="s">
        <v>273</v>
      </c>
      <c r="D72" s="4" t="s">
        <v>209</v>
      </c>
      <c r="E72" s="5">
        <v>77</v>
      </c>
      <c r="F72" s="5">
        <v>57</v>
      </c>
      <c r="G72" s="5">
        <v>40</v>
      </c>
      <c r="H72" s="5">
        <v>32</v>
      </c>
      <c r="I72" s="6">
        <v>0</v>
      </c>
      <c r="J72" s="6">
        <v>0</v>
      </c>
      <c r="K72" s="7">
        <v>0</v>
      </c>
      <c r="L72" s="8">
        <v>0</v>
      </c>
    </row>
    <row r="73" spans="2:12" x14ac:dyDescent="0.25">
      <c r="B73" s="116">
        <v>70</v>
      </c>
      <c r="C73" s="4" t="s">
        <v>274</v>
      </c>
      <c r="D73" s="4" t="s">
        <v>209</v>
      </c>
      <c r="E73" s="5">
        <v>108</v>
      </c>
      <c r="F73" s="5">
        <v>80</v>
      </c>
      <c r="G73" s="5">
        <v>57</v>
      </c>
      <c r="H73" s="5">
        <v>45</v>
      </c>
      <c r="I73" s="6">
        <v>0</v>
      </c>
      <c r="J73" s="6">
        <v>0</v>
      </c>
      <c r="K73" s="7">
        <v>0</v>
      </c>
      <c r="L73" s="8">
        <v>0</v>
      </c>
    </row>
    <row r="74" spans="2:12" x14ac:dyDescent="0.25">
      <c r="B74" s="116">
        <v>71</v>
      </c>
      <c r="C74" s="4" t="s">
        <v>275</v>
      </c>
      <c r="D74" s="4" t="s">
        <v>209</v>
      </c>
      <c r="E74" s="5">
        <v>77</v>
      </c>
      <c r="F74" s="5">
        <v>57</v>
      </c>
      <c r="G74" s="5">
        <v>40</v>
      </c>
      <c r="H74" s="5">
        <v>32</v>
      </c>
      <c r="I74" s="6">
        <v>0</v>
      </c>
      <c r="J74" s="6">
        <v>0</v>
      </c>
      <c r="K74" s="7">
        <v>0</v>
      </c>
      <c r="L74" s="8">
        <v>0</v>
      </c>
    </row>
    <row r="75" spans="2:12" x14ac:dyDescent="0.25">
      <c r="B75" s="116">
        <v>72</v>
      </c>
      <c r="C75" s="4" t="s">
        <v>374</v>
      </c>
      <c r="D75" s="4" t="s">
        <v>209</v>
      </c>
      <c r="E75" s="5">
        <v>47</v>
      </c>
      <c r="F75" s="5">
        <v>33</v>
      </c>
      <c r="G75" s="5">
        <v>22</v>
      </c>
      <c r="H75" s="5">
        <v>17</v>
      </c>
      <c r="I75" s="6">
        <v>0</v>
      </c>
      <c r="J75" s="6">
        <v>0</v>
      </c>
      <c r="K75" s="7">
        <v>0</v>
      </c>
      <c r="L75" s="8">
        <v>0</v>
      </c>
    </row>
    <row r="76" spans="2:12" x14ac:dyDescent="0.25">
      <c r="B76" s="116">
        <v>73</v>
      </c>
      <c r="C76" s="4" t="s">
        <v>73</v>
      </c>
      <c r="D76" s="4" t="s">
        <v>209</v>
      </c>
      <c r="E76" s="5">
        <v>77</v>
      </c>
      <c r="F76" s="5">
        <v>57</v>
      </c>
      <c r="G76" s="5">
        <v>40</v>
      </c>
      <c r="H76" s="5">
        <v>32</v>
      </c>
      <c r="I76" s="6">
        <v>0</v>
      </c>
      <c r="J76" s="6">
        <v>0</v>
      </c>
      <c r="K76" s="7">
        <v>0</v>
      </c>
      <c r="L76" s="8">
        <v>0</v>
      </c>
    </row>
    <row r="77" spans="2:12" x14ac:dyDescent="0.25">
      <c r="B77" s="116">
        <v>74</v>
      </c>
      <c r="C77" s="4" t="s">
        <v>74</v>
      </c>
      <c r="D77" s="4" t="s">
        <v>209</v>
      </c>
      <c r="E77" s="5">
        <v>47</v>
      </c>
      <c r="F77" s="5">
        <v>33</v>
      </c>
      <c r="G77" s="5">
        <v>22</v>
      </c>
      <c r="H77" s="5">
        <v>17</v>
      </c>
      <c r="I77" s="6">
        <v>750</v>
      </c>
      <c r="J77" s="6">
        <v>650</v>
      </c>
      <c r="K77" s="7">
        <v>100</v>
      </c>
      <c r="L77" s="8">
        <v>160</v>
      </c>
    </row>
    <row r="78" spans="2:12" x14ac:dyDescent="0.25">
      <c r="B78" s="116">
        <v>75</v>
      </c>
      <c r="C78" s="4" t="s">
        <v>352</v>
      </c>
      <c r="D78" s="4" t="s">
        <v>209</v>
      </c>
      <c r="E78" s="5">
        <v>77</v>
      </c>
      <c r="F78" s="5">
        <v>57</v>
      </c>
      <c r="G78" s="5">
        <v>40</v>
      </c>
      <c r="H78" s="5">
        <v>32</v>
      </c>
      <c r="I78" s="6">
        <v>0</v>
      </c>
      <c r="J78" s="6">
        <v>0</v>
      </c>
      <c r="K78" s="7">
        <v>0</v>
      </c>
      <c r="L78" s="8">
        <v>0</v>
      </c>
    </row>
    <row r="79" spans="2:12" x14ac:dyDescent="0.25">
      <c r="B79" s="116">
        <v>76</v>
      </c>
      <c r="C79" s="4" t="s">
        <v>276</v>
      </c>
      <c r="D79" s="4" t="s">
        <v>209</v>
      </c>
      <c r="E79" s="5">
        <v>47</v>
      </c>
      <c r="F79" s="5">
        <v>33</v>
      </c>
      <c r="G79" s="5">
        <v>22</v>
      </c>
      <c r="H79" s="5">
        <v>17</v>
      </c>
      <c r="I79" s="6">
        <v>0</v>
      </c>
      <c r="J79" s="6">
        <v>0</v>
      </c>
      <c r="K79" s="7">
        <v>0</v>
      </c>
      <c r="L79" s="8">
        <v>0</v>
      </c>
    </row>
    <row r="80" spans="2:12" x14ac:dyDescent="0.25">
      <c r="B80" s="116">
        <v>77</v>
      </c>
      <c r="C80" s="4" t="s">
        <v>277</v>
      </c>
      <c r="D80" s="4" t="s">
        <v>209</v>
      </c>
      <c r="E80" s="5">
        <v>47</v>
      </c>
      <c r="F80" s="5">
        <v>33</v>
      </c>
      <c r="G80" s="5">
        <v>22</v>
      </c>
      <c r="H80" s="5">
        <v>17</v>
      </c>
      <c r="I80" s="6">
        <v>0</v>
      </c>
      <c r="J80" s="6">
        <v>0</v>
      </c>
      <c r="K80" s="7">
        <v>0</v>
      </c>
      <c r="L80" s="8">
        <v>0</v>
      </c>
    </row>
    <row r="81" spans="2:12" x14ac:dyDescent="0.25">
      <c r="B81" s="116">
        <v>78</v>
      </c>
      <c r="C81" s="4" t="s">
        <v>278</v>
      </c>
      <c r="D81" s="4" t="s">
        <v>209</v>
      </c>
      <c r="E81" s="5">
        <v>47</v>
      </c>
      <c r="F81" s="5">
        <v>33</v>
      </c>
      <c r="G81" s="5">
        <v>22</v>
      </c>
      <c r="H81" s="5">
        <v>17</v>
      </c>
      <c r="I81" s="6">
        <v>0</v>
      </c>
      <c r="J81" s="6">
        <v>0</v>
      </c>
      <c r="K81" s="7">
        <v>0</v>
      </c>
      <c r="L81" s="8">
        <v>0</v>
      </c>
    </row>
    <row r="82" spans="2:12" x14ac:dyDescent="0.25">
      <c r="B82" s="116">
        <v>79</v>
      </c>
      <c r="C82" s="4" t="s">
        <v>373</v>
      </c>
      <c r="D82" s="4" t="s">
        <v>209</v>
      </c>
      <c r="E82" s="5">
        <v>47</v>
      </c>
      <c r="F82" s="5">
        <v>33</v>
      </c>
      <c r="G82" s="5">
        <v>22</v>
      </c>
      <c r="H82" s="5">
        <v>17</v>
      </c>
      <c r="I82" s="6">
        <v>0</v>
      </c>
      <c r="J82" s="6">
        <v>0</v>
      </c>
      <c r="K82" s="7">
        <v>0</v>
      </c>
      <c r="L82" s="8">
        <v>0</v>
      </c>
    </row>
    <row r="83" spans="2:12" x14ac:dyDescent="0.25">
      <c r="B83" s="116">
        <v>80</v>
      </c>
      <c r="C83" s="4" t="s">
        <v>279</v>
      </c>
      <c r="D83" s="4" t="s">
        <v>209</v>
      </c>
      <c r="E83" s="5">
        <v>108</v>
      </c>
      <c r="F83" s="5">
        <v>80</v>
      </c>
      <c r="G83" s="5">
        <v>57</v>
      </c>
      <c r="H83" s="5">
        <v>45</v>
      </c>
      <c r="I83" s="6">
        <v>0</v>
      </c>
      <c r="J83" s="6">
        <v>0</v>
      </c>
      <c r="K83" s="7">
        <v>0</v>
      </c>
      <c r="L83" s="8">
        <v>0</v>
      </c>
    </row>
    <row r="84" spans="2:12" x14ac:dyDescent="0.25">
      <c r="B84" s="116">
        <v>81</v>
      </c>
      <c r="C84" s="4" t="s">
        <v>280</v>
      </c>
      <c r="D84" s="4" t="s">
        <v>209</v>
      </c>
      <c r="E84" s="5">
        <v>47</v>
      </c>
      <c r="F84" s="5">
        <v>33</v>
      </c>
      <c r="G84" s="5">
        <v>22</v>
      </c>
      <c r="H84" s="5">
        <v>17</v>
      </c>
      <c r="I84" s="6">
        <v>0</v>
      </c>
      <c r="J84" s="6">
        <v>0</v>
      </c>
      <c r="K84" s="7">
        <v>0</v>
      </c>
      <c r="L84" s="8">
        <v>0</v>
      </c>
    </row>
    <row r="85" spans="2:12" x14ac:dyDescent="0.25">
      <c r="B85" s="116">
        <v>82</v>
      </c>
      <c r="C85" s="4" t="s">
        <v>75</v>
      </c>
      <c r="D85" s="4" t="s">
        <v>209</v>
      </c>
      <c r="E85" s="5">
        <v>77</v>
      </c>
      <c r="F85" s="5">
        <v>57</v>
      </c>
      <c r="G85" s="5">
        <v>40</v>
      </c>
      <c r="H85" s="5">
        <v>32</v>
      </c>
      <c r="I85" s="6">
        <v>750</v>
      </c>
      <c r="J85" s="6">
        <v>650</v>
      </c>
      <c r="K85" s="7">
        <v>100</v>
      </c>
      <c r="L85" s="8">
        <v>160</v>
      </c>
    </row>
    <row r="86" spans="2:12" x14ac:dyDescent="0.25">
      <c r="B86" s="116">
        <v>83</v>
      </c>
      <c r="C86" s="4" t="s">
        <v>281</v>
      </c>
      <c r="D86" s="4" t="s">
        <v>209</v>
      </c>
      <c r="E86" s="5">
        <v>47</v>
      </c>
      <c r="F86" s="5">
        <v>33</v>
      </c>
      <c r="G86" s="5">
        <v>22</v>
      </c>
      <c r="H86" s="5">
        <v>17</v>
      </c>
      <c r="I86" s="6">
        <v>0</v>
      </c>
      <c r="J86" s="6">
        <v>0</v>
      </c>
      <c r="K86" s="7">
        <v>0</v>
      </c>
      <c r="L86" s="8">
        <v>0</v>
      </c>
    </row>
    <row r="87" spans="2:12" x14ac:dyDescent="0.25">
      <c r="B87" s="116">
        <v>84</v>
      </c>
      <c r="C87" s="4" t="s">
        <v>282</v>
      </c>
      <c r="D87" s="4" t="s">
        <v>209</v>
      </c>
      <c r="E87" s="5">
        <v>108</v>
      </c>
      <c r="F87" s="5">
        <v>80</v>
      </c>
      <c r="G87" s="5">
        <v>57</v>
      </c>
      <c r="H87" s="5">
        <v>45</v>
      </c>
      <c r="I87" s="6">
        <v>0</v>
      </c>
      <c r="J87" s="6">
        <v>0</v>
      </c>
      <c r="K87" s="7">
        <v>0</v>
      </c>
      <c r="L87" s="8">
        <v>0</v>
      </c>
    </row>
    <row r="88" spans="2:12" x14ac:dyDescent="0.25">
      <c r="B88" s="116">
        <v>85</v>
      </c>
      <c r="C88" s="4" t="s">
        <v>76</v>
      </c>
      <c r="D88" s="4" t="s">
        <v>209</v>
      </c>
      <c r="E88" s="5">
        <v>77</v>
      </c>
      <c r="F88" s="5">
        <v>57</v>
      </c>
      <c r="G88" s="5">
        <v>40</v>
      </c>
      <c r="H88" s="5">
        <v>32</v>
      </c>
      <c r="I88" s="6">
        <v>0</v>
      </c>
      <c r="J88" s="6">
        <v>0</v>
      </c>
      <c r="K88" s="7">
        <v>0</v>
      </c>
      <c r="L88" s="8">
        <v>0</v>
      </c>
    </row>
    <row r="89" spans="2:12" x14ac:dyDescent="0.25">
      <c r="B89" s="116">
        <v>86</v>
      </c>
      <c r="C89" s="4" t="s">
        <v>283</v>
      </c>
      <c r="D89" s="4" t="s">
        <v>209</v>
      </c>
      <c r="E89" s="5">
        <v>47</v>
      </c>
      <c r="F89" s="5">
        <v>33</v>
      </c>
      <c r="G89" s="5">
        <v>22</v>
      </c>
      <c r="H89" s="5">
        <v>17</v>
      </c>
      <c r="I89" s="6">
        <v>0</v>
      </c>
      <c r="J89" s="6">
        <v>0</v>
      </c>
      <c r="K89" s="7">
        <v>0</v>
      </c>
      <c r="L89" s="8">
        <v>0</v>
      </c>
    </row>
    <row r="90" spans="2:12" x14ac:dyDescent="0.25">
      <c r="B90" s="116">
        <v>87</v>
      </c>
      <c r="C90" s="4" t="s">
        <v>284</v>
      </c>
      <c r="D90" s="4" t="s">
        <v>209</v>
      </c>
      <c r="E90" s="5">
        <v>77</v>
      </c>
      <c r="F90" s="5">
        <v>57</v>
      </c>
      <c r="G90" s="5">
        <v>40</v>
      </c>
      <c r="H90" s="5">
        <v>32</v>
      </c>
      <c r="I90" s="6">
        <v>0</v>
      </c>
      <c r="J90" s="6">
        <v>0</v>
      </c>
      <c r="K90" s="7">
        <v>0</v>
      </c>
      <c r="L90" s="8">
        <v>0</v>
      </c>
    </row>
    <row r="91" spans="2:12" x14ac:dyDescent="0.25">
      <c r="B91" s="116">
        <v>88</v>
      </c>
      <c r="C91" s="4" t="s">
        <v>285</v>
      </c>
      <c r="D91" s="4" t="s">
        <v>209</v>
      </c>
      <c r="E91" s="5">
        <v>47</v>
      </c>
      <c r="F91" s="5">
        <v>33</v>
      </c>
      <c r="G91" s="5">
        <v>22</v>
      </c>
      <c r="H91" s="5">
        <v>17</v>
      </c>
      <c r="I91" s="6">
        <v>0</v>
      </c>
      <c r="J91" s="6">
        <v>0</v>
      </c>
      <c r="K91" s="7">
        <v>0</v>
      </c>
      <c r="L91" s="8">
        <v>0</v>
      </c>
    </row>
    <row r="92" spans="2:12" x14ac:dyDescent="0.25">
      <c r="B92" s="116">
        <v>89</v>
      </c>
      <c r="C92" s="4" t="s">
        <v>286</v>
      </c>
      <c r="D92" s="4" t="s">
        <v>209</v>
      </c>
      <c r="E92" s="5">
        <v>77</v>
      </c>
      <c r="F92" s="5">
        <v>57</v>
      </c>
      <c r="G92" s="5">
        <v>40</v>
      </c>
      <c r="H92" s="5">
        <v>32</v>
      </c>
      <c r="I92" s="6">
        <v>0</v>
      </c>
      <c r="J92" s="6">
        <v>0</v>
      </c>
      <c r="K92" s="7">
        <v>0</v>
      </c>
      <c r="L92" s="8">
        <v>0</v>
      </c>
    </row>
    <row r="93" spans="2:12" x14ac:dyDescent="0.25">
      <c r="B93" s="116">
        <v>90</v>
      </c>
      <c r="C93" s="4" t="s">
        <v>77</v>
      </c>
      <c r="D93" s="4" t="s">
        <v>209</v>
      </c>
      <c r="E93" s="5">
        <v>47</v>
      </c>
      <c r="F93" s="5">
        <v>33</v>
      </c>
      <c r="G93" s="5">
        <v>22</v>
      </c>
      <c r="H93" s="5">
        <v>17</v>
      </c>
      <c r="I93" s="6">
        <v>0</v>
      </c>
      <c r="J93" s="6">
        <v>0</v>
      </c>
      <c r="K93" s="7">
        <v>0</v>
      </c>
      <c r="L93" s="8">
        <v>0</v>
      </c>
    </row>
    <row r="94" spans="2:12" x14ac:dyDescent="0.25">
      <c r="B94" s="116">
        <v>91</v>
      </c>
      <c r="C94" s="4" t="s">
        <v>78</v>
      </c>
      <c r="D94" s="4" t="s">
        <v>209</v>
      </c>
      <c r="E94" s="5">
        <v>47</v>
      </c>
      <c r="F94" s="5">
        <v>33</v>
      </c>
      <c r="G94" s="5">
        <v>22</v>
      </c>
      <c r="H94" s="5">
        <v>17</v>
      </c>
      <c r="I94" s="6">
        <v>0</v>
      </c>
      <c r="J94" s="6">
        <v>0</v>
      </c>
      <c r="K94" s="7">
        <v>0</v>
      </c>
      <c r="L94" s="8">
        <v>0</v>
      </c>
    </row>
    <row r="95" spans="2:12" x14ac:dyDescent="0.25">
      <c r="B95" s="116">
        <v>92</v>
      </c>
      <c r="C95" s="4" t="s">
        <v>79</v>
      </c>
      <c r="D95" s="4" t="s">
        <v>209</v>
      </c>
      <c r="E95" s="5">
        <v>47</v>
      </c>
      <c r="F95" s="5">
        <v>33</v>
      </c>
      <c r="G95" s="5">
        <v>22</v>
      </c>
      <c r="H95" s="5">
        <v>17</v>
      </c>
      <c r="I95" s="6">
        <v>0</v>
      </c>
      <c r="J95" s="6">
        <v>0</v>
      </c>
      <c r="K95" s="7">
        <v>0</v>
      </c>
      <c r="L95" s="8">
        <v>0</v>
      </c>
    </row>
    <row r="96" spans="2:12" x14ac:dyDescent="0.25">
      <c r="B96" s="116">
        <v>93</v>
      </c>
      <c r="C96" s="4" t="s">
        <v>80</v>
      </c>
      <c r="D96" s="4" t="s">
        <v>209</v>
      </c>
      <c r="E96" s="5">
        <v>77</v>
      </c>
      <c r="F96" s="5">
        <v>57</v>
      </c>
      <c r="G96" s="5">
        <v>40</v>
      </c>
      <c r="H96" s="5">
        <v>32</v>
      </c>
      <c r="I96" s="6">
        <v>0</v>
      </c>
      <c r="J96" s="6">
        <v>0</v>
      </c>
      <c r="K96" s="7">
        <v>0</v>
      </c>
      <c r="L96" s="8">
        <v>0</v>
      </c>
    </row>
    <row r="97" spans="2:12" x14ac:dyDescent="0.25">
      <c r="B97" s="116">
        <v>94</v>
      </c>
      <c r="C97" s="4" t="s">
        <v>81</v>
      </c>
      <c r="D97" s="4" t="s">
        <v>209</v>
      </c>
      <c r="E97" s="5">
        <v>77</v>
      </c>
      <c r="F97" s="5">
        <v>57</v>
      </c>
      <c r="G97" s="5">
        <v>40</v>
      </c>
      <c r="H97" s="5">
        <v>32</v>
      </c>
      <c r="I97" s="6">
        <v>0</v>
      </c>
      <c r="J97" s="6">
        <v>0</v>
      </c>
      <c r="K97" s="7">
        <v>0</v>
      </c>
      <c r="L97" s="8">
        <v>0</v>
      </c>
    </row>
    <row r="98" spans="2:12" x14ac:dyDescent="0.25">
      <c r="B98" s="116">
        <v>95</v>
      </c>
      <c r="C98" s="4" t="s">
        <v>55</v>
      </c>
      <c r="D98" s="4" t="s">
        <v>209</v>
      </c>
      <c r="E98" s="5">
        <v>166</v>
      </c>
      <c r="F98" s="5">
        <v>132</v>
      </c>
      <c r="G98" s="5">
        <v>102</v>
      </c>
      <c r="H98" s="5">
        <v>92</v>
      </c>
      <c r="I98" s="6">
        <v>750</v>
      </c>
      <c r="J98" s="6">
        <v>650</v>
      </c>
      <c r="K98" s="7">
        <v>100</v>
      </c>
      <c r="L98" s="8">
        <v>160</v>
      </c>
    </row>
    <row r="99" spans="2:12" x14ac:dyDescent="0.25">
      <c r="B99" s="116">
        <v>96</v>
      </c>
      <c r="C99" s="4" t="s">
        <v>287</v>
      </c>
      <c r="D99" s="4" t="s">
        <v>209</v>
      </c>
      <c r="E99" s="5">
        <v>108</v>
      </c>
      <c r="F99" s="5">
        <v>80</v>
      </c>
      <c r="G99" s="5">
        <v>57</v>
      </c>
      <c r="H99" s="5">
        <v>45</v>
      </c>
      <c r="I99" s="6">
        <v>0</v>
      </c>
      <c r="J99" s="6">
        <v>0</v>
      </c>
      <c r="K99" s="7">
        <v>0</v>
      </c>
      <c r="L99" s="8">
        <v>0</v>
      </c>
    </row>
    <row r="100" spans="2:12" x14ac:dyDescent="0.25">
      <c r="B100" s="116">
        <v>97</v>
      </c>
      <c r="C100" s="4" t="s">
        <v>288</v>
      </c>
      <c r="D100" s="4" t="s">
        <v>209</v>
      </c>
      <c r="E100" s="5">
        <v>77</v>
      </c>
      <c r="F100" s="5">
        <v>57</v>
      </c>
      <c r="G100" s="5">
        <v>40</v>
      </c>
      <c r="H100" s="5">
        <v>32</v>
      </c>
      <c r="I100" s="6">
        <v>0</v>
      </c>
      <c r="J100" s="6">
        <v>0</v>
      </c>
      <c r="K100" s="7">
        <v>0</v>
      </c>
      <c r="L100" s="8">
        <v>0</v>
      </c>
    </row>
    <row r="101" spans="2:12" x14ac:dyDescent="0.25">
      <c r="B101" s="116">
        <v>98</v>
      </c>
      <c r="C101" s="4" t="s">
        <v>82</v>
      </c>
      <c r="D101" s="4" t="s">
        <v>209</v>
      </c>
      <c r="E101" s="5">
        <v>77</v>
      </c>
      <c r="F101" s="5">
        <v>57</v>
      </c>
      <c r="G101" s="5">
        <v>40</v>
      </c>
      <c r="H101" s="5">
        <v>32</v>
      </c>
      <c r="I101" s="6">
        <v>750</v>
      </c>
      <c r="J101" s="6">
        <v>650</v>
      </c>
      <c r="K101" s="7">
        <v>100</v>
      </c>
      <c r="L101" s="8">
        <v>160</v>
      </c>
    </row>
    <row r="102" spans="2:12" x14ac:dyDescent="0.25">
      <c r="B102" s="116">
        <v>99</v>
      </c>
      <c r="C102" s="4" t="s">
        <v>377</v>
      </c>
      <c r="D102" s="4" t="s">
        <v>209</v>
      </c>
      <c r="E102" s="5">
        <v>77</v>
      </c>
      <c r="F102" s="5">
        <v>57</v>
      </c>
      <c r="G102" s="5">
        <v>40</v>
      </c>
      <c r="H102" s="5">
        <v>32</v>
      </c>
      <c r="I102" s="6">
        <v>0</v>
      </c>
      <c r="J102" s="6">
        <v>0</v>
      </c>
      <c r="K102" s="7">
        <v>0</v>
      </c>
      <c r="L102" s="8">
        <v>0</v>
      </c>
    </row>
    <row r="103" spans="2:12" x14ac:dyDescent="0.25">
      <c r="B103" s="116">
        <v>100</v>
      </c>
      <c r="C103" s="4" t="s">
        <v>289</v>
      </c>
      <c r="D103" s="4" t="s">
        <v>209</v>
      </c>
      <c r="E103" s="5">
        <v>77</v>
      </c>
      <c r="F103" s="5">
        <v>57</v>
      </c>
      <c r="G103" s="5">
        <v>40</v>
      </c>
      <c r="H103" s="5">
        <v>32</v>
      </c>
      <c r="I103" s="6">
        <v>0</v>
      </c>
      <c r="J103" s="6">
        <v>0</v>
      </c>
      <c r="K103" s="7">
        <v>0</v>
      </c>
      <c r="L103" s="8">
        <v>0</v>
      </c>
    </row>
    <row r="104" spans="2:12" x14ac:dyDescent="0.25">
      <c r="B104" s="116">
        <v>101</v>
      </c>
      <c r="C104" s="4" t="s">
        <v>290</v>
      </c>
      <c r="D104" s="4" t="s">
        <v>209</v>
      </c>
      <c r="E104" s="5">
        <v>47</v>
      </c>
      <c r="F104" s="5">
        <v>33</v>
      </c>
      <c r="G104" s="5">
        <v>22</v>
      </c>
      <c r="H104" s="5">
        <v>17</v>
      </c>
      <c r="I104" s="6">
        <v>0</v>
      </c>
      <c r="J104" s="6">
        <v>0</v>
      </c>
      <c r="K104" s="7">
        <v>0</v>
      </c>
      <c r="L104" s="8">
        <v>0</v>
      </c>
    </row>
    <row r="105" spans="2:12" x14ac:dyDescent="0.25">
      <c r="B105" s="116">
        <v>102</v>
      </c>
      <c r="C105" s="4" t="s">
        <v>174</v>
      </c>
      <c r="D105" s="4" t="s">
        <v>209</v>
      </c>
      <c r="E105" s="5">
        <v>108</v>
      </c>
      <c r="F105" s="5">
        <v>80</v>
      </c>
      <c r="G105" s="5">
        <v>57</v>
      </c>
      <c r="H105" s="5">
        <v>45</v>
      </c>
      <c r="I105" s="6">
        <v>750</v>
      </c>
      <c r="J105" s="6">
        <v>650</v>
      </c>
      <c r="K105" s="7">
        <v>100</v>
      </c>
      <c r="L105" s="8">
        <v>160</v>
      </c>
    </row>
    <row r="106" spans="2:12" x14ac:dyDescent="0.25">
      <c r="B106" s="116">
        <v>103</v>
      </c>
      <c r="C106" s="4" t="s">
        <v>83</v>
      </c>
      <c r="D106" s="4" t="s">
        <v>209</v>
      </c>
      <c r="E106" s="5">
        <v>47</v>
      </c>
      <c r="F106" s="5">
        <v>33</v>
      </c>
      <c r="G106" s="5">
        <v>22</v>
      </c>
      <c r="H106" s="5">
        <v>17</v>
      </c>
      <c r="I106" s="6">
        <v>0</v>
      </c>
      <c r="J106" s="6">
        <v>0</v>
      </c>
      <c r="K106" s="7">
        <v>0</v>
      </c>
      <c r="L106" s="8">
        <v>0</v>
      </c>
    </row>
    <row r="107" spans="2:12" x14ac:dyDescent="0.25">
      <c r="B107" s="116">
        <v>104</v>
      </c>
      <c r="C107" s="4" t="s">
        <v>84</v>
      </c>
      <c r="D107" s="4" t="s">
        <v>209</v>
      </c>
      <c r="E107" s="5">
        <v>47</v>
      </c>
      <c r="F107" s="5">
        <v>33</v>
      </c>
      <c r="G107" s="5">
        <v>22</v>
      </c>
      <c r="H107" s="5">
        <v>17</v>
      </c>
      <c r="I107" s="6">
        <v>0</v>
      </c>
      <c r="J107" s="6">
        <v>0</v>
      </c>
      <c r="K107" s="7">
        <v>0</v>
      </c>
      <c r="L107" s="8">
        <v>0</v>
      </c>
    </row>
    <row r="108" spans="2:12" x14ac:dyDescent="0.25">
      <c r="B108" s="116">
        <v>105</v>
      </c>
      <c r="C108" s="4" t="s">
        <v>85</v>
      </c>
      <c r="D108" s="4" t="s">
        <v>209</v>
      </c>
      <c r="E108" s="5">
        <v>108</v>
      </c>
      <c r="F108" s="5">
        <v>80</v>
      </c>
      <c r="G108" s="5">
        <v>57</v>
      </c>
      <c r="H108" s="5">
        <v>45</v>
      </c>
      <c r="I108" s="6">
        <v>750</v>
      </c>
      <c r="J108" s="6">
        <v>650</v>
      </c>
      <c r="K108" s="7">
        <v>100</v>
      </c>
      <c r="L108" s="8">
        <v>160</v>
      </c>
    </row>
    <row r="109" spans="2:12" x14ac:dyDescent="0.25">
      <c r="B109" s="116">
        <v>106</v>
      </c>
      <c r="C109" s="4" t="s">
        <v>291</v>
      </c>
      <c r="D109" s="4" t="s">
        <v>209</v>
      </c>
      <c r="E109" s="5">
        <v>47</v>
      </c>
      <c r="F109" s="5">
        <v>33</v>
      </c>
      <c r="G109" s="5">
        <v>22</v>
      </c>
      <c r="H109" s="5">
        <v>17</v>
      </c>
      <c r="I109" s="6">
        <v>0</v>
      </c>
      <c r="J109" s="6">
        <v>0</v>
      </c>
      <c r="K109" s="7">
        <v>0</v>
      </c>
      <c r="L109" s="8">
        <v>0</v>
      </c>
    </row>
    <row r="110" spans="2:12" x14ac:dyDescent="0.25">
      <c r="B110" s="116">
        <v>107</v>
      </c>
      <c r="C110" s="4" t="s">
        <v>292</v>
      </c>
      <c r="D110" s="4" t="s">
        <v>209</v>
      </c>
      <c r="E110" s="5">
        <v>47</v>
      </c>
      <c r="F110" s="5">
        <v>33</v>
      </c>
      <c r="G110" s="5">
        <v>22</v>
      </c>
      <c r="H110" s="5">
        <v>17</v>
      </c>
      <c r="I110" s="6">
        <v>0</v>
      </c>
      <c r="J110" s="6">
        <v>0</v>
      </c>
      <c r="K110" s="7">
        <v>0</v>
      </c>
      <c r="L110" s="8">
        <v>0</v>
      </c>
    </row>
    <row r="111" spans="2:12" x14ac:dyDescent="0.25">
      <c r="B111" s="116">
        <v>108</v>
      </c>
      <c r="C111" s="4" t="s">
        <v>86</v>
      </c>
      <c r="D111" s="4" t="s">
        <v>209</v>
      </c>
      <c r="E111" s="5">
        <v>108</v>
      </c>
      <c r="F111" s="5">
        <v>80</v>
      </c>
      <c r="G111" s="5">
        <v>57</v>
      </c>
      <c r="H111" s="5">
        <v>45</v>
      </c>
      <c r="I111" s="6">
        <v>750</v>
      </c>
      <c r="J111" s="6">
        <v>650</v>
      </c>
      <c r="K111" s="7">
        <v>100</v>
      </c>
      <c r="L111" s="8">
        <v>160</v>
      </c>
    </row>
    <row r="112" spans="2:12" x14ac:dyDescent="0.25">
      <c r="B112" s="116">
        <v>109</v>
      </c>
      <c r="C112" s="4" t="s">
        <v>293</v>
      </c>
      <c r="D112" s="4" t="s">
        <v>209</v>
      </c>
      <c r="E112" s="5">
        <v>47</v>
      </c>
      <c r="F112" s="5">
        <v>33</v>
      </c>
      <c r="G112" s="5">
        <v>22</v>
      </c>
      <c r="H112" s="5">
        <v>17</v>
      </c>
      <c r="I112" s="6">
        <v>0</v>
      </c>
      <c r="J112" s="6">
        <v>0</v>
      </c>
      <c r="K112" s="7">
        <v>0</v>
      </c>
      <c r="L112" s="8">
        <v>0</v>
      </c>
    </row>
    <row r="113" spans="2:12" x14ac:dyDescent="0.25">
      <c r="B113" s="116">
        <v>110</v>
      </c>
      <c r="C113" s="4" t="s">
        <v>294</v>
      </c>
      <c r="D113" s="4" t="s">
        <v>209</v>
      </c>
      <c r="E113" s="5">
        <v>47</v>
      </c>
      <c r="F113" s="5">
        <v>33</v>
      </c>
      <c r="G113" s="5">
        <v>22</v>
      </c>
      <c r="H113" s="5">
        <v>17</v>
      </c>
      <c r="I113" s="6">
        <v>0</v>
      </c>
      <c r="J113" s="6">
        <v>0</v>
      </c>
      <c r="K113" s="7">
        <v>0</v>
      </c>
      <c r="L113" s="8">
        <v>0</v>
      </c>
    </row>
    <row r="114" spans="2:12" x14ac:dyDescent="0.25">
      <c r="B114" s="116">
        <v>111</v>
      </c>
      <c r="C114" s="4" t="s">
        <v>87</v>
      </c>
      <c r="D114" s="4" t="s">
        <v>209</v>
      </c>
      <c r="E114" s="5">
        <v>47</v>
      </c>
      <c r="F114" s="5">
        <v>33</v>
      </c>
      <c r="G114" s="5">
        <v>22</v>
      </c>
      <c r="H114" s="5">
        <v>17</v>
      </c>
      <c r="I114" s="6">
        <v>0</v>
      </c>
      <c r="J114" s="6">
        <v>0</v>
      </c>
      <c r="K114" s="7">
        <v>0</v>
      </c>
      <c r="L114" s="8">
        <v>0</v>
      </c>
    </row>
    <row r="115" spans="2:12" x14ac:dyDescent="0.25">
      <c r="B115" s="116">
        <v>112</v>
      </c>
      <c r="C115" s="4" t="s">
        <v>88</v>
      </c>
      <c r="D115" s="4" t="s">
        <v>209</v>
      </c>
      <c r="E115" s="5">
        <v>47</v>
      </c>
      <c r="F115" s="5">
        <v>33</v>
      </c>
      <c r="G115" s="5">
        <v>22</v>
      </c>
      <c r="H115" s="5">
        <v>17</v>
      </c>
      <c r="I115" s="6">
        <v>0</v>
      </c>
      <c r="J115" s="6">
        <v>0</v>
      </c>
      <c r="K115" s="7">
        <v>0</v>
      </c>
      <c r="L115" s="8">
        <v>0</v>
      </c>
    </row>
    <row r="116" spans="2:12" x14ac:dyDescent="0.25">
      <c r="B116" s="116">
        <v>113</v>
      </c>
      <c r="C116" s="4" t="s">
        <v>295</v>
      </c>
      <c r="D116" s="4" t="s">
        <v>209</v>
      </c>
      <c r="E116" s="5">
        <v>47</v>
      </c>
      <c r="F116" s="5">
        <v>33</v>
      </c>
      <c r="G116" s="5">
        <v>22</v>
      </c>
      <c r="H116" s="5">
        <v>17</v>
      </c>
      <c r="I116" s="6">
        <v>0</v>
      </c>
      <c r="J116" s="6">
        <v>0</v>
      </c>
      <c r="K116" s="7">
        <v>0</v>
      </c>
      <c r="L116" s="8">
        <v>0</v>
      </c>
    </row>
    <row r="117" spans="2:12" x14ac:dyDescent="0.25">
      <c r="B117" s="116">
        <v>114</v>
      </c>
      <c r="C117" s="4" t="s">
        <v>296</v>
      </c>
      <c r="D117" s="4" t="s">
        <v>209</v>
      </c>
      <c r="E117" s="5">
        <v>47</v>
      </c>
      <c r="F117" s="5">
        <v>33</v>
      </c>
      <c r="G117" s="5">
        <v>22</v>
      </c>
      <c r="H117" s="5">
        <v>17</v>
      </c>
      <c r="I117" s="6">
        <v>0</v>
      </c>
      <c r="J117" s="6">
        <v>0</v>
      </c>
      <c r="K117" s="7">
        <v>0</v>
      </c>
      <c r="L117" s="8">
        <v>0</v>
      </c>
    </row>
    <row r="118" spans="2:12" x14ac:dyDescent="0.25">
      <c r="B118" s="116">
        <v>115</v>
      </c>
      <c r="C118" s="4" t="s">
        <v>297</v>
      </c>
      <c r="D118" s="4" t="s">
        <v>209</v>
      </c>
      <c r="E118" s="5">
        <v>47</v>
      </c>
      <c r="F118" s="5">
        <v>33</v>
      </c>
      <c r="G118" s="5">
        <v>22</v>
      </c>
      <c r="H118" s="5">
        <v>17</v>
      </c>
      <c r="I118" s="6">
        <v>0</v>
      </c>
      <c r="J118" s="6">
        <v>0</v>
      </c>
      <c r="K118" s="7">
        <v>0</v>
      </c>
      <c r="L118" s="8">
        <v>0</v>
      </c>
    </row>
    <row r="119" spans="2:12" x14ac:dyDescent="0.25">
      <c r="B119" s="116">
        <v>116</v>
      </c>
      <c r="C119" s="4" t="s">
        <v>298</v>
      </c>
      <c r="D119" s="4" t="s">
        <v>209</v>
      </c>
      <c r="E119" s="5">
        <v>47</v>
      </c>
      <c r="F119" s="5">
        <v>33</v>
      </c>
      <c r="G119" s="5">
        <v>22</v>
      </c>
      <c r="H119" s="5">
        <v>17</v>
      </c>
      <c r="I119" s="6">
        <v>0</v>
      </c>
      <c r="J119" s="6">
        <v>0</v>
      </c>
      <c r="K119" s="7">
        <v>0</v>
      </c>
      <c r="L119" s="8">
        <v>0</v>
      </c>
    </row>
    <row r="120" spans="2:12" x14ac:dyDescent="0.25">
      <c r="B120" s="116">
        <v>117</v>
      </c>
      <c r="C120" s="4" t="s">
        <v>89</v>
      </c>
      <c r="D120" s="4" t="s">
        <v>209</v>
      </c>
      <c r="E120" s="5">
        <v>108</v>
      </c>
      <c r="F120" s="5">
        <v>80</v>
      </c>
      <c r="G120" s="5">
        <v>57</v>
      </c>
      <c r="H120" s="5">
        <v>45</v>
      </c>
      <c r="I120" s="6">
        <v>0</v>
      </c>
      <c r="J120" s="6">
        <v>0</v>
      </c>
      <c r="K120" s="7">
        <v>0</v>
      </c>
      <c r="L120" s="8">
        <v>0</v>
      </c>
    </row>
    <row r="121" spans="2:12" x14ac:dyDescent="0.25">
      <c r="B121" s="116">
        <v>118</v>
      </c>
      <c r="C121" s="4" t="s">
        <v>379</v>
      </c>
      <c r="D121" s="4" t="s">
        <v>209</v>
      </c>
      <c r="E121" s="5">
        <v>77</v>
      </c>
      <c r="F121" s="5">
        <v>57</v>
      </c>
      <c r="G121" s="5">
        <v>40</v>
      </c>
      <c r="H121" s="5">
        <v>32</v>
      </c>
      <c r="I121" s="6">
        <v>0</v>
      </c>
      <c r="J121" s="6">
        <v>0</v>
      </c>
      <c r="K121" s="7">
        <v>0</v>
      </c>
      <c r="L121" s="8">
        <v>0</v>
      </c>
    </row>
    <row r="122" spans="2:12" x14ac:dyDescent="0.25">
      <c r="B122" s="116">
        <v>119</v>
      </c>
      <c r="C122" s="4" t="s">
        <v>90</v>
      </c>
      <c r="D122" s="4" t="s">
        <v>209</v>
      </c>
      <c r="E122" s="5">
        <v>47</v>
      </c>
      <c r="F122" s="5">
        <v>33</v>
      </c>
      <c r="G122" s="5">
        <v>22</v>
      </c>
      <c r="H122" s="5">
        <v>17</v>
      </c>
      <c r="I122" s="6">
        <v>750</v>
      </c>
      <c r="J122" s="6">
        <v>650</v>
      </c>
      <c r="K122" s="7">
        <v>100</v>
      </c>
      <c r="L122" s="8">
        <v>160</v>
      </c>
    </row>
    <row r="123" spans="2:12" x14ac:dyDescent="0.25">
      <c r="B123" s="116">
        <v>120</v>
      </c>
      <c r="C123" s="4" t="s">
        <v>91</v>
      </c>
      <c r="D123" s="4" t="s">
        <v>209</v>
      </c>
      <c r="E123" s="5">
        <v>47</v>
      </c>
      <c r="F123" s="5">
        <v>33</v>
      </c>
      <c r="G123" s="5">
        <v>22</v>
      </c>
      <c r="H123" s="5">
        <v>17</v>
      </c>
      <c r="I123" s="6">
        <v>0</v>
      </c>
      <c r="J123" s="6">
        <v>0</v>
      </c>
      <c r="K123" s="7">
        <v>0</v>
      </c>
      <c r="L123" s="8">
        <v>0</v>
      </c>
    </row>
    <row r="124" spans="2:12" x14ac:dyDescent="0.25">
      <c r="B124" s="116">
        <v>121</v>
      </c>
      <c r="C124" s="4" t="s">
        <v>92</v>
      </c>
      <c r="D124" s="4" t="s">
        <v>209</v>
      </c>
      <c r="E124" s="5">
        <v>108</v>
      </c>
      <c r="F124" s="5">
        <v>80</v>
      </c>
      <c r="G124" s="5">
        <v>57</v>
      </c>
      <c r="H124" s="5">
        <v>45</v>
      </c>
      <c r="I124" s="6">
        <v>750</v>
      </c>
      <c r="J124" s="6">
        <v>650</v>
      </c>
      <c r="K124" s="7">
        <v>100</v>
      </c>
      <c r="L124" s="8">
        <v>160</v>
      </c>
    </row>
    <row r="125" spans="2:12" x14ac:dyDescent="0.25">
      <c r="B125" s="116">
        <v>122</v>
      </c>
      <c r="C125" s="4" t="s">
        <v>93</v>
      </c>
      <c r="D125" s="4" t="s">
        <v>209</v>
      </c>
      <c r="E125" s="5">
        <v>77</v>
      </c>
      <c r="F125" s="5">
        <v>57</v>
      </c>
      <c r="G125" s="5">
        <v>40</v>
      </c>
      <c r="H125" s="5">
        <v>32</v>
      </c>
      <c r="I125" s="6">
        <v>750</v>
      </c>
      <c r="J125" s="6">
        <v>650</v>
      </c>
      <c r="K125" s="7">
        <v>100</v>
      </c>
      <c r="L125" s="8">
        <v>160</v>
      </c>
    </row>
    <row r="126" spans="2:12" x14ac:dyDescent="0.25">
      <c r="B126" s="116">
        <v>123</v>
      </c>
      <c r="C126" s="4" t="s">
        <v>299</v>
      </c>
      <c r="D126" s="4" t="s">
        <v>209</v>
      </c>
      <c r="E126" s="5">
        <v>77</v>
      </c>
      <c r="F126" s="5">
        <v>57</v>
      </c>
      <c r="G126" s="5">
        <v>40</v>
      </c>
      <c r="H126" s="5">
        <v>32</v>
      </c>
      <c r="I126" s="6">
        <v>0</v>
      </c>
      <c r="J126" s="6">
        <v>0</v>
      </c>
      <c r="K126" s="7">
        <v>0</v>
      </c>
      <c r="L126" s="8">
        <v>0</v>
      </c>
    </row>
    <row r="127" spans="2:12" x14ac:dyDescent="0.25">
      <c r="B127" s="116">
        <v>124</v>
      </c>
      <c r="C127" s="4" t="s">
        <v>300</v>
      </c>
      <c r="D127" s="4" t="s">
        <v>209</v>
      </c>
      <c r="E127" s="5">
        <v>47</v>
      </c>
      <c r="F127" s="5">
        <v>33</v>
      </c>
      <c r="G127" s="5">
        <v>22</v>
      </c>
      <c r="H127" s="5">
        <v>17</v>
      </c>
      <c r="I127" s="6">
        <v>0</v>
      </c>
      <c r="J127" s="6">
        <v>0</v>
      </c>
      <c r="K127" s="7">
        <v>0</v>
      </c>
      <c r="L127" s="8">
        <v>0</v>
      </c>
    </row>
    <row r="128" spans="2:12" x14ac:dyDescent="0.25">
      <c r="B128" s="116">
        <v>125</v>
      </c>
      <c r="C128" s="4" t="s">
        <v>301</v>
      </c>
      <c r="D128" s="4" t="s">
        <v>209</v>
      </c>
      <c r="E128" s="5">
        <v>77</v>
      </c>
      <c r="F128" s="5">
        <v>57</v>
      </c>
      <c r="G128" s="5">
        <v>40</v>
      </c>
      <c r="H128" s="5">
        <v>32</v>
      </c>
      <c r="I128" s="6">
        <v>0</v>
      </c>
      <c r="J128" s="6">
        <v>0</v>
      </c>
      <c r="K128" s="7">
        <v>0</v>
      </c>
      <c r="L128" s="8">
        <v>0</v>
      </c>
    </row>
    <row r="129" spans="2:12" x14ac:dyDescent="0.25">
      <c r="B129" s="116">
        <v>126</v>
      </c>
      <c r="C129" s="4" t="s">
        <v>302</v>
      </c>
      <c r="D129" s="4" t="s">
        <v>209</v>
      </c>
      <c r="E129" s="5">
        <v>47</v>
      </c>
      <c r="F129" s="5">
        <v>33</v>
      </c>
      <c r="G129" s="5">
        <v>22</v>
      </c>
      <c r="H129" s="5">
        <v>17</v>
      </c>
      <c r="I129" s="6">
        <v>0</v>
      </c>
      <c r="J129" s="6">
        <v>0</v>
      </c>
      <c r="K129" s="7">
        <v>0</v>
      </c>
      <c r="L129" s="8">
        <v>0</v>
      </c>
    </row>
    <row r="130" spans="2:12" x14ac:dyDescent="0.25">
      <c r="B130" s="116">
        <v>127</v>
      </c>
      <c r="C130" s="4" t="s">
        <v>94</v>
      </c>
      <c r="D130" s="4" t="s">
        <v>209</v>
      </c>
      <c r="E130" s="5">
        <v>47</v>
      </c>
      <c r="F130" s="5">
        <v>33</v>
      </c>
      <c r="G130" s="5">
        <v>22</v>
      </c>
      <c r="H130" s="5">
        <v>17</v>
      </c>
      <c r="I130" s="6">
        <v>0</v>
      </c>
      <c r="J130" s="6">
        <v>0</v>
      </c>
      <c r="K130" s="7">
        <v>0</v>
      </c>
      <c r="L130" s="8">
        <v>0</v>
      </c>
    </row>
    <row r="131" spans="2:12" x14ac:dyDescent="0.25">
      <c r="B131" s="116">
        <v>128</v>
      </c>
      <c r="C131" s="4" t="s">
        <v>95</v>
      </c>
      <c r="D131" s="4" t="s">
        <v>209</v>
      </c>
      <c r="E131" s="5">
        <v>47</v>
      </c>
      <c r="F131" s="5">
        <v>33</v>
      </c>
      <c r="G131" s="5">
        <v>22</v>
      </c>
      <c r="H131" s="5">
        <v>17</v>
      </c>
      <c r="I131" s="6">
        <v>0</v>
      </c>
      <c r="J131" s="6">
        <v>0</v>
      </c>
      <c r="K131" s="7">
        <v>0</v>
      </c>
      <c r="L131" s="8">
        <v>0</v>
      </c>
    </row>
    <row r="132" spans="2:12" x14ac:dyDescent="0.25">
      <c r="B132" s="116">
        <v>129</v>
      </c>
      <c r="C132" s="4" t="s">
        <v>303</v>
      </c>
      <c r="D132" s="4" t="s">
        <v>209</v>
      </c>
      <c r="E132" s="5">
        <v>47</v>
      </c>
      <c r="F132" s="5">
        <v>33</v>
      </c>
      <c r="G132" s="5">
        <v>22</v>
      </c>
      <c r="H132" s="5">
        <v>17</v>
      </c>
      <c r="I132" s="6">
        <v>0</v>
      </c>
      <c r="J132" s="6">
        <v>0</v>
      </c>
      <c r="K132" s="7">
        <v>0</v>
      </c>
      <c r="L132" s="8">
        <v>0</v>
      </c>
    </row>
    <row r="133" spans="2:12" x14ac:dyDescent="0.25">
      <c r="B133" s="116">
        <v>130</v>
      </c>
      <c r="C133" s="4" t="s">
        <v>304</v>
      </c>
      <c r="D133" s="4" t="s">
        <v>209</v>
      </c>
      <c r="E133" s="5">
        <v>108</v>
      </c>
      <c r="F133" s="5">
        <v>80</v>
      </c>
      <c r="G133" s="5">
        <v>57</v>
      </c>
      <c r="H133" s="5">
        <v>45</v>
      </c>
      <c r="I133" s="6">
        <v>0</v>
      </c>
      <c r="J133" s="6">
        <v>0</v>
      </c>
      <c r="K133" s="7">
        <v>0</v>
      </c>
      <c r="L133" s="8">
        <v>0</v>
      </c>
    </row>
    <row r="134" spans="2:12" x14ac:dyDescent="0.25">
      <c r="B134" s="116">
        <v>131</v>
      </c>
      <c r="C134" s="4" t="s">
        <v>305</v>
      </c>
      <c r="D134" s="4" t="s">
        <v>209</v>
      </c>
      <c r="E134" s="5">
        <v>47</v>
      </c>
      <c r="F134" s="5">
        <v>33</v>
      </c>
      <c r="G134" s="5">
        <v>22</v>
      </c>
      <c r="H134" s="5">
        <v>17</v>
      </c>
      <c r="I134" s="6">
        <v>0</v>
      </c>
      <c r="J134" s="6">
        <v>0</v>
      </c>
      <c r="K134" s="7">
        <v>0</v>
      </c>
      <c r="L134" s="8">
        <v>0</v>
      </c>
    </row>
    <row r="135" spans="2:12" x14ac:dyDescent="0.25">
      <c r="B135" s="116">
        <v>132</v>
      </c>
      <c r="C135" s="4" t="s">
        <v>96</v>
      </c>
      <c r="D135" s="4" t="s">
        <v>209</v>
      </c>
      <c r="E135" s="5">
        <v>47</v>
      </c>
      <c r="F135" s="5">
        <v>33</v>
      </c>
      <c r="G135" s="5">
        <v>22</v>
      </c>
      <c r="H135" s="5">
        <v>17</v>
      </c>
      <c r="I135" s="6">
        <v>0</v>
      </c>
      <c r="J135" s="6">
        <v>0</v>
      </c>
      <c r="K135" s="7">
        <v>0</v>
      </c>
      <c r="L135" s="8">
        <v>0</v>
      </c>
    </row>
    <row r="136" spans="2:12" x14ac:dyDescent="0.25">
      <c r="B136" s="116">
        <v>133</v>
      </c>
      <c r="C136" s="4" t="s">
        <v>306</v>
      </c>
      <c r="D136" s="4" t="s">
        <v>209</v>
      </c>
      <c r="E136" s="5">
        <v>47</v>
      </c>
      <c r="F136" s="5">
        <v>33</v>
      </c>
      <c r="G136" s="5">
        <v>22</v>
      </c>
      <c r="H136" s="5">
        <v>17</v>
      </c>
      <c r="I136" s="6">
        <v>0</v>
      </c>
      <c r="J136" s="6">
        <v>0</v>
      </c>
      <c r="K136" s="7">
        <v>0</v>
      </c>
      <c r="L136" s="8">
        <v>0</v>
      </c>
    </row>
    <row r="137" spans="2:12" x14ac:dyDescent="0.25">
      <c r="B137" s="116">
        <v>134</v>
      </c>
      <c r="C137" s="4" t="s">
        <v>173</v>
      </c>
      <c r="D137" s="4" t="s">
        <v>209</v>
      </c>
      <c r="E137" s="5">
        <v>77</v>
      </c>
      <c r="F137" s="5">
        <v>57</v>
      </c>
      <c r="G137" s="5">
        <v>40</v>
      </c>
      <c r="H137" s="5">
        <v>32</v>
      </c>
      <c r="I137" s="6">
        <v>750</v>
      </c>
      <c r="J137" s="6">
        <v>650</v>
      </c>
      <c r="K137" s="7">
        <v>100</v>
      </c>
      <c r="L137" s="8">
        <v>160</v>
      </c>
    </row>
    <row r="138" spans="2:12" x14ac:dyDescent="0.25">
      <c r="B138" s="116">
        <v>135</v>
      </c>
      <c r="C138" s="4" t="s">
        <v>97</v>
      </c>
      <c r="D138" s="4" t="s">
        <v>209</v>
      </c>
      <c r="E138" s="5">
        <v>77</v>
      </c>
      <c r="F138" s="5">
        <v>57</v>
      </c>
      <c r="G138" s="5">
        <v>40</v>
      </c>
      <c r="H138" s="5">
        <v>32</v>
      </c>
      <c r="I138" s="6">
        <v>0</v>
      </c>
      <c r="J138" s="6">
        <v>0</v>
      </c>
      <c r="K138" s="7">
        <v>0</v>
      </c>
      <c r="L138" s="8">
        <v>0</v>
      </c>
    </row>
    <row r="139" spans="2:12" x14ac:dyDescent="0.25">
      <c r="B139" s="116">
        <v>136</v>
      </c>
      <c r="C139" s="4" t="s">
        <v>307</v>
      </c>
      <c r="D139" s="4" t="s">
        <v>209</v>
      </c>
      <c r="E139" s="5">
        <v>77</v>
      </c>
      <c r="F139" s="5">
        <v>57</v>
      </c>
      <c r="G139" s="5">
        <v>40</v>
      </c>
      <c r="H139" s="5">
        <v>32</v>
      </c>
      <c r="I139" s="6">
        <v>0</v>
      </c>
      <c r="J139" s="6">
        <v>0</v>
      </c>
      <c r="K139" s="7">
        <v>0</v>
      </c>
      <c r="L139" s="8">
        <v>0</v>
      </c>
    </row>
    <row r="140" spans="2:12" x14ac:dyDescent="0.25">
      <c r="B140" s="116">
        <v>137</v>
      </c>
      <c r="C140" s="4" t="s">
        <v>98</v>
      </c>
      <c r="D140" s="4" t="s">
        <v>209</v>
      </c>
      <c r="E140" s="5">
        <v>77</v>
      </c>
      <c r="F140" s="5">
        <v>57</v>
      </c>
      <c r="G140" s="5">
        <v>40</v>
      </c>
      <c r="H140" s="5">
        <v>32</v>
      </c>
      <c r="I140" s="6">
        <v>0</v>
      </c>
      <c r="J140" s="6">
        <v>0</v>
      </c>
      <c r="K140" s="7">
        <v>0</v>
      </c>
      <c r="L140" s="8">
        <v>0</v>
      </c>
    </row>
    <row r="141" spans="2:12" x14ac:dyDescent="0.25">
      <c r="B141" s="116">
        <v>138</v>
      </c>
      <c r="C141" s="4" t="s">
        <v>139</v>
      </c>
      <c r="D141" s="4" t="s">
        <v>209</v>
      </c>
      <c r="E141" s="5">
        <v>108</v>
      </c>
      <c r="F141" s="5">
        <v>80</v>
      </c>
      <c r="G141" s="5">
        <v>57</v>
      </c>
      <c r="H141" s="5">
        <v>45</v>
      </c>
      <c r="I141" s="6">
        <v>0</v>
      </c>
      <c r="J141" s="6">
        <v>0</v>
      </c>
      <c r="K141" s="7">
        <v>0</v>
      </c>
      <c r="L141" s="8">
        <v>0</v>
      </c>
    </row>
    <row r="142" spans="2:12" x14ac:dyDescent="0.25">
      <c r="B142" s="116">
        <v>139</v>
      </c>
      <c r="C142" s="4" t="s">
        <v>99</v>
      </c>
      <c r="D142" s="4" t="s">
        <v>209</v>
      </c>
      <c r="E142" s="5">
        <v>47</v>
      </c>
      <c r="F142" s="5">
        <v>33</v>
      </c>
      <c r="G142" s="5">
        <v>22</v>
      </c>
      <c r="H142" s="5">
        <v>17</v>
      </c>
      <c r="I142" s="6">
        <v>0</v>
      </c>
      <c r="J142" s="6">
        <v>0</v>
      </c>
      <c r="K142" s="7">
        <v>0</v>
      </c>
      <c r="L142" s="8">
        <v>0</v>
      </c>
    </row>
    <row r="143" spans="2:12" x14ac:dyDescent="0.25">
      <c r="B143" s="116">
        <v>140</v>
      </c>
      <c r="C143" s="4" t="s">
        <v>187</v>
      </c>
      <c r="D143" s="4" t="s">
        <v>209</v>
      </c>
      <c r="E143" s="5">
        <v>77</v>
      </c>
      <c r="F143" s="5">
        <v>57</v>
      </c>
      <c r="G143" s="5">
        <v>40</v>
      </c>
      <c r="H143" s="5">
        <v>32</v>
      </c>
      <c r="I143" s="6">
        <v>0</v>
      </c>
      <c r="J143" s="6">
        <v>0</v>
      </c>
      <c r="K143" s="7">
        <v>0</v>
      </c>
      <c r="L143" s="8">
        <v>0</v>
      </c>
    </row>
    <row r="144" spans="2:12" x14ac:dyDescent="0.25">
      <c r="B144" s="116">
        <v>141</v>
      </c>
      <c r="C144" s="4" t="s">
        <v>308</v>
      </c>
      <c r="D144" s="4" t="s">
        <v>209</v>
      </c>
      <c r="E144" s="5">
        <v>47</v>
      </c>
      <c r="F144" s="5">
        <v>33</v>
      </c>
      <c r="G144" s="5">
        <v>22</v>
      </c>
      <c r="H144" s="5">
        <v>17</v>
      </c>
      <c r="I144" s="6">
        <v>0</v>
      </c>
      <c r="J144" s="6">
        <v>0</v>
      </c>
      <c r="K144" s="7">
        <v>0</v>
      </c>
      <c r="L144" s="8">
        <v>0</v>
      </c>
    </row>
    <row r="145" spans="2:12" x14ac:dyDescent="0.25">
      <c r="B145" s="116">
        <v>142</v>
      </c>
      <c r="C145" s="4" t="s">
        <v>309</v>
      </c>
      <c r="D145" s="4" t="s">
        <v>209</v>
      </c>
      <c r="E145" s="5">
        <v>108</v>
      </c>
      <c r="F145" s="5">
        <v>80</v>
      </c>
      <c r="G145" s="5">
        <v>57</v>
      </c>
      <c r="H145" s="5">
        <v>45</v>
      </c>
      <c r="I145" s="6">
        <v>0</v>
      </c>
      <c r="J145" s="6">
        <v>0</v>
      </c>
      <c r="K145" s="7">
        <v>0</v>
      </c>
      <c r="L145" s="8">
        <v>0</v>
      </c>
    </row>
    <row r="146" spans="2:12" x14ac:dyDescent="0.25">
      <c r="B146" s="116">
        <v>143</v>
      </c>
      <c r="C146" s="4" t="s">
        <v>365</v>
      </c>
      <c r="D146" s="4" t="s">
        <v>209</v>
      </c>
      <c r="E146" s="5">
        <v>108</v>
      </c>
      <c r="F146" s="5">
        <v>80</v>
      </c>
      <c r="G146" s="5">
        <v>57</v>
      </c>
      <c r="H146" s="5">
        <v>45</v>
      </c>
      <c r="I146" s="6">
        <v>0</v>
      </c>
      <c r="J146" s="6">
        <v>0</v>
      </c>
      <c r="K146" s="7">
        <v>0</v>
      </c>
      <c r="L146" s="8">
        <v>0</v>
      </c>
    </row>
    <row r="147" spans="2:12" x14ac:dyDescent="0.25">
      <c r="B147" s="116">
        <v>144</v>
      </c>
      <c r="C147" s="4" t="s">
        <v>310</v>
      </c>
      <c r="D147" s="4" t="s">
        <v>209</v>
      </c>
      <c r="E147" s="5">
        <v>108</v>
      </c>
      <c r="F147" s="5">
        <v>80</v>
      </c>
      <c r="G147" s="5">
        <v>57</v>
      </c>
      <c r="H147" s="5">
        <v>45</v>
      </c>
      <c r="I147" s="6">
        <v>0</v>
      </c>
      <c r="J147" s="6">
        <v>0</v>
      </c>
      <c r="K147" s="7">
        <v>0</v>
      </c>
      <c r="L147" s="8">
        <v>0</v>
      </c>
    </row>
    <row r="148" spans="2:12" x14ac:dyDescent="0.25">
      <c r="B148" s="116">
        <v>145</v>
      </c>
      <c r="C148" s="4" t="s">
        <v>311</v>
      </c>
      <c r="D148" s="4" t="s">
        <v>209</v>
      </c>
      <c r="E148" s="5">
        <v>47</v>
      </c>
      <c r="F148" s="5">
        <v>33</v>
      </c>
      <c r="G148" s="5">
        <v>22</v>
      </c>
      <c r="H148" s="5">
        <v>17</v>
      </c>
      <c r="I148" s="6">
        <v>0</v>
      </c>
      <c r="J148" s="6">
        <v>0</v>
      </c>
      <c r="K148" s="7">
        <v>0</v>
      </c>
      <c r="L148" s="8">
        <v>0</v>
      </c>
    </row>
    <row r="149" spans="2:12" x14ac:dyDescent="0.25">
      <c r="B149" s="116">
        <v>146</v>
      </c>
      <c r="C149" s="4" t="s">
        <v>312</v>
      </c>
      <c r="D149" s="4" t="s">
        <v>209</v>
      </c>
      <c r="E149" s="5">
        <v>108</v>
      </c>
      <c r="F149" s="5">
        <v>80</v>
      </c>
      <c r="G149" s="5">
        <v>57</v>
      </c>
      <c r="H149" s="5">
        <v>45</v>
      </c>
      <c r="I149" s="6">
        <v>0</v>
      </c>
      <c r="J149" s="6">
        <v>0</v>
      </c>
      <c r="K149" s="7">
        <v>0</v>
      </c>
      <c r="L149" s="8">
        <v>0</v>
      </c>
    </row>
    <row r="150" spans="2:12" x14ac:dyDescent="0.25">
      <c r="B150" s="116">
        <v>147</v>
      </c>
      <c r="C150" s="4" t="s">
        <v>313</v>
      </c>
      <c r="D150" s="4" t="s">
        <v>209</v>
      </c>
      <c r="E150" s="5">
        <v>77</v>
      </c>
      <c r="F150" s="5">
        <v>57</v>
      </c>
      <c r="G150" s="5">
        <v>40</v>
      </c>
      <c r="H150" s="5">
        <v>32</v>
      </c>
      <c r="I150" s="6">
        <v>0</v>
      </c>
      <c r="J150" s="6">
        <v>0</v>
      </c>
      <c r="K150" s="7">
        <v>0</v>
      </c>
      <c r="L150" s="8">
        <v>0</v>
      </c>
    </row>
    <row r="151" spans="2:12" x14ac:dyDescent="0.25">
      <c r="B151" s="116">
        <v>148</v>
      </c>
      <c r="C151" s="4" t="s">
        <v>100</v>
      </c>
      <c r="D151" s="4" t="s">
        <v>209</v>
      </c>
      <c r="E151" s="5">
        <v>108</v>
      </c>
      <c r="F151" s="5">
        <v>80</v>
      </c>
      <c r="G151" s="5">
        <v>57</v>
      </c>
      <c r="H151" s="5">
        <v>45</v>
      </c>
      <c r="I151" s="6">
        <v>750</v>
      </c>
      <c r="J151" s="6">
        <v>650</v>
      </c>
      <c r="K151" s="7">
        <v>100</v>
      </c>
      <c r="L151" s="8">
        <v>160</v>
      </c>
    </row>
    <row r="152" spans="2:12" x14ac:dyDescent="0.25">
      <c r="B152" s="116">
        <v>149</v>
      </c>
      <c r="C152" s="4" t="s">
        <v>314</v>
      </c>
      <c r="D152" s="4" t="s">
        <v>209</v>
      </c>
      <c r="E152" s="5">
        <v>108</v>
      </c>
      <c r="F152" s="5">
        <v>80</v>
      </c>
      <c r="G152" s="5">
        <v>57</v>
      </c>
      <c r="H152" s="5">
        <v>45</v>
      </c>
      <c r="I152" s="6">
        <v>0</v>
      </c>
      <c r="J152" s="6">
        <v>0</v>
      </c>
      <c r="K152" s="7">
        <v>0</v>
      </c>
      <c r="L152" s="8">
        <v>0</v>
      </c>
    </row>
    <row r="153" spans="2:12" x14ac:dyDescent="0.25">
      <c r="B153" s="116">
        <v>150</v>
      </c>
      <c r="C153" s="4" t="s">
        <v>315</v>
      </c>
      <c r="D153" s="4" t="s">
        <v>209</v>
      </c>
      <c r="E153" s="5">
        <v>47</v>
      </c>
      <c r="F153" s="5">
        <v>33</v>
      </c>
      <c r="G153" s="5">
        <v>22</v>
      </c>
      <c r="H153" s="5">
        <v>17</v>
      </c>
      <c r="I153" s="6">
        <v>0</v>
      </c>
      <c r="J153" s="6">
        <v>0</v>
      </c>
      <c r="K153" s="7">
        <v>0</v>
      </c>
      <c r="L153" s="8">
        <v>0</v>
      </c>
    </row>
    <row r="154" spans="2:12" x14ac:dyDescent="0.25">
      <c r="B154" s="116">
        <v>151</v>
      </c>
      <c r="C154" s="4" t="s">
        <v>375</v>
      </c>
      <c r="D154" s="4" t="s">
        <v>209</v>
      </c>
      <c r="E154" s="5">
        <v>47</v>
      </c>
      <c r="F154" s="5">
        <v>33</v>
      </c>
      <c r="G154" s="5">
        <v>22</v>
      </c>
      <c r="H154" s="5">
        <v>17</v>
      </c>
      <c r="I154" s="6">
        <v>0</v>
      </c>
      <c r="J154" s="6">
        <v>0</v>
      </c>
      <c r="K154" s="7">
        <v>0</v>
      </c>
      <c r="L154" s="8">
        <v>0</v>
      </c>
    </row>
    <row r="155" spans="2:12" x14ac:dyDescent="0.25">
      <c r="B155" s="116">
        <v>152</v>
      </c>
      <c r="C155" s="4" t="s">
        <v>316</v>
      </c>
      <c r="D155" s="4" t="s">
        <v>209</v>
      </c>
      <c r="E155" s="5">
        <v>47</v>
      </c>
      <c r="F155" s="5">
        <v>33</v>
      </c>
      <c r="G155" s="5">
        <v>22</v>
      </c>
      <c r="H155" s="5">
        <v>17</v>
      </c>
      <c r="I155" s="6">
        <v>0</v>
      </c>
      <c r="J155" s="6">
        <v>0</v>
      </c>
      <c r="K155" s="7">
        <v>0</v>
      </c>
      <c r="L155" s="8">
        <v>0</v>
      </c>
    </row>
    <row r="156" spans="2:12" x14ac:dyDescent="0.25">
      <c r="B156" s="116">
        <v>153</v>
      </c>
      <c r="C156" s="4" t="s">
        <v>101</v>
      </c>
      <c r="D156" s="4" t="s">
        <v>209</v>
      </c>
      <c r="E156" s="5">
        <v>77</v>
      </c>
      <c r="F156" s="5">
        <v>57</v>
      </c>
      <c r="G156" s="5">
        <v>40</v>
      </c>
      <c r="H156" s="5">
        <v>32</v>
      </c>
      <c r="I156" s="6">
        <v>0</v>
      </c>
      <c r="J156" s="6">
        <v>0</v>
      </c>
      <c r="K156" s="7">
        <v>0</v>
      </c>
      <c r="L156" s="8">
        <v>0</v>
      </c>
    </row>
    <row r="157" spans="2:12" x14ac:dyDescent="0.25">
      <c r="B157" s="116">
        <v>154</v>
      </c>
      <c r="C157" s="4" t="s">
        <v>317</v>
      </c>
      <c r="D157" s="4" t="s">
        <v>209</v>
      </c>
      <c r="E157" s="5">
        <v>47</v>
      </c>
      <c r="F157" s="5">
        <v>33</v>
      </c>
      <c r="G157" s="5">
        <v>22</v>
      </c>
      <c r="H157" s="5">
        <v>17</v>
      </c>
      <c r="I157" s="6">
        <v>0</v>
      </c>
      <c r="J157" s="6">
        <v>0</v>
      </c>
      <c r="K157" s="7">
        <v>0</v>
      </c>
      <c r="L157" s="8">
        <v>0</v>
      </c>
    </row>
    <row r="158" spans="2:12" x14ac:dyDescent="0.25">
      <c r="B158" s="116">
        <v>155</v>
      </c>
      <c r="C158" s="4" t="s">
        <v>351</v>
      </c>
      <c r="D158" s="4" t="s">
        <v>209</v>
      </c>
      <c r="E158" s="5">
        <v>47</v>
      </c>
      <c r="F158" s="5">
        <v>33</v>
      </c>
      <c r="G158" s="5">
        <v>22</v>
      </c>
      <c r="H158" s="5">
        <v>17</v>
      </c>
      <c r="I158" s="6">
        <v>0</v>
      </c>
      <c r="J158" s="6">
        <v>0</v>
      </c>
      <c r="K158" s="7">
        <v>0</v>
      </c>
      <c r="L158" s="8">
        <v>0</v>
      </c>
    </row>
    <row r="159" spans="2:12" x14ac:dyDescent="0.25">
      <c r="B159" s="116">
        <v>156</v>
      </c>
      <c r="C159" s="4" t="s">
        <v>318</v>
      </c>
      <c r="D159" s="4" t="s">
        <v>209</v>
      </c>
      <c r="E159" s="5">
        <v>47</v>
      </c>
      <c r="F159" s="5">
        <v>33</v>
      </c>
      <c r="G159" s="5">
        <v>22</v>
      </c>
      <c r="H159" s="5">
        <v>17</v>
      </c>
      <c r="I159" s="6">
        <v>0</v>
      </c>
      <c r="J159" s="6">
        <v>0</v>
      </c>
      <c r="K159" s="7">
        <v>0</v>
      </c>
      <c r="L159" s="8">
        <v>0</v>
      </c>
    </row>
    <row r="160" spans="2:12" x14ac:dyDescent="0.25">
      <c r="B160" s="116">
        <v>157</v>
      </c>
      <c r="C160" s="4" t="s">
        <v>376</v>
      </c>
      <c r="D160" s="4" t="s">
        <v>209</v>
      </c>
      <c r="E160" s="5">
        <v>77</v>
      </c>
      <c r="F160" s="5">
        <v>57</v>
      </c>
      <c r="G160" s="5">
        <v>40</v>
      </c>
      <c r="H160" s="5">
        <v>32</v>
      </c>
      <c r="I160" s="6">
        <v>0</v>
      </c>
      <c r="J160" s="6">
        <v>0</v>
      </c>
      <c r="K160" s="7">
        <v>0</v>
      </c>
      <c r="L160" s="8">
        <v>0</v>
      </c>
    </row>
    <row r="161" spans="2:12" x14ac:dyDescent="0.25">
      <c r="B161" s="116">
        <v>158</v>
      </c>
      <c r="C161" s="4" t="s">
        <v>319</v>
      </c>
      <c r="D161" s="4" t="s">
        <v>209</v>
      </c>
      <c r="E161" s="5">
        <v>77</v>
      </c>
      <c r="F161" s="5">
        <v>57</v>
      </c>
      <c r="G161" s="5">
        <v>40</v>
      </c>
      <c r="H161" s="5">
        <v>32</v>
      </c>
      <c r="I161" s="6">
        <v>0</v>
      </c>
      <c r="J161" s="6">
        <v>0</v>
      </c>
      <c r="K161" s="7">
        <v>0</v>
      </c>
      <c r="L161" s="8">
        <v>0</v>
      </c>
    </row>
    <row r="162" spans="2:12" x14ac:dyDescent="0.25">
      <c r="B162" s="116">
        <v>159</v>
      </c>
      <c r="C162" s="4" t="s">
        <v>102</v>
      </c>
      <c r="D162" s="4" t="s">
        <v>209</v>
      </c>
      <c r="E162" s="5">
        <v>47</v>
      </c>
      <c r="F162" s="5">
        <v>33</v>
      </c>
      <c r="G162" s="5">
        <v>22</v>
      </c>
      <c r="H162" s="5">
        <v>17</v>
      </c>
      <c r="I162" s="6">
        <v>750</v>
      </c>
      <c r="J162" s="6">
        <v>650</v>
      </c>
      <c r="K162" s="7">
        <v>100</v>
      </c>
      <c r="L162" s="8">
        <v>160</v>
      </c>
    </row>
    <row r="163" spans="2:12" x14ac:dyDescent="0.25">
      <c r="B163" s="116">
        <v>160</v>
      </c>
      <c r="C163" s="4" t="s">
        <v>103</v>
      </c>
      <c r="D163" s="4" t="s">
        <v>209</v>
      </c>
      <c r="E163" s="5">
        <v>47</v>
      </c>
      <c r="F163" s="5">
        <v>33</v>
      </c>
      <c r="G163" s="5">
        <v>22</v>
      </c>
      <c r="H163" s="5">
        <v>17</v>
      </c>
      <c r="I163" s="6">
        <v>0</v>
      </c>
      <c r="J163" s="6">
        <v>0</v>
      </c>
      <c r="K163" s="7">
        <v>0</v>
      </c>
      <c r="L163" s="8">
        <v>0</v>
      </c>
    </row>
    <row r="164" spans="2:12" x14ac:dyDescent="0.25">
      <c r="B164" s="116">
        <v>161</v>
      </c>
      <c r="C164" s="4" t="s">
        <v>320</v>
      </c>
      <c r="D164" s="4" t="s">
        <v>209</v>
      </c>
      <c r="E164" s="5">
        <v>47</v>
      </c>
      <c r="F164" s="5">
        <v>33</v>
      </c>
      <c r="G164" s="5">
        <v>22</v>
      </c>
      <c r="H164" s="5">
        <v>17</v>
      </c>
      <c r="I164" s="6">
        <v>0</v>
      </c>
      <c r="J164" s="6">
        <v>0</v>
      </c>
      <c r="K164" s="7">
        <v>0</v>
      </c>
      <c r="L164" s="8">
        <v>0</v>
      </c>
    </row>
    <row r="165" spans="2:12" x14ac:dyDescent="0.25">
      <c r="B165" s="116">
        <v>162</v>
      </c>
      <c r="C165" s="4" t="s">
        <v>104</v>
      </c>
      <c r="D165" s="4" t="s">
        <v>209</v>
      </c>
      <c r="E165" s="5">
        <v>108</v>
      </c>
      <c r="F165" s="5">
        <v>80</v>
      </c>
      <c r="G165" s="5">
        <v>57</v>
      </c>
      <c r="H165" s="5">
        <v>45</v>
      </c>
      <c r="I165" s="6">
        <v>0</v>
      </c>
      <c r="J165" s="6">
        <v>0</v>
      </c>
      <c r="K165" s="7">
        <v>0</v>
      </c>
      <c r="L165" s="8">
        <v>0</v>
      </c>
    </row>
    <row r="166" spans="2:12" x14ac:dyDescent="0.25">
      <c r="B166" s="116">
        <v>163</v>
      </c>
      <c r="C166" s="4" t="s">
        <v>380</v>
      </c>
      <c r="D166" s="4" t="s">
        <v>209</v>
      </c>
      <c r="E166" s="5">
        <v>47</v>
      </c>
      <c r="F166" s="5">
        <v>33</v>
      </c>
      <c r="G166" s="5">
        <v>22</v>
      </c>
      <c r="H166" s="5">
        <v>17</v>
      </c>
      <c r="I166" s="6">
        <v>0</v>
      </c>
      <c r="J166" s="6">
        <v>0</v>
      </c>
      <c r="K166" s="7">
        <v>0</v>
      </c>
      <c r="L166" s="8">
        <v>0</v>
      </c>
    </row>
    <row r="167" spans="2:12" x14ac:dyDescent="0.25">
      <c r="B167" s="116">
        <v>164</v>
      </c>
      <c r="C167" s="4" t="s">
        <v>321</v>
      </c>
      <c r="D167" s="4" t="s">
        <v>209</v>
      </c>
      <c r="E167" s="5">
        <v>47</v>
      </c>
      <c r="F167" s="5">
        <v>33</v>
      </c>
      <c r="G167" s="5">
        <v>22</v>
      </c>
      <c r="H167" s="5">
        <v>17</v>
      </c>
      <c r="I167" s="6">
        <v>0</v>
      </c>
      <c r="J167" s="6">
        <v>0</v>
      </c>
      <c r="K167" s="7">
        <v>0</v>
      </c>
      <c r="L167" s="8">
        <v>0</v>
      </c>
    </row>
    <row r="168" spans="2:12" x14ac:dyDescent="0.25">
      <c r="B168" s="116">
        <v>165</v>
      </c>
      <c r="C168" s="4" t="s">
        <v>322</v>
      </c>
      <c r="D168" s="4" t="s">
        <v>209</v>
      </c>
      <c r="E168" s="5">
        <v>47</v>
      </c>
      <c r="F168" s="5">
        <v>33</v>
      </c>
      <c r="G168" s="5">
        <v>22</v>
      </c>
      <c r="H168" s="5">
        <v>17</v>
      </c>
      <c r="I168" s="6">
        <v>0</v>
      </c>
      <c r="J168" s="6">
        <v>0</v>
      </c>
      <c r="K168" s="7">
        <v>0</v>
      </c>
      <c r="L168" s="8">
        <v>0</v>
      </c>
    </row>
    <row r="169" spans="2:12" x14ac:dyDescent="0.25">
      <c r="B169" s="116">
        <v>166</v>
      </c>
      <c r="C169" s="4" t="s">
        <v>323</v>
      </c>
      <c r="D169" s="4" t="s">
        <v>209</v>
      </c>
      <c r="E169" s="5">
        <v>77</v>
      </c>
      <c r="F169" s="5">
        <v>57</v>
      </c>
      <c r="G169" s="5">
        <v>40</v>
      </c>
      <c r="H169" s="5">
        <v>32</v>
      </c>
      <c r="I169" s="6">
        <v>0</v>
      </c>
      <c r="J169" s="6">
        <v>0</v>
      </c>
      <c r="K169" s="7">
        <v>0</v>
      </c>
      <c r="L169" s="8">
        <v>0</v>
      </c>
    </row>
    <row r="170" spans="2:12" x14ac:dyDescent="0.25">
      <c r="B170" s="116">
        <v>167</v>
      </c>
      <c r="C170" s="4" t="s">
        <v>105</v>
      </c>
      <c r="D170" s="4" t="s">
        <v>209</v>
      </c>
      <c r="E170" s="5">
        <v>47</v>
      </c>
      <c r="F170" s="5">
        <v>33</v>
      </c>
      <c r="G170" s="5">
        <v>22</v>
      </c>
      <c r="H170" s="5">
        <v>17</v>
      </c>
      <c r="I170" s="6">
        <v>750</v>
      </c>
      <c r="J170" s="6">
        <v>650</v>
      </c>
      <c r="K170" s="7">
        <v>100</v>
      </c>
      <c r="L170" s="8">
        <v>160</v>
      </c>
    </row>
    <row r="171" spans="2:12" x14ac:dyDescent="0.25">
      <c r="B171" s="116">
        <v>168</v>
      </c>
      <c r="C171" s="4" t="s">
        <v>106</v>
      </c>
      <c r="D171" s="4" t="s">
        <v>209</v>
      </c>
      <c r="E171" s="5">
        <v>47</v>
      </c>
      <c r="F171" s="5">
        <v>33</v>
      </c>
      <c r="G171" s="5">
        <v>22</v>
      </c>
      <c r="H171" s="5">
        <v>17</v>
      </c>
      <c r="I171" s="6">
        <v>0</v>
      </c>
      <c r="J171" s="6">
        <v>0</v>
      </c>
      <c r="K171" s="7">
        <v>0</v>
      </c>
      <c r="L171" s="8">
        <v>0</v>
      </c>
    </row>
    <row r="172" spans="2:12" x14ac:dyDescent="0.25">
      <c r="B172" s="116">
        <v>169</v>
      </c>
      <c r="C172" s="4" t="s">
        <v>324</v>
      </c>
      <c r="D172" s="4" t="s">
        <v>209</v>
      </c>
      <c r="E172" s="5">
        <v>47</v>
      </c>
      <c r="F172" s="5">
        <v>33</v>
      </c>
      <c r="G172" s="5">
        <v>22</v>
      </c>
      <c r="H172" s="5">
        <v>17</v>
      </c>
      <c r="I172" s="6">
        <v>0</v>
      </c>
      <c r="J172" s="6">
        <v>0</v>
      </c>
      <c r="K172" s="7">
        <v>0</v>
      </c>
      <c r="L172" s="8">
        <v>0</v>
      </c>
    </row>
    <row r="173" spans="2:12" x14ac:dyDescent="0.25">
      <c r="B173" s="116">
        <v>170</v>
      </c>
      <c r="C173" s="4" t="s">
        <v>325</v>
      </c>
      <c r="D173" s="4" t="s">
        <v>209</v>
      </c>
      <c r="E173" s="5">
        <v>47</v>
      </c>
      <c r="F173" s="5">
        <v>33</v>
      </c>
      <c r="G173" s="5">
        <v>22</v>
      </c>
      <c r="H173" s="5">
        <v>17</v>
      </c>
      <c r="I173" s="6">
        <v>0</v>
      </c>
      <c r="J173" s="6">
        <v>0</v>
      </c>
      <c r="K173" s="7">
        <v>0</v>
      </c>
      <c r="L173" s="8">
        <v>0</v>
      </c>
    </row>
    <row r="174" spans="2:12" x14ac:dyDescent="0.25">
      <c r="B174" s="116">
        <v>171</v>
      </c>
      <c r="C174" s="4" t="s">
        <v>186</v>
      </c>
      <c r="D174" s="4" t="s">
        <v>209</v>
      </c>
      <c r="E174" s="5">
        <v>108</v>
      </c>
      <c r="F174" s="5">
        <v>80</v>
      </c>
      <c r="G174" s="5">
        <v>57</v>
      </c>
      <c r="H174" s="5">
        <v>45</v>
      </c>
      <c r="I174" s="6">
        <v>750</v>
      </c>
      <c r="J174" s="6">
        <v>650</v>
      </c>
      <c r="K174" s="7">
        <v>100</v>
      </c>
      <c r="L174" s="8">
        <v>160</v>
      </c>
    </row>
    <row r="175" spans="2:12" x14ac:dyDescent="0.25">
      <c r="B175" s="116">
        <v>172</v>
      </c>
      <c r="C175" s="4" t="s">
        <v>107</v>
      </c>
      <c r="D175" s="4" t="s">
        <v>209</v>
      </c>
      <c r="E175" s="5">
        <v>108</v>
      </c>
      <c r="F175" s="5">
        <v>80</v>
      </c>
      <c r="G175" s="5">
        <v>57</v>
      </c>
      <c r="H175" s="5">
        <v>45</v>
      </c>
      <c r="I175" s="6">
        <v>0</v>
      </c>
      <c r="J175" s="6">
        <v>0</v>
      </c>
      <c r="K175" s="7">
        <v>0</v>
      </c>
      <c r="L175" s="8">
        <v>0</v>
      </c>
    </row>
    <row r="176" spans="2:12" x14ac:dyDescent="0.25">
      <c r="B176" s="116">
        <v>173</v>
      </c>
      <c r="C176" s="4" t="s">
        <v>108</v>
      </c>
      <c r="D176" s="4" t="s">
        <v>209</v>
      </c>
      <c r="E176" s="5">
        <v>47</v>
      </c>
      <c r="F176" s="5">
        <v>33</v>
      </c>
      <c r="G176" s="5">
        <v>22</v>
      </c>
      <c r="H176" s="5">
        <v>17</v>
      </c>
      <c r="I176" s="6">
        <v>0</v>
      </c>
      <c r="J176" s="6">
        <v>0</v>
      </c>
      <c r="K176" s="7">
        <v>0</v>
      </c>
      <c r="L176" s="8">
        <v>0</v>
      </c>
    </row>
    <row r="177" spans="2:12" x14ac:dyDescent="0.25">
      <c r="B177" s="116">
        <v>174</v>
      </c>
      <c r="C177" s="4" t="s">
        <v>326</v>
      </c>
      <c r="D177" s="4" t="s">
        <v>209</v>
      </c>
      <c r="E177" s="5">
        <v>77</v>
      </c>
      <c r="F177" s="5">
        <v>57</v>
      </c>
      <c r="G177" s="5">
        <v>40</v>
      </c>
      <c r="H177" s="5">
        <v>32</v>
      </c>
      <c r="I177" s="6">
        <v>0</v>
      </c>
      <c r="J177" s="6">
        <v>0</v>
      </c>
      <c r="K177" s="7">
        <v>0</v>
      </c>
      <c r="L177" s="8">
        <v>0</v>
      </c>
    </row>
    <row r="178" spans="2:12" x14ac:dyDescent="0.25">
      <c r="B178" s="116">
        <v>175</v>
      </c>
      <c r="C178" s="4" t="s">
        <v>109</v>
      </c>
      <c r="D178" s="4" t="s">
        <v>209</v>
      </c>
      <c r="E178" s="5">
        <v>108</v>
      </c>
      <c r="F178" s="5">
        <v>80</v>
      </c>
      <c r="G178" s="5">
        <v>57</v>
      </c>
      <c r="H178" s="5">
        <v>45</v>
      </c>
      <c r="I178" s="6">
        <v>0</v>
      </c>
      <c r="J178" s="6">
        <v>0</v>
      </c>
      <c r="K178" s="7">
        <v>0</v>
      </c>
      <c r="L178" s="8">
        <v>0</v>
      </c>
    </row>
    <row r="179" spans="2:12" x14ac:dyDescent="0.25">
      <c r="B179" s="116">
        <v>176</v>
      </c>
      <c r="C179" s="4" t="s">
        <v>110</v>
      </c>
      <c r="D179" s="4" t="s">
        <v>209</v>
      </c>
      <c r="E179" s="5">
        <v>47</v>
      </c>
      <c r="F179" s="5">
        <v>33</v>
      </c>
      <c r="G179" s="5">
        <v>22</v>
      </c>
      <c r="H179" s="5">
        <v>17</v>
      </c>
      <c r="I179" s="6">
        <v>0</v>
      </c>
      <c r="J179" s="6">
        <v>0</v>
      </c>
      <c r="K179" s="7">
        <v>0</v>
      </c>
      <c r="L179" s="8">
        <v>0</v>
      </c>
    </row>
    <row r="180" spans="2:12" x14ac:dyDescent="0.25">
      <c r="B180" s="116">
        <v>177</v>
      </c>
      <c r="C180" s="4" t="s">
        <v>111</v>
      </c>
      <c r="D180" s="4" t="s">
        <v>209</v>
      </c>
      <c r="E180" s="5">
        <v>47</v>
      </c>
      <c r="F180" s="5">
        <v>33</v>
      </c>
      <c r="G180" s="5">
        <v>22</v>
      </c>
      <c r="H180" s="5">
        <v>17</v>
      </c>
      <c r="I180" s="6">
        <v>0</v>
      </c>
      <c r="J180" s="6">
        <v>0</v>
      </c>
      <c r="K180" s="7">
        <v>0</v>
      </c>
      <c r="L180" s="8">
        <v>0</v>
      </c>
    </row>
    <row r="181" spans="2:12" x14ac:dyDescent="0.25">
      <c r="B181" s="116">
        <v>178</v>
      </c>
      <c r="C181" s="4" t="s">
        <v>327</v>
      </c>
      <c r="D181" s="4" t="s">
        <v>209</v>
      </c>
      <c r="E181" s="5">
        <v>108</v>
      </c>
      <c r="F181" s="5">
        <v>80</v>
      </c>
      <c r="G181" s="5">
        <v>57</v>
      </c>
      <c r="H181" s="5">
        <v>45</v>
      </c>
      <c r="I181" s="6">
        <v>0</v>
      </c>
      <c r="J181" s="6">
        <v>0</v>
      </c>
      <c r="K181" s="7">
        <v>0</v>
      </c>
      <c r="L181" s="8">
        <v>0</v>
      </c>
    </row>
    <row r="182" spans="2:12" x14ac:dyDescent="0.25">
      <c r="B182" s="116">
        <v>179</v>
      </c>
      <c r="C182" s="4" t="s">
        <v>328</v>
      </c>
      <c r="D182" s="4" t="s">
        <v>209</v>
      </c>
      <c r="E182" s="5">
        <v>108</v>
      </c>
      <c r="F182" s="5">
        <v>80</v>
      </c>
      <c r="G182" s="5">
        <v>57</v>
      </c>
      <c r="H182" s="5">
        <v>45</v>
      </c>
      <c r="I182" s="6">
        <v>0</v>
      </c>
      <c r="J182" s="6">
        <v>0</v>
      </c>
      <c r="K182" s="7">
        <v>0</v>
      </c>
      <c r="L182" s="8">
        <v>0</v>
      </c>
    </row>
  </sheetData>
  <sheetProtection password="E359" sheet="1" objects="1" scenarios="1" selectLockedCells="1" selectUnlockedCells="1"/>
  <mergeCells count="2">
    <mergeCell ref="E2:H2"/>
    <mergeCell ref="I2:L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AB186"/>
  <sheetViews>
    <sheetView showGridLines="0" zoomScale="80" zoomScaleNormal="80" zoomScaleSheetLayoutView="85" workbookViewId="0"/>
  </sheetViews>
  <sheetFormatPr defaultRowHeight="15" x14ac:dyDescent="0.25"/>
  <cols>
    <col min="1" max="1" width="1.7109375" style="1" customWidth="1"/>
    <col min="2" max="2" width="40" style="1" customWidth="1"/>
    <col min="3" max="3" width="24" style="1" customWidth="1"/>
    <col min="4" max="7" width="15.85546875" style="1" customWidth="1"/>
    <col min="8" max="8" width="1.7109375" style="1" customWidth="1"/>
    <col min="9" max="10" width="26" style="1" customWidth="1"/>
    <col min="11" max="11" width="1.7109375" style="1" customWidth="1"/>
    <col min="12" max="12" width="18.7109375" style="12" customWidth="1"/>
    <col min="13" max="14" width="18.7109375" style="1" customWidth="1"/>
    <col min="15" max="15" width="1.7109375" style="1" customWidth="1"/>
    <col min="16" max="16" width="25.42578125" style="1" customWidth="1"/>
    <col min="17" max="17" width="20.7109375" style="1" customWidth="1"/>
    <col min="18" max="18" width="1.7109375" style="1" customWidth="1"/>
    <col min="19" max="20" width="25.42578125" style="1" customWidth="1"/>
    <col min="21" max="21" width="20.7109375" style="1" customWidth="1"/>
    <col min="22" max="22" width="1.7109375" style="1" customWidth="1"/>
    <col min="23" max="23" width="41.5703125" style="1" customWidth="1"/>
    <col min="24" max="24" width="23" style="1" customWidth="1"/>
    <col min="25" max="28" width="18.7109375" style="1" customWidth="1"/>
    <col min="29" max="29" width="1.7109375" style="1" customWidth="1"/>
    <col min="30" max="255" width="9.140625" style="1"/>
    <col min="256" max="256" width="40" style="1" customWidth="1"/>
    <col min="257" max="257" width="11.5703125" style="1" customWidth="1"/>
    <col min="258" max="258" width="24" style="1" customWidth="1"/>
    <col min="259" max="262" width="15.85546875" style="1" customWidth="1"/>
    <col min="263" max="263" width="1.7109375" style="1" customWidth="1"/>
    <col min="264" max="265" width="26" style="1" customWidth="1"/>
    <col min="266" max="266" width="1.7109375" style="1" customWidth="1"/>
    <col min="267" max="269" width="18.7109375" style="1" customWidth="1"/>
    <col min="270" max="270" width="1.7109375" style="1" customWidth="1"/>
    <col min="271" max="271" width="25.42578125" style="1" customWidth="1"/>
    <col min="272" max="272" width="20.7109375" style="1" customWidth="1"/>
    <col min="273" max="273" width="1.7109375" style="1" customWidth="1"/>
    <col min="274" max="275" width="25.42578125" style="1" customWidth="1"/>
    <col min="276" max="276" width="20.7109375" style="1" customWidth="1"/>
    <col min="277" max="277" width="1.7109375" style="1" customWidth="1"/>
    <col min="278" max="278" width="41.5703125" style="1" customWidth="1"/>
    <col min="279" max="279" width="11.5703125" style="1" customWidth="1"/>
    <col min="280" max="280" width="23" style="1" customWidth="1"/>
    <col min="281" max="284" width="18.7109375" style="1" customWidth="1"/>
    <col min="285" max="285" width="1.7109375" style="1" customWidth="1"/>
    <col min="286" max="511" width="9.140625" style="1"/>
    <col min="512" max="512" width="40" style="1" customWidth="1"/>
    <col min="513" max="513" width="11.5703125" style="1" customWidth="1"/>
    <col min="514" max="514" width="24" style="1" customWidth="1"/>
    <col min="515" max="518" width="15.85546875" style="1" customWidth="1"/>
    <col min="519" max="519" width="1.7109375" style="1" customWidth="1"/>
    <col min="520" max="521" width="26" style="1" customWidth="1"/>
    <col min="522" max="522" width="1.7109375" style="1" customWidth="1"/>
    <col min="523" max="525" width="18.7109375" style="1" customWidth="1"/>
    <col min="526" max="526" width="1.7109375" style="1" customWidth="1"/>
    <col min="527" max="527" width="25.42578125" style="1" customWidth="1"/>
    <col min="528" max="528" width="20.7109375" style="1" customWidth="1"/>
    <col min="529" max="529" width="1.7109375" style="1" customWidth="1"/>
    <col min="530" max="531" width="25.42578125" style="1" customWidth="1"/>
    <col min="532" max="532" width="20.7109375" style="1" customWidth="1"/>
    <col min="533" max="533" width="1.7109375" style="1" customWidth="1"/>
    <col min="534" max="534" width="41.5703125" style="1" customWidth="1"/>
    <col min="535" max="535" width="11.5703125" style="1" customWidth="1"/>
    <col min="536" max="536" width="23" style="1" customWidth="1"/>
    <col min="537" max="540" width="18.7109375" style="1" customWidth="1"/>
    <col min="541" max="541" width="1.7109375" style="1" customWidth="1"/>
    <col min="542" max="767" width="9.140625" style="1"/>
    <col min="768" max="768" width="40" style="1" customWidth="1"/>
    <col min="769" max="769" width="11.5703125" style="1" customWidth="1"/>
    <col min="770" max="770" width="24" style="1" customWidth="1"/>
    <col min="771" max="774" width="15.85546875" style="1" customWidth="1"/>
    <col min="775" max="775" width="1.7109375" style="1" customWidth="1"/>
    <col min="776" max="777" width="26" style="1" customWidth="1"/>
    <col min="778" max="778" width="1.7109375" style="1" customWidth="1"/>
    <col min="779" max="781" width="18.7109375" style="1" customWidth="1"/>
    <col min="782" max="782" width="1.7109375" style="1" customWidth="1"/>
    <col min="783" max="783" width="25.42578125" style="1" customWidth="1"/>
    <col min="784" max="784" width="20.7109375" style="1" customWidth="1"/>
    <col min="785" max="785" width="1.7109375" style="1" customWidth="1"/>
    <col min="786" max="787" width="25.42578125" style="1" customWidth="1"/>
    <col min="788" max="788" width="20.7109375" style="1" customWidth="1"/>
    <col min="789" max="789" width="1.7109375" style="1" customWidth="1"/>
    <col min="790" max="790" width="41.5703125" style="1" customWidth="1"/>
    <col min="791" max="791" width="11.5703125" style="1" customWidth="1"/>
    <col min="792" max="792" width="23" style="1" customWidth="1"/>
    <col min="793" max="796" width="18.7109375" style="1" customWidth="1"/>
    <col min="797" max="797" width="1.7109375" style="1" customWidth="1"/>
    <col min="798" max="1023" width="9.140625" style="1"/>
    <col min="1024" max="1024" width="40" style="1" customWidth="1"/>
    <col min="1025" max="1025" width="11.5703125" style="1" customWidth="1"/>
    <col min="1026" max="1026" width="24" style="1" customWidth="1"/>
    <col min="1027" max="1030" width="15.85546875" style="1" customWidth="1"/>
    <col min="1031" max="1031" width="1.7109375" style="1" customWidth="1"/>
    <col min="1032" max="1033" width="26" style="1" customWidth="1"/>
    <col min="1034" max="1034" width="1.7109375" style="1" customWidth="1"/>
    <col min="1035" max="1037" width="18.7109375" style="1" customWidth="1"/>
    <col min="1038" max="1038" width="1.7109375" style="1" customWidth="1"/>
    <col min="1039" max="1039" width="25.42578125" style="1" customWidth="1"/>
    <col min="1040" max="1040" width="20.7109375" style="1" customWidth="1"/>
    <col min="1041" max="1041" width="1.7109375" style="1" customWidth="1"/>
    <col min="1042" max="1043" width="25.42578125" style="1" customWidth="1"/>
    <col min="1044" max="1044" width="20.7109375" style="1" customWidth="1"/>
    <col min="1045" max="1045" width="1.7109375" style="1" customWidth="1"/>
    <col min="1046" max="1046" width="41.5703125" style="1" customWidth="1"/>
    <col min="1047" max="1047" width="11.5703125" style="1" customWidth="1"/>
    <col min="1048" max="1048" width="23" style="1" customWidth="1"/>
    <col min="1049" max="1052" width="18.7109375" style="1" customWidth="1"/>
    <col min="1053" max="1053" width="1.7109375" style="1" customWidth="1"/>
    <col min="1054" max="1279" width="9.140625" style="1"/>
    <col min="1280" max="1280" width="40" style="1" customWidth="1"/>
    <col min="1281" max="1281" width="11.5703125" style="1" customWidth="1"/>
    <col min="1282" max="1282" width="24" style="1" customWidth="1"/>
    <col min="1283" max="1286" width="15.85546875" style="1" customWidth="1"/>
    <col min="1287" max="1287" width="1.7109375" style="1" customWidth="1"/>
    <col min="1288" max="1289" width="26" style="1" customWidth="1"/>
    <col min="1290" max="1290" width="1.7109375" style="1" customWidth="1"/>
    <col min="1291" max="1293" width="18.7109375" style="1" customWidth="1"/>
    <col min="1294" max="1294" width="1.7109375" style="1" customWidth="1"/>
    <col min="1295" max="1295" width="25.42578125" style="1" customWidth="1"/>
    <col min="1296" max="1296" width="20.7109375" style="1" customWidth="1"/>
    <col min="1297" max="1297" width="1.7109375" style="1" customWidth="1"/>
    <col min="1298" max="1299" width="25.42578125" style="1" customWidth="1"/>
    <col min="1300" max="1300" width="20.7109375" style="1" customWidth="1"/>
    <col min="1301" max="1301" width="1.7109375" style="1" customWidth="1"/>
    <col min="1302" max="1302" width="41.5703125" style="1" customWidth="1"/>
    <col min="1303" max="1303" width="11.5703125" style="1" customWidth="1"/>
    <col min="1304" max="1304" width="23" style="1" customWidth="1"/>
    <col min="1305" max="1308" width="18.7109375" style="1" customWidth="1"/>
    <col min="1309" max="1309" width="1.7109375" style="1" customWidth="1"/>
    <col min="1310" max="1535" width="9.140625" style="1"/>
    <col min="1536" max="1536" width="40" style="1" customWidth="1"/>
    <col min="1537" max="1537" width="11.5703125" style="1" customWidth="1"/>
    <col min="1538" max="1538" width="24" style="1" customWidth="1"/>
    <col min="1539" max="1542" width="15.85546875" style="1" customWidth="1"/>
    <col min="1543" max="1543" width="1.7109375" style="1" customWidth="1"/>
    <col min="1544" max="1545" width="26" style="1" customWidth="1"/>
    <col min="1546" max="1546" width="1.7109375" style="1" customWidth="1"/>
    <col min="1547" max="1549" width="18.7109375" style="1" customWidth="1"/>
    <col min="1550" max="1550" width="1.7109375" style="1" customWidth="1"/>
    <col min="1551" max="1551" width="25.42578125" style="1" customWidth="1"/>
    <col min="1552" max="1552" width="20.7109375" style="1" customWidth="1"/>
    <col min="1553" max="1553" width="1.7109375" style="1" customWidth="1"/>
    <col min="1554" max="1555" width="25.42578125" style="1" customWidth="1"/>
    <col min="1556" max="1556" width="20.7109375" style="1" customWidth="1"/>
    <col min="1557" max="1557" width="1.7109375" style="1" customWidth="1"/>
    <col min="1558" max="1558" width="41.5703125" style="1" customWidth="1"/>
    <col min="1559" max="1559" width="11.5703125" style="1" customWidth="1"/>
    <col min="1560" max="1560" width="23" style="1" customWidth="1"/>
    <col min="1561" max="1564" width="18.7109375" style="1" customWidth="1"/>
    <col min="1565" max="1565" width="1.7109375" style="1" customWidth="1"/>
    <col min="1566" max="1791" width="9.140625" style="1"/>
    <col min="1792" max="1792" width="40" style="1" customWidth="1"/>
    <col min="1793" max="1793" width="11.5703125" style="1" customWidth="1"/>
    <col min="1794" max="1794" width="24" style="1" customWidth="1"/>
    <col min="1795" max="1798" width="15.85546875" style="1" customWidth="1"/>
    <col min="1799" max="1799" width="1.7109375" style="1" customWidth="1"/>
    <col min="1800" max="1801" width="26" style="1" customWidth="1"/>
    <col min="1802" max="1802" width="1.7109375" style="1" customWidth="1"/>
    <col min="1803" max="1805" width="18.7109375" style="1" customWidth="1"/>
    <col min="1806" max="1806" width="1.7109375" style="1" customWidth="1"/>
    <col min="1807" max="1807" width="25.42578125" style="1" customWidth="1"/>
    <col min="1808" max="1808" width="20.7109375" style="1" customWidth="1"/>
    <col min="1809" max="1809" width="1.7109375" style="1" customWidth="1"/>
    <col min="1810" max="1811" width="25.42578125" style="1" customWidth="1"/>
    <col min="1812" max="1812" width="20.7109375" style="1" customWidth="1"/>
    <col min="1813" max="1813" width="1.7109375" style="1" customWidth="1"/>
    <col min="1814" max="1814" width="41.5703125" style="1" customWidth="1"/>
    <col min="1815" max="1815" width="11.5703125" style="1" customWidth="1"/>
    <col min="1816" max="1816" width="23" style="1" customWidth="1"/>
    <col min="1817" max="1820" width="18.7109375" style="1" customWidth="1"/>
    <col min="1821" max="1821" width="1.7109375" style="1" customWidth="1"/>
    <col min="1822" max="2047" width="9.140625" style="1"/>
    <col min="2048" max="2048" width="40" style="1" customWidth="1"/>
    <col min="2049" max="2049" width="11.5703125" style="1" customWidth="1"/>
    <col min="2050" max="2050" width="24" style="1" customWidth="1"/>
    <col min="2051" max="2054" width="15.85546875" style="1" customWidth="1"/>
    <col min="2055" max="2055" width="1.7109375" style="1" customWidth="1"/>
    <col min="2056" max="2057" width="26" style="1" customWidth="1"/>
    <col min="2058" max="2058" width="1.7109375" style="1" customWidth="1"/>
    <col min="2059" max="2061" width="18.7109375" style="1" customWidth="1"/>
    <col min="2062" max="2062" width="1.7109375" style="1" customWidth="1"/>
    <col min="2063" max="2063" width="25.42578125" style="1" customWidth="1"/>
    <col min="2064" max="2064" width="20.7109375" style="1" customWidth="1"/>
    <col min="2065" max="2065" width="1.7109375" style="1" customWidth="1"/>
    <col min="2066" max="2067" width="25.42578125" style="1" customWidth="1"/>
    <col min="2068" max="2068" width="20.7109375" style="1" customWidth="1"/>
    <col min="2069" max="2069" width="1.7109375" style="1" customWidth="1"/>
    <col min="2070" max="2070" width="41.5703125" style="1" customWidth="1"/>
    <col min="2071" max="2071" width="11.5703125" style="1" customWidth="1"/>
    <col min="2072" max="2072" width="23" style="1" customWidth="1"/>
    <col min="2073" max="2076" width="18.7109375" style="1" customWidth="1"/>
    <col min="2077" max="2077" width="1.7109375" style="1" customWidth="1"/>
    <col min="2078" max="2303" width="9.140625" style="1"/>
    <col min="2304" max="2304" width="40" style="1" customWidth="1"/>
    <col min="2305" max="2305" width="11.5703125" style="1" customWidth="1"/>
    <col min="2306" max="2306" width="24" style="1" customWidth="1"/>
    <col min="2307" max="2310" width="15.85546875" style="1" customWidth="1"/>
    <col min="2311" max="2311" width="1.7109375" style="1" customWidth="1"/>
    <col min="2312" max="2313" width="26" style="1" customWidth="1"/>
    <col min="2314" max="2314" width="1.7109375" style="1" customWidth="1"/>
    <col min="2315" max="2317" width="18.7109375" style="1" customWidth="1"/>
    <col min="2318" max="2318" width="1.7109375" style="1" customWidth="1"/>
    <col min="2319" max="2319" width="25.42578125" style="1" customWidth="1"/>
    <col min="2320" max="2320" width="20.7109375" style="1" customWidth="1"/>
    <col min="2321" max="2321" width="1.7109375" style="1" customWidth="1"/>
    <col min="2322" max="2323" width="25.42578125" style="1" customWidth="1"/>
    <col min="2324" max="2324" width="20.7109375" style="1" customWidth="1"/>
    <col min="2325" max="2325" width="1.7109375" style="1" customWidth="1"/>
    <col min="2326" max="2326" width="41.5703125" style="1" customWidth="1"/>
    <col min="2327" max="2327" width="11.5703125" style="1" customWidth="1"/>
    <col min="2328" max="2328" width="23" style="1" customWidth="1"/>
    <col min="2329" max="2332" width="18.7109375" style="1" customWidth="1"/>
    <col min="2333" max="2333" width="1.7109375" style="1" customWidth="1"/>
    <col min="2334" max="2559" width="9.140625" style="1"/>
    <col min="2560" max="2560" width="40" style="1" customWidth="1"/>
    <col min="2561" max="2561" width="11.5703125" style="1" customWidth="1"/>
    <col min="2562" max="2562" width="24" style="1" customWidth="1"/>
    <col min="2563" max="2566" width="15.85546875" style="1" customWidth="1"/>
    <col min="2567" max="2567" width="1.7109375" style="1" customWidth="1"/>
    <col min="2568" max="2569" width="26" style="1" customWidth="1"/>
    <col min="2570" max="2570" width="1.7109375" style="1" customWidth="1"/>
    <col min="2571" max="2573" width="18.7109375" style="1" customWidth="1"/>
    <col min="2574" max="2574" width="1.7109375" style="1" customWidth="1"/>
    <col min="2575" max="2575" width="25.42578125" style="1" customWidth="1"/>
    <col min="2576" max="2576" width="20.7109375" style="1" customWidth="1"/>
    <col min="2577" max="2577" width="1.7109375" style="1" customWidth="1"/>
    <col min="2578" max="2579" width="25.42578125" style="1" customWidth="1"/>
    <col min="2580" max="2580" width="20.7109375" style="1" customWidth="1"/>
    <col min="2581" max="2581" width="1.7109375" style="1" customWidth="1"/>
    <col min="2582" max="2582" width="41.5703125" style="1" customWidth="1"/>
    <col min="2583" max="2583" width="11.5703125" style="1" customWidth="1"/>
    <col min="2584" max="2584" width="23" style="1" customWidth="1"/>
    <col min="2585" max="2588" width="18.7109375" style="1" customWidth="1"/>
    <col min="2589" max="2589" width="1.7109375" style="1" customWidth="1"/>
    <col min="2590" max="2815" width="9.140625" style="1"/>
    <col min="2816" max="2816" width="40" style="1" customWidth="1"/>
    <col min="2817" max="2817" width="11.5703125" style="1" customWidth="1"/>
    <col min="2818" max="2818" width="24" style="1" customWidth="1"/>
    <col min="2819" max="2822" width="15.85546875" style="1" customWidth="1"/>
    <col min="2823" max="2823" width="1.7109375" style="1" customWidth="1"/>
    <col min="2824" max="2825" width="26" style="1" customWidth="1"/>
    <col min="2826" max="2826" width="1.7109375" style="1" customWidth="1"/>
    <col min="2827" max="2829" width="18.7109375" style="1" customWidth="1"/>
    <col min="2830" max="2830" width="1.7109375" style="1" customWidth="1"/>
    <col min="2831" max="2831" width="25.42578125" style="1" customWidth="1"/>
    <col min="2832" max="2832" width="20.7109375" style="1" customWidth="1"/>
    <col min="2833" max="2833" width="1.7109375" style="1" customWidth="1"/>
    <col min="2834" max="2835" width="25.42578125" style="1" customWidth="1"/>
    <col min="2836" max="2836" width="20.7109375" style="1" customWidth="1"/>
    <col min="2837" max="2837" width="1.7109375" style="1" customWidth="1"/>
    <col min="2838" max="2838" width="41.5703125" style="1" customWidth="1"/>
    <col min="2839" max="2839" width="11.5703125" style="1" customWidth="1"/>
    <col min="2840" max="2840" width="23" style="1" customWidth="1"/>
    <col min="2841" max="2844" width="18.7109375" style="1" customWidth="1"/>
    <col min="2845" max="2845" width="1.7109375" style="1" customWidth="1"/>
    <col min="2846" max="3071" width="9.140625" style="1"/>
    <col min="3072" max="3072" width="40" style="1" customWidth="1"/>
    <col min="3073" max="3073" width="11.5703125" style="1" customWidth="1"/>
    <col min="3074" max="3074" width="24" style="1" customWidth="1"/>
    <col min="3075" max="3078" width="15.85546875" style="1" customWidth="1"/>
    <col min="3079" max="3079" width="1.7109375" style="1" customWidth="1"/>
    <col min="3080" max="3081" width="26" style="1" customWidth="1"/>
    <col min="3082" max="3082" width="1.7109375" style="1" customWidth="1"/>
    <col min="3083" max="3085" width="18.7109375" style="1" customWidth="1"/>
    <col min="3086" max="3086" width="1.7109375" style="1" customWidth="1"/>
    <col min="3087" max="3087" width="25.42578125" style="1" customWidth="1"/>
    <col min="3088" max="3088" width="20.7109375" style="1" customWidth="1"/>
    <col min="3089" max="3089" width="1.7109375" style="1" customWidth="1"/>
    <col min="3090" max="3091" width="25.42578125" style="1" customWidth="1"/>
    <col min="3092" max="3092" width="20.7109375" style="1" customWidth="1"/>
    <col min="3093" max="3093" width="1.7109375" style="1" customWidth="1"/>
    <col min="3094" max="3094" width="41.5703125" style="1" customWidth="1"/>
    <col min="3095" max="3095" width="11.5703125" style="1" customWidth="1"/>
    <col min="3096" max="3096" width="23" style="1" customWidth="1"/>
    <col min="3097" max="3100" width="18.7109375" style="1" customWidth="1"/>
    <col min="3101" max="3101" width="1.7109375" style="1" customWidth="1"/>
    <col min="3102" max="3327" width="9.140625" style="1"/>
    <col min="3328" max="3328" width="40" style="1" customWidth="1"/>
    <col min="3329" max="3329" width="11.5703125" style="1" customWidth="1"/>
    <col min="3330" max="3330" width="24" style="1" customWidth="1"/>
    <col min="3331" max="3334" width="15.85546875" style="1" customWidth="1"/>
    <col min="3335" max="3335" width="1.7109375" style="1" customWidth="1"/>
    <col min="3336" max="3337" width="26" style="1" customWidth="1"/>
    <col min="3338" max="3338" width="1.7109375" style="1" customWidth="1"/>
    <col min="3339" max="3341" width="18.7109375" style="1" customWidth="1"/>
    <col min="3342" max="3342" width="1.7109375" style="1" customWidth="1"/>
    <col min="3343" max="3343" width="25.42578125" style="1" customWidth="1"/>
    <col min="3344" max="3344" width="20.7109375" style="1" customWidth="1"/>
    <col min="3345" max="3345" width="1.7109375" style="1" customWidth="1"/>
    <col min="3346" max="3347" width="25.42578125" style="1" customWidth="1"/>
    <col min="3348" max="3348" width="20.7109375" style="1" customWidth="1"/>
    <col min="3349" max="3349" width="1.7109375" style="1" customWidth="1"/>
    <col min="3350" max="3350" width="41.5703125" style="1" customWidth="1"/>
    <col min="3351" max="3351" width="11.5703125" style="1" customWidth="1"/>
    <col min="3352" max="3352" width="23" style="1" customWidth="1"/>
    <col min="3353" max="3356" width="18.7109375" style="1" customWidth="1"/>
    <col min="3357" max="3357" width="1.7109375" style="1" customWidth="1"/>
    <col min="3358" max="3583" width="9.140625" style="1"/>
    <col min="3584" max="3584" width="40" style="1" customWidth="1"/>
    <col min="3585" max="3585" width="11.5703125" style="1" customWidth="1"/>
    <col min="3586" max="3586" width="24" style="1" customWidth="1"/>
    <col min="3587" max="3590" width="15.85546875" style="1" customWidth="1"/>
    <col min="3591" max="3591" width="1.7109375" style="1" customWidth="1"/>
    <col min="3592" max="3593" width="26" style="1" customWidth="1"/>
    <col min="3594" max="3594" width="1.7109375" style="1" customWidth="1"/>
    <col min="3595" max="3597" width="18.7109375" style="1" customWidth="1"/>
    <col min="3598" max="3598" width="1.7109375" style="1" customWidth="1"/>
    <col min="3599" max="3599" width="25.42578125" style="1" customWidth="1"/>
    <col min="3600" max="3600" width="20.7109375" style="1" customWidth="1"/>
    <col min="3601" max="3601" width="1.7109375" style="1" customWidth="1"/>
    <col min="3602" max="3603" width="25.42578125" style="1" customWidth="1"/>
    <col min="3604" max="3604" width="20.7109375" style="1" customWidth="1"/>
    <col min="3605" max="3605" width="1.7109375" style="1" customWidth="1"/>
    <col min="3606" max="3606" width="41.5703125" style="1" customWidth="1"/>
    <col min="3607" max="3607" width="11.5703125" style="1" customWidth="1"/>
    <col min="3608" max="3608" width="23" style="1" customWidth="1"/>
    <col min="3609" max="3612" width="18.7109375" style="1" customWidth="1"/>
    <col min="3613" max="3613" width="1.7109375" style="1" customWidth="1"/>
    <col min="3614" max="3839" width="9.140625" style="1"/>
    <col min="3840" max="3840" width="40" style="1" customWidth="1"/>
    <col min="3841" max="3841" width="11.5703125" style="1" customWidth="1"/>
    <col min="3842" max="3842" width="24" style="1" customWidth="1"/>
    <col min="3843" max="3846" width="15.85546875" style="1" customWidth="1"/>
    <col min="3847" max="3847" width="1.7109375" style="1" customWidth="1"/>
    <col min="3848" max="3849" width="26" style="1" customWidth="1"/>
    <col min="3850" max="3850" width="1.7109375" style="1" customWidth="1"/>
    <col min="3851" max="3853" width="18.7109375" style="1" customWidth="1"/>
    <col min="3854" max="3854" width="1.7109375" style="1" customWidth="1"/>
    <col min="3855" max="3855" width="25.42578125" style="1" customWidth="1"/>
    <col min="3856" max="3856" width="20.7109375" style="1" customWidth="1"/>
    <col min="3857" max="3857" width="1.7109375" style="1" customWidth="1"/>
    <col min="3858" max="3859" width="25.42578125" style="1" customWidth="1"/>
    <col min="3860" max="3860" width="20.7109375" style="1" customWidth="1"/>
    <col min="3861" max="3861" width="1.7109375" style="1" customWidth="1"/>
    <col min="3862" max="3862" width="41.5703125" style="1" customWidth="1"/>
    <col min="3863" max="3863" width="11.5703125" style="1" customWidth="1"/>
    <col min="3864" max="3864" width="23" style="1" customWidth="1"/>
    <col min="3865" max="3868" width="18.7109375" style="1" customWidth="1"/>
    <col min="3869" max="3869" width="1.7109375" style="1" customWidth="1"/>
    <col min="3870" max="4095" width="9.140625" style="1"/>
    <col min="4096" max="4096" width="40" style="1" customWidth="1"/>
    <col min="4097" max="4097" width="11.5703125" style="1" customWidth="1"/>
    <col min="4098" max="4098" width="24" style="1" customWidth="1"/>
    <col min="4099" max="4102" width="15.85546875" style="1" customWidth="1"/>
    <col min="4103" max="4103" width="1.7109375" style="1" customWidth="1"/>
    <col min="4104" max="4105" width="26" style="1" customWidth="1"/>
    <col min="4106" max="4106" width="1.7109375" style="1" customWidth="1"/>
    <col min="4107" max="4109" width="18.7109375" style="1" customWidth="1"/>
    <col min="4110" max="4110" width="1.7109375" style="1" customWidth="1"/>
    <col min="4111" max="4111" width="25.42578125" style="1" customWidth="1"/>
    <col min="4112" max="4112" width="20.7109375" style="1" customWidth="1"/>
    <col min="4113" max="4113" width="1.7109375" style="1" customWidth="1"/>
    <col min="4114" max="4115" width="25.42578125" style="1" customWidth="1"/>
    <col min="4116" max="4116" width="20.7109375" style="1" customWidth="1"/>
    <col min="4117" max="4117" width="1.7109375" style="1" customWidth="1"/>
    <col min="4118" max="4118" width="41.5703125" style="1" customWidth="1"/>
    <col min="4119" max="4119" width="11.5703125" style="1" customWidth="1"/>
    <col min="4120" max="4120" width="23" style="1" customWidth="1"/>
    <col min="4121" max="4124" width="18.7109375" style="1" customWidth="1"/>
    <col min="4125" max="4125" width="1.7109375" style="1" customWidth="1"/>
    <col min="4126" max="4351" width="9.140625" style="1"/>
    <col min="4352" max="4352" width="40" style="1" customWidth="1"/>
    <col min="4353" max="4353" width="11.5703125" style="1" customWidth="1"/>
    <col min="4354" max="4354" width="24" style="1" customWidth="1"/>
    <col min="4355" max="4358" width="15.85546875" style="1" customWidth="1"/>
    <col min="4359" max="4359" width="1.7109375" style="1" customWidth="1"/>
    <col min="4360" max="4361" width="26" style="1" customWidth="1"/>
    <col min="4362" max="4362" width="1.7109375" style="1" customWidth="1"/>
    <col min="4363" max="4365" width="18.7109375" style="1" customWidth="1"/>
    <col min="4366" max="4366" width="1.7109375" style="1" customWidth="1"/>
    <col min="4367" max="4367" width="25.42578125" style="1" customWidth="1"/>
    <col min="4368" max="4368" width="20.7109375" style="1" customWidth="1"/>
    <col min="4369" max="4369" width="1.7109375" style="1" customWidth="1"/>
    <col min="4370" max="4371" width="25.42578125" style="1" customWidth="1"/>
    <col min="4372" max="4372" width="20.7109375" style="1" customWidth="1"/>
    <col min="4373" max="4373" width="1.7109375" style="1" customWidth="1"/>
    <col min="4374" max="4374" width="41.5703125" style="1" customWidth="1"/>
    <col min="4375" max="4375" width="11.5703125" style="1" customWidth="1"/>
    <col min="4376" max="4376" width="23" style="1" customWidth="1"/>
    <col min="4377" max="4380" width="18.7109375" style="1" customWidth="1"/>
    <col min="4381" max="4381" width="1.7109375" style="1" customWidth="1"/>
    <col min="4382" max="4607" width="9.140625" style="1"/>
    <col min="4608" max="4608" width="40" style="1" customWidth="1"/>
    <col min="4609" max="4609" width="11.5703125" style="1" customWidth="1"/>
    <col min="4610" max="4610" width="24" style="1" customWidth="1"/>
    <col min="4611" max="4614" width="15.85546875" style="1" customWidth="1"/>
    <col min="4615" max="4615" width="1.7109375" style="1" customWidth="1"/>
    <col min="4616" max="4617" width="26" style="1" customWidth="1"/>
    <col min="4618" max="4618" width="1.7109375" style="1" customWidth="1"/>
    <col min="4619" max="4621" width="18.7109375" style="1" customWidth="1"/>
    <col min="4622" max="4622" width="1.7109375" style="1" customWidth="1"/>
    <col min="4623" max="4623" width="25.42578125" style="1" customWidth="1"/>
    <col min="4624" max="4624" width="20.7109375" style="1" customWidth="1"/>
    <col min="4625" max="4625" width="1.7109375" style="1" customWidth="1"/>
    <col min="4626" max="4627" width="25.42578125" style="1" customWidth="1"/>
    <col min="4628" max="4628" width="20.7109375" style="1" customWidth="1"/>
    <col min="4629" max="4629" width="1.7109375" style="1" customWidth="1"/>
    <col min="4630" max="4630" width="41.5703125" style="1" customWidth="1"/>
    <col min="4631" max="4631" width="11.5703125" style="1" customWidth="1"/>
    <col min="4632" max="4632" width="23" style="1" customWidth="1"/>
    <col min="4633" max="4636" width="18.7109375" style="1" customWidth="1"/>
    <col min="4637" max="4637" width="1.7109375" style="1" customWidth="1"/>
    <col min="4638" max="4863" width="9.140625" style="1"/>
    <col min="4864" max="4864" width="40" style="1" customWidth="1"/>
    <col min="4865" max="4865" width="11.5703125" style="1" customWidth="1"/>
    <col min="4866" max="4866" width="24" style="1" customWidth="1"/>
    <col min="4867" max="4870" width="15.85546875" style="1" customWidth="1"/>
    <col min="4871" max="4871" width="1.7109375" style="1" customWidth="1"/>
    <col min="4872" max="4873" width="26" style="1" customWidth="1"/>
    <col min="4874" max="4874" width="1.7109375" style="1" customWidth="1"/>
    <col min="4875" max="4877" width="18.7109375" style="1" customWidth="1"/>
    <col min="4878" max="4878" width="1.7109375" style="1" customWidth="1"/>
    <col min="4879" max="4879" width="25.42578125" style="1" customWidth="1"/>
    <col min="4880" max="4880" width="20.7109375" style="1" customWidth="1"/>
    <col min="4881" max="4881" width="1.7109375" style="1" customWidth="1"/>
    <col min="4882" max="4883" width="25.42578125" style="1" customWidth="1"/>
    <col min="4884" max="4884" width="20.7109375" style="1" customWidth="1"/>
    <col min="4885" max="4885" width="1.7109375" style="1" customWidth="1"/>
    <col min="4886" max="4886" width="41.5703125" style="1" customWidth="1"/>
    <col min="4887" max="4887" width="11.5703125" style="1" customWidth="1"/>
    <col min="4888" max="4888" width="23" style="1" customWidth="1"/>
    <col min="4889" max="4892" width="18.7109375" style="1" customWidth="1"/>
    <col min="4893" max="4893" width="1.7109375" style="1" customWidth="1"/>
    <col min="4894" max="5119" width="9.140625" style="1"/>
    <col min="5120" max="5120" width="40" style="1" customWidth="1"/>
    <col min="5121" max="5121" width="11.5703125" style="1" customWidth="1"/>
    <col min="5122" max="5122" width="24" style="1" customWidth="1"/>
    <col min="5123" max="5126" width="15.85546875" style="1" customWidth="1"/>
    <col min="5127" max="5127" width="1.7109375" style="1" customWidth="1"/>
    <col min="5128" max="5129" width="26" style="1" customWidth="1"/>
    <col min="5130" max="5130" width="1.7109375" style="1" customWidth="1"/>
    <col min="5131" max="5133" width="18.7109375" style="1" customWidth="1"/>
    <col min="5134" max="5134" width="1.7109375" style="1" customWidth="1"/>
    <col min="5135" max="5135" width="25.42578125" style="1" customWidth="1"/>
    <col min="5136" max="5136" width="20.7109375" style="1" customWidth="1"/>
    <col min="5137" max="5137" width="1.7109375" style="1" customWidth="1"/>
    <col min="5138" max="5139" width="25.42578125" style="1" customWidth="1"/>
    <col min="5140" max="5140" width="20.7109375" style="1" customWidth="1"/>
    <col min="5141" max="5141" width="1.7109375" style="1" customWidth="1"/>
    <col min="5142" max="5142" width="41.5703125" style="1" customWidth="1"/>
    <col min="5143" max="5143" width="11.5703125" style="1" customWidth="1"/>
    <col min="5144" max="5144" width="23" style="1" customWidth="1"/>
    <col min="5145" max="5148" width="18.7109375" style="1" customWidth="1"/>
    <col min="5149" max="5149" width="1.7109375" style="1" customWidth="1"/>
    <col min="5150" max="5375" width="9.140625" style="1"/>
    <col min="5376" max="5376" width="40" style="1" customWidth="1"/>
    <col min="5377" max="5377" width="11.5703125" style="1" customWidth="1"/>
    <col min="5378" max="5378" width="24" style="1" customWidth="1"/>
    <col min="5379" max="5382" width="15.85546875" style="1" customWidth="1"/>
    <col min="5383" max="5383" width="1.7109375" style="1" customWidth="1"/>
    <col min="5384" max="5385" width="26" style="1" customWidth="1"/>
    <col min="5386" max="5386" width="1.7109375" style="1" customWidth="1"/>
    <col min="5387" max="5389" width="18.7109375" style="1" customWidth="1"/>
    <col min="5390" max="5390" width="1.7109375" style="1" customWidth="1"/>
    <col min="5391" max="5391" width="25.42578125" style="1" customWidth="1"/>
    <col min="5392" max="5392" width="20.7109375" style="1" customWidth="1"/>
    <col min="5393" max="5393" width="1.7109375" style="1" customWidth="1"/>
    <col min="5394" max="5395" width="25.42578125" style="1" customWidth="1"/>
    <col min="5396" max="5396" width="20.7109375" style="1" customWidth="1"/>
    <col min="5397" max="5397" width="1.7109375" style="1" customWidth="1"/>
    <col min="5398" max="5398" width="41.5703125" style="1" customWidth="1"/>
    <col min="5399" max="5399" width="11.5703125" style="1" customWidth="1"/>
    <col min="5400" max="5400" width="23" style="1" customWidth="1"/>
    <col min="5401" max="5404" width="18.7109375" style="1" customWidth="1"/>
    <col min="5405" max="5405" width="1.7109375" style="1" customWidth="1"/>
    <col min="5406" max="5631" width="9.140625" style="1"/>
    <col min="5632" max="5632" width="40" style="1" customWidth="1"/>
    <col min="5633" max="5633" width="11.5703125" style="1" customWidth="1"/>
    <col min="5634" max="5634" width="24" style="1" customWidth="1"/>
    <col min="5635" max="5638" width="15.85546875" style="1" customWidth="1"/>
    <col min="5639" max="5639" width="1.7109375" style="1" customWidth="1"/>
    <col min="5640" max="5641" width="26" style="1" customWidth="1"/>
    <col min="5642" max="5642" width="1.7109375" style="1" customWidth="1"/>
    <col min="5643" max="5645" width="18.7109375" style="1" customWidth="1"/>
    <col min="5646" max="5646" width="1.7109375" style="1" customWidth="1"/>
    <col min="5647" max="5647" width="25.42578125" style="1" customWidth="1"/>
    <col min="5648" max="5648" width="20.7109375" style="1" customWidth="1"/>
    <col min="5649" max="5649" width="1.7109375" style="1" customWidth="1"/>
    <col min="5650" max="5651" width="25.42578125" style="1" customWidth="1"/>
    <col min="5652" max="5652" width="20.7109375" style="1" customWidth="1"/>
    <col min="5653" max="5653" width="1.7109375" style="1" customWidth="1"/>
    <col min="5654" max="5654" width="41.5703125" style="1" customWidth="1"/>
    <col min="5655" max="5655" width="11.5703125" style="1" customWidth="1"/>
    <col min="5656" max="5656" width="23" style="1" customWidth="1"/>
    <col min="5657" max="5660" width="18.7109375" style="1" customWidth="1"/>
    <col min="5661" max="5661" width="1.7109375" style="1" customWidth="1"/>
    <col min="5662" max="5887" width="9.140625" style="1"/>
    <col min="5888" max="5888" width="40" style="1" customWidth="1"/>
    <col min="5889" max="5889" width="11.5703125" style="1" customWidth="1"/>
    <col min="5890" max="5890" width="24" style="1" customWidth="1"/>
    <col min="5891" max="5894" width="15.85546875" style="1" customWidth="1"/>
    <col min="5895" max="5895" width="1.7109375" style="1" customWidth="1"/>
    <col min="5896" max="5897" width="26" style="1" customWidth="1"/>
    <col min="5898" max="5898" width="1.7109375" style="1" customWidth="1"/>
    <col min="5899" max="5901" width="18.7109375" style="1" customWidth="1"/>
    <col min="5902" max="5902" width="1.7109375" style="1" customWidth="1"/>
    <col min="5903" max="5903" width="25.42578125" style="1" customWidth="1"/>
    <col min="5904" max="5904" width="20.7109375" style="1" customWidth="1"/>
    <col min="5905" max="5905" width="1.7109375" style="1" customWidth="1"/>
    <col min="5906" max="5907" width="25.42578125" style="1" customWidth="1"/>
    <col min="5908" max="5908" width="20.7109375" style="1" customWidth="1"/>
    <col min="5909" max="5909" width="1.7109375" style="1" customWidth="1"/>
    <col min="5910" max="5910" width="41.5703125" style="1" customWidth="1"/>
    <col min="5911" max="5911" width="11.5703125" style="1" customWidth="1"/>
    <col min="5912" max="5912" width="23" style="1" customWidth="1"/>
    <col min="5913" max="5916" width="18.7109375" style="1" customWidth="1"/>
    <col min="5917" max="5917" width="1.7109375" style="1" customWidth="1"/>
    <col min="5918" max="6143" width="9.140625" style="1"/>
    <col min="6144" max="6144" width="40" style="1" customWidth="1"/>
    <col min="6145" max="6145" width="11.5703125" style="1" customWidth="1"/>
    <col min="6146" max="6146" width="24" style="1" customWidth="1"/>
    <col min="6147" max="6150" width="15.85546875" style="1" customWidth="1"/>
    <col min="6151" max="6151" width="1.7109375" style="1" customWidth="1"/>
    <col min="6152" max="6153" width="26" style="1" customWidth="1"/>
    <col min="6154" max="6154" width="1.7109375" style="1" customWidth="1"/>
    <col min="6155" max="6157" width="18.7109375" style="1" customWidth="1"/>
    <col min="6158" max="6158" width="1.7109375" style="1" customWidth="1"/>
    <col min="6159" max="6159" width="25.42578125" style="1" customWidth="1"/>
    <col min="6160" max="6160" width="20.7109375" style="1" customWidth="1"/>
    <col min="6161" max="6161" width="1.7109375" style="1" customWidth="1"/>
    <col min="6162" max="6163" width="25.42578125" style="1" customWidth="1"/>
    <col min="6164" max="6164" width="20.7109375" style="1" customWidth="1"/>
    <col min="6165" max="6165" width="1.7109375" style="1" customWidth="1"/>
    <col min="6166" max="6166" width="41.5703125" style="1" customWidth="1"/>
    <col min="6167" max="6167" width="11.5703125" style="1" customWidth="1"/>
    <col min="6168" max="6168" width="23" style="1" customWidth="1"/>
    <col min="6169" max="6172" width="18.7109375" style="1" customWidth="1"/>
    <col min="6173" max="6173" width="1.7109375" style="1" customWidth="1"/>
    <col min="6174" max="6399" width="9.140625" style="1"/>
    <col min="6400" max="6400" width="40" style="1" customWidth="1"/>
    <col min="6401" max="6401" width="11.5703125" style="1" customWidth="1"/>
    <col min="6402" max="6402" width="24" style="1" customWidth="1"/>
    <col min="6403" max="6406" width="15.85546875" style="1" customWidth="1"/>
    <col min="6407" max="6407" width="1.7109375" style="1" customWidth="1"/>
    <col min="6408" max="6409" width="26" style="1" customWidth="1"/>
    <col min="6410" max="6410" width="1.7109375" style="1" customWidth="1"/>
    <col min="6411" max="6413" width="18.7109375" style="1" customWidth="1"/>
    <col min="6414" max="6414" width="1.7109375" style="1" customWidth="1"/>
    <col min="6415" max="6415" width="25.42578125" style="1" customWidth="1"/>
    <col min="6416" max="6416" width="20.7109375" style="1" customWidth="1"/>
    <col min="6417" max="6417" width="1.7109375" style="1" customWidth="1"/>
    <col min="6418" max="6419" width="25.42578125" style="1" customWidth="1"/>
    <col min="6420" max="6420" width="20.7109375" style="1" customWidth="1"/>
    <col min="6421" max="6421" width="1.7109375" style="1" customWidth="1"/>
    <col min="6422" max="6422" width="41.5703125" style="1" customWidth="1"/>
    <col min="6423" max="6423" width="11.5703125" style="1" customWidth="1"/>
    <col min="6424" max="6424" width="23" style="1" customWidth="1"/>
    <col min="6425" max="6428" width="18.7109375" style="1" customWidth="1"/>
    <col min="6429" max="6429" width="1.7109375" style="1" customWidth="1"/>
    <col min="6430" max="6655" width="9.140625" style="1"/>
    <col min="6656" max="6656" width="40" style="1" customWidth="1"/>
    <col min="6657" max="6657" width="11.5703125" style="1" customWidth="1"/>
    <col min="6658" max="6658" width="24" style="1" customWidth="1"/>
    <col min="6659" max="6662" width="15.85546875" style="1" customWidth="1"/>
    <col min="6663" max="6663" width="1.7109375" style="1" customWidth="1"/>
    <col min="6664" max="6665" width="26" style="1" customWidth="1"/>
    <col min="6666" max="6666" width="1.7109375" style="1" customWidth="1"/>
    <col min="6667" max="6669" width="18.7109375" style="1" customWidth="1"/>
    <col min="6670" max="6670" width="1.7109375" style="1" customWidth="1"/>
    <col min="6671" max="6671" width="25.42578125" style="1" customWidth="1"/>
    <col min="6672" max="6672" width="20.7109375" style="1" customWidth="1"/>
    <col min="6673" max="6673" width="1.7109375" style="1" customWidth="1"/>
    <col min="6674" max="6675" width="25.42578125" style="1" customWidth="1"/>
    <col min="6676" max="6676" width="20.7109375" style="1" customWidth="1"/>
    <col min="6677" max="6677" width="1.7109375" style="1" customWidth="1"/>
    <col min="6678" max="6678" width="41.5703125" style="1" customWidth="1"/>
    <col min="6679" max="6679" width="11.5703125" style="1" customWidth="1"/>
    <col min="6680" max="6680" width="23" style="1" customWidth="1"/>
    <col min="6681" max="6684" width="18.7109375" style="1" customWidth="1"/>
    <col min="6685" max="6685" width="1.7109375" style="1" customWidth="1"/>
    <col min="6686" max="6911" width="9.140625" style="1"/>
    <col min="6912" max="6912" width="40" style="1" customWidth="1"/>
    <col min="6913" max="6913" width="11.5703125" style="1" customWidth="1"/>
    <col min="6914" max="6914" width="24" style="1" customWidth="1"/>
    <col min="6915" max="6918" width="15.85546875" style="1" customWidth="1"/>
    <col min="6919" max="6919" width="1.7109375" style="1" customWidth="1"/>
    <col min="6920" max="6921" width="26" style="1" customWidth="1"/>
    <col min="6922" max="6922" width="1.7109375" style="1" customWidth="1"/>
    <col min="6923" max="6925" width="18.7109375" style="1" customWidth="1"/>
    <col min="6926" max="6926" width="1.7109375" style="1" customWidth="1"/>
    <col min="6927" max="6927" width="25.42578125" style="1" customWidth="1"/>
    <col min="6928" max="6928" width="20.7109375" style="1" customWidth="1"/>
    <col min="6929" max="6929" width="1.7109375" style="1" customWidth="1"/>
    <col min="6930" max="6931" width="25.42578125" style="1" customWidth="1"/>
    <col min="6932" max="6932" width="20.7109375" style="1" customWidth="1"/>
    <col min="6933" max="6933" width="1.7109375" style="1" customWidth="1"/>
    <col min="6934" max="6934" width="41.5703125" style="1" customWidth="1"/>
    <col min="6935" max="6935" width="11.5703125" style="1" customWidth="1"/>
    <col min="6936" max="6936" width="23" style="1" customWidth="1"/>
    <col min="6937" max="6940" width="18.7109375" style="1" customWidth="1"/>
    <col min="6941" max="6941" width="1.7109375" style="1" customWidth="1"/>
    <col min="6942" max="7167" width="9.140625" style="1"/>
    <col min="7168" max="7168" width="40" style="1" customWidth="1"/>
    <col min="7169" max="7169" width="11.5703125" style="1" customWidth="1"/>
    <col min="7170" max="7170" width="24" style="1" customWidth="1"/>
    <col min="7171" max="7174" width="15.85546875" style="1" customWidth="1"/>
    <col min="7175" max="7175" width="1.7109375" style="1" customWidth="1"/>
    <col min="7176" max="7177" width="26" style="1" customWidth="1"/>
    <col min="7178" max="7178" width="1.7109375" style="1" customWidth="1"/>
    <col min="7179" max="7181" width="18.7109375" style="1" customWidth="1"/>
    <col min="7182" max="7182" width="1.7109375" style="1" customWidth="1"/>
    <col min="7183" max="7183" width="25.42578125" style="1" customWidth="1"/>
    <col min="7184" max="7184" width="20.7109375" style="1" customWidth="1"/>
    <col min="7185" max="7185" width="1.7109375" style="1" customWidth="1"/>
    <col min="7186" max="7187" width="25.42578125" style="1" customWidth="1"/>
    <col min="7188" max="7188" width="20.7109375" style="1" customWidth="1"/>
    <col min="7189" max="7189" width="1.7109375" style="1" customWidth="1"/>
    <col min="7190" max="7190" width="41.5703125" style="1" customWidth="1"/>
    <col min="7191" max="7191" width="11.5703125" style="1" customWidth="1"/>
    <col min="7192" max="7192" width="23" style="1" customWidth="1"/>
    <col min="7193" max="7196" width="18.7109375" style="1" customWidth="1"/>
    <col min="7197" max="7197" width="1.7109375" style="1" customWidth="1"/>
    <col min="7198" max="7423" width="9.140625" style="1"/>
    <col min="7424" max="7424" width="40" style="1" customWidth="1"/>
    <col min="7425" max="7425" width="11.5703125" style="1" customWidth="1"/>
    <col min="7426" max="7426" width="24" style="1" customWidth="1"/>
    <col min="7427" max="7430" width="15.85546875" style="1" customWidth="1"/>
    <col min="7431" max="7431" width="1.7109375" style="1" customWidth="1"/>
    <col min="7432" max="7433" width="26" style="1" customWidth="1"/>
    <col min="7434" max="7434" width="1.7109375" style="1" customWidth="1"/>
    <col min="7435" max="7437" width="18.7109375" style="1" customWidth="1"/>
    <col min="7438" max="7438" width="1.7109375" style="1" customWidth="1"/>
    <col min="7439" max="7439" width="25.42578125" style="1" customWidth="1"/>
    <col min="7440" max="7440" width="20.7109375" style="1" customWidth="1"/>
    <col min="7441" max="7441" width="1.7109375" style="1" customWidth="1"/>
    <col min="7442" max="7443" width="25.42578125" style="1" customWidth="1"/>
    <col min="7444" max="7444" width="20.7109375" style="1" customWidth="1"/>
    <col min="7445" max="7445" width="1.7109375" style="1" customWidth="1"/>
    <col min="7446" max="7446" width="41.5703125" style="1" customWidth="1"/>
    <col min="7447" max="7447" width="11.5703125" style="1" customWidth="1"/>
    <col min="7448" max="7448" width="23" style="1" customWidth="1"/>
    <col min="7449" max="7452" width="18.7109375" style="1" customWidth="1"/>
    <col min="7453" max="7453" width="1.7109375" style="1" customWidth="1"/>
    <col min="7454" max="7679" width="9.140625" style="1"/>
    <col min="7680" max="7680" width="40" style="1" customWidth="1"/>
    <col min="7681" max="7681" width="11.5703125" style="1" customWidth="1"/>
    <col min="7682" max="7682" width="24" style="1" customWidth="1"/>
    <col min="7683" max="7686" width="15.85546875" style="1" customWidth="1"/>
    <col min="7687" max="7687" width="1.7109375" style="1" customWidth="1"/>
    <col min="7688" max="7689" width="26" style="1" customWidth="1"/>
    <col min="7690" max="7690" width="1.7109375" style="1" customWidth="1"/>
    <col min="7691" max="7693" width="18.7109375" style="1" customWidth="1"/>
    <col min="7694" max="7694" width="1.7109375" style="1" customWidth="1"/>
    <col min="7695" max="7695" width="25.42578125" style="1" customWidth="1"/>
    <col min="7696" max="7696" width="20.7109375" style="1" customWidth="1"/>
    <col min="7697" max="7697" width="1.7109375" style="1" customWidth="1"/>
    <col min="7698" max="7699" width="25.42578125" style="1" customWidth="1"/>
    <col min="7700" max="7700" width="20.7109375" style="1" customWidth="1"/>
    <col min="7701" max="7701" width="1.7109375" style="1" customWidth="1"/>
    <col min="7702" max="7702" width="41.5703125" style="1" customWidth="1"/>
    <col min="7703" max="7703" width="11.5703125" style="1" customWidth="1"/>
    <col min="7704" max="7704" width="23" style="1" customWidth="1"/>
    <col min="7705" max="7708" width="18.7109375" style="1" customWidth="1"/>
    <col min="7709" max="7709" width="1.7109375" style="1" customWidth="1"/>
    <col min="7710" max="7935" width="9.140625" style="1"/>
    <col min="7936" max="7936" width="40" style="1" customWidth="1"/>
    <col min="7937" max="7937" width="11.5703125" style="1" customWidth="1"/>
    <col min="7938" max="7938" width="24" style="1" customWidth="1"/>
    <col min="7939" max="7942" width="15.85546875" style="1" customWidth="1"/>
    <col min="7943" max="7943" width="1.7109375" style="1" customWidth="1"/>
    <col min="7944" max="7945" width="26" style="1" customWidth="1"/>
    <col min="7946" max="7946" width="1.7109375" style="1" customWidth="1"/>
    <col min="7947" max="7949" width="18.7109375" style="1" customWidth="1"/>
    <col min="7950" max="7950" width="1.7109375" style="1" customWidth="1"/>
    <col min="7951" max="7951" width="25.42578125" style="1" customWidth="1"/>
    <col min="7952" max="7952" width="20.7109375" style="1" customWidth="1"/>
    <col min="7953" max="7953" width="1.7109375" style="1" customWidth="1"/>
    <col min="7954" max="7955" width="25.42578125" style="1" customWidth="1"/>
    <col min="7956" max="7956" width="20.7109375" style="1" customWidth="1"/>
    <col min="7957" max="7957" width="1.7109375" style="1" customWidth="1"/>
    <col min="7958" max="7958" width="41.5703125" style="1" customWidth="1"/>
    <col min="7959" max="7959" width="11.5703125" style="1" customWidth="1"/>
    <col min="7960" max="7960" width="23" style="1" customWidth="1"/>
    <col min="7961" max="7964" width="18.7109375" style="1" customWidth="1"/>
    <col min="7965" max="7965" width="1.7109375" style="1" customWidth="1"/>
    <col min="7966" max="8191" width="9.140625" style="1"/>
    <col min="8192" max="8192" width="40" style="1" customWidth="1"/>
    <col min="8193" max="8193" width="11.5703125" style="1" customWidth="1"/>
    <col min="8194" max="8194" width="24" style="1" customWidth="1"/>
    <col min="8195" max="8198" width="15.85546875" style="1" customWidth="1"/>
    <col min="8199" max="8199" width="1.7109375" style="1" customWidth="1"/>
    <col min="8200" max="8201" width="26" style="1" customWidth="1"/>
    <col min="8202" max="8202" width="1.7109375" style="1" customWidth="1"/>
    <col min="8203" max="8205" width="18.7109375" style="1" customWidth="1"/>
    <col min="8206" max="8206" width="1.7109375" style="1" customWidth="1"/>
    <col min="8207" max="8207" width="25.42578125" style="1" customWidth="1"/>
    <col min="8208" max="8208" width="20.7109375" style="1" customWidth="1"/>
    <col min="8209" max="8209" width="1.7109375" style="1" customWidth="1"/>
    <col min="8210" max="8211" width="25.42578125" style="1" customWidth="1"/>
    <col min="8212" max="8212" width="20.7109375" style="1" customWidth="1"/>
    <col min="8213" max="8213" width="1.7109375" style="1" customWidth="1"/>
    <col min="8214" max="8214" width="41.5703125" style="1" customWidth="1"/>
    <col min="8215" max="8215" width="11.5703125" style="1" customWidth="1"/>
    <col min="8216" max="8216" width="23" style="1" customWidth="1"/>
    <col min="8217" max="8220" width="18.7109375" style="1" customWidth="1"/>
    <col min="8221" max="8221" width="1.7109375" style="1" customWidth="1"/>
    <col min="8222" max="8447" width="9.140625" style="1"/>
    <col min="8448" max="8448" width="40" style="1" customWidth="1"/>
    <col min="8449" max="8449" width="11.5703125" style="1" customWidth="1"/>
    <col min="8450" max="8450" width="24" style="1" customWidth="1"/>
    <col min="8451" max="8454" width="15.85546875" style="1" customWidth="1"/>
    <col min="8455" max="8455" width="1.7109375" style="1" customWidth="1"/>
    <col min="8456" max="8457" width="26" style="1" customWidth="1"/>
    <col min="8458" max="8458" width="1.7109375" style="1" customWidth="1"/>
    <col min="8459" max="8461" width="18.7109375" style="1" customWidth="1"/>
    <col min="8462" max="8462" width="1.7109375" style="1" customWidth="1"/>
    <col min="8463" max="8463" width="25.42578125" style="1" customWidth="1"/>
    <col min="8464" max="8464" width="20.7109375" style="1" customWidth="1"/>
    <col min="8465" max="8465" width="1.7109375" style="1" customWidth="1"/>
    <col min="8466" max="8467" width="25.42578125" style="1" customWidth="1"/>
    <col min="8468" max="8468" width="20.7109375" style="1" customWidth="1"/>
    <col min="8469" max="8469" width="1.7109375" style="1" customWidth="1"/>
    <col min="8470" max="8470" width="41.5703125" style="1" customWidth="1"/>
    <col min="8471" max="8471" width="11.5703125" style="1" customWidth="1"/>
    <col min="8472" max="8472" width="23" style="1" customWidth="1"/>
    <col min="8473" max="8476" width="18.7109375" style="1" customWidth="1"/>
    <col min="8477" max="8477" width="1.7109375" style="1" customWidth="1"/>
    <col min="8478" max="8703" width="9.140625" style="1"/>
    <col min="8704" max="8704" width="40" style="1" customWidth="1"/>
    <col min="8705" max="8705" width="11.5703125" style="1" customWidth="1"/>
    <col min="8706" max="8706" width="24" style="1" customWidth="1"/>
    <col min="8707" max="8710" width="15.85546875" style="1" customWidth="1"/>
    <col min="8711" max="8711" width="1.7109375" style="1" customWidth="1"/>
    <col min="8712" max="8713" width="26" style="1" customWidth="1"/>
    <col min="8714" max="8714" width="1.7109375" style="1" customWidth="1"/>
    <col min="8715" max="8717" width="18.7109375" style="1" customWidth="1"/>
    <col min="8718" max="8718" width="1.7109375" style="1" customWidth="1"/>
    <col min="8719" max="8719" width="25.42578125" style="1" customWidth="1"/>
    <col min="8720" max="8720" width="20.7109375" style="1" customWidth="1"/>
    <col min="8721" max="8721" width="1.7109375" style="1" customWidth="1"/>
    <col min="8722" max="8723" width="25.42578125" style="1" customWidth="1"/>
    <col min="8724" max="8724" width="20.7109375" style="1" customWidth="1"/>
    <col min="8725" max="8725" width="1.7109375" style="1" customWidth="1"/>
    <col min="8726" max="8726" width="41.5703125" style="1" customWidth="1"/>
    <col min="8727" max="8727" width="11.5703125" style="1" customWidth="1"/>
    <col min="8728" max="8728" width="23" style="1" customWidth="1"/>
    <col min="8729" max="8732" width="18.7109375" style="1" customWidth="1"/>
    <col min="8733" max="8733" width="1.7109375" style="1" customWidth="1"/>
    <col min="8734" max="8959" width="9.140625" style="1"/>
    <col min="8960" max="8960" width="40" style="1" customWidth="1"/>
    <col min="8961" max="8961" width="11.5703125" style="1" customWidth="1"/>
    <col min="8962" max="8962" width="24" style="1" customWidth="1"/>
    <col min="8963" max="8966" width="15.85546875" style="1" customWidth="1"/>
    <col min="8967" max="8967" width="1.7109375" style="1" customWidth="1"/>
    <col min="8968" max="8969" width="26" style="1" customWidth="1"/>
    <col min="8970" max="8970" width="1.7109375" style="1" customWidth="1"/>
    <col min="8971" max="8973" width="18.7109375" style="1" customWidth="1"/>
    <col min="8974" max="8974" width="1.7109375" style="1" customWidth="1"/>
    <col min="8975" max="8975" width="25.42578125" style="1" customWidth="1"/>
    <col min="8976" max="8976" width="20.7109375" style="1" customWidth="1"/>
    <col min="8977" max="8977" width="1.7109375" style="1" customWidth="1"/>
    <col min="8978" max="8979" width="25.42578125" style="1" customWidth="1"/>
    <col min="8980" max="8980" width="20.7109375" style="1" customWidth="1"/>
    <col min="8981" max="8981" width="1.7109375" style="1" customWidth="1"/>
    <col min="8982" max="8982" width="41.5703125" style="1" customWidth="1"/>
    <col min="8983" max="8983" width="11.5703125" style="1" customWidth="1"/>
    <col min="8984" max="8984" width="23" style="1" customWidth="1"/>
    <col min="8985" max="8988" width="18.7109375" style="1" customWidth="1"/>
    <col min="8989" max="8989" width="1.7109375" style="1" customWidth="1"/>
    <col min="8990" max="9215" width="9.140625" style="1"/>
    <col min="9216" max="9216" width="40" style="1" customWidth="1"/>
    <col min="9217" max="9217" width="11.5703125" style="1" customWidth="1"/>
    <col min="9218" max="9218" width="24" style="1" customWidth="1"/>
    <col min="9219" max="9222" width="15.85546875" style="1" customWidth="1"/>
    <col min="9223" max="9223" width="1.7109375" style="1" customWidth="1"/>
    <col min="9224" max="9225" width="26" style="1" customWidth="1"/>
    <col min="9226" max="9226" width="1.7109375" style="1" customWidth="1"/>
    <col min="9227" max="9229" width="18.7109375" style="1" customWidth="1"/>
    <col min="9230" max="9230" width="1.7109375" style="1" customWidth="1"/>
    <col min="9231" max="9231" width="25.42578125" style="1" customWidth="1"/>
    <col min="9232" max="9232" width="20.7109375" style="1" customWidth="1"/>
    <col min="9233" max="9233" width="1.7109375" style="1" customWidth="1"/>
    <col min="9234" max="9235" width="25.42578125" style="1" customWidth="1"/>
    <col min="9236" max="9236" width="20.7109375" style="1" customWidth="1"/>
    <col min="9237" max="9237" width="1.7109375" style="1" customWidth="1"/>
    <col min="9238" max="9238" width="41.5703125" style="1" customWidth="1"/>
    <col min="9239" max="9239" width="11.5703125" style="1" customWidth="1"/>
    <col min="9240" max="9240" width="23" style="1" customWidth="1"/>
    <col min="9241" max="9244" width="18.7109375" style="1" customWidth="1"/>
    <col min="9245" max="9245" width="1.7109375" style="1" customWidth="1"/>
    <col min="9246" max="9471" width="9.140625" style="1"/>
    <col min="9472" max="9472" width="40" style="1" customWidth="1"/>
    <col min="9473" max="9473" width="11.5703125" style="1" customWidth="1"/>
    <col min="9474" max="9474" width="24" style="1" customWidth="1"/>
    <col min="9475" max="9478" width="15.85546875" style="1" customWidth="1"/>
    <col min="9479" max="9479" width="1.7109375" style="1" customWidth="1"/>
    <col min="9480" max="9481" width="26" style="1" customWidth="1"/>
    <col min="9482" max="9482" width="1.7109375" style="1" customWidth="1"/>
    <col min="9483" max="9485" width="18.7109375" style="1" customWidth="1"/>
    <col min="9486" max="9486" width="1.7109375" style="1" customWidth="1"/>
    <col min="9487" max="9487" width="25.42578125" style="1" customWidth="1"/>
    <col min="9488" max="9488" width="20.7109375" style="1" customWidth="1"/>
    <col min="9489" max="9489" width="1.7109375" style="1" customWidth="1"/>
    <col min="9490" max="9491" width="25.42578125" style="1" customWidth="1"/>
    <col min="9492" max="9492" width="20.7109375" style="1" customWidth="1"/>
    <col min="9493" max="9493" width="1.7109375" style="1" customWidth="1"/>
    <col min="9494" max="9494" width="41.5703125" style="1" customWidth="1"/>
    <col min="9495" max="9495" width="11.5703125" style="1" customWidth="1"/>
    <col min="9496" max="9496" width="23" style="1" customWidth="1"/>
    <col min="9497" max="9500" width="18.7109375" style="1" customWidth="1"/>
    <col min="9501" max="9501" width="1.7109375" style="1" customWidth="1"/>
    <col min="9502" max="9727" width="9.140625" style="1"/>
    <col min="9728" max="9728" width="40" style="1" customWidth="1"/>
    <col min="9729" max="9729" width="11.5703125" style="1" customWidth="1"/>
    <col min="9730" max="9730" width="24" style="1" customWidth="1"/>
    <col min="9731" max="9734" width="15.85546875" style="1" customWidth="1"/>
    <col min="9735" max="9735" width="1.7109375" style="1" customWidth="1"/>
    <col min="9736" max="9737" width="26" style="1" customWidth="1"/>
    <col min="9738" max="9738" width="1.7109375" style="1" customWidth="1"/>
    <col min="9739" max="9741" width="18.7109375" style="1" customWidth="1"/>
    <col min="9742" max="9742" width="1.7109375" style="1" customWidth="1"/>
    <col min="9743" max="9743" width="25.42578125" style="1" customWidth="1"/>
    <col min="9744" max="9744" width="20.7109375" style="1" customWidth="1"/>
    <col min="9745" max="9745" width="1.7109375" style="1" customWidth="1"/>
    <col min="9746" max="9747" width="25.42578125" style="1" customWidth="1"/>
    <col min="9748" max="9748" width="20.7109375" style="1" customWidth="1"/>
    <col min="9749" max="9749" width="1.7109375" style="1" customWidth="1"/>
    <col min="9750" max="9750" width="41.5703125" style="1" customWidth="1"/>
    <col min="9751" max="9751" width="11.5703125" style="1" customWidth="1"/>
    <col min="9752" max="9752" width="23" style="1" customWidth="1"/>
    <col min="9753" max="9756" width="18.7109375" style="1" customWidth="1"/>
    <col min="9757" max="9757" width="1.7109375" style="1" customWidth="1"/>
    <col min="9758" max="9983" width="9.140625" style="1"/>
    <col min="9984" max="9984" width="40" style="1" customWidth="1"/>
    <col min="9985" max="9985" width="11.5703125" style="1" customWidth="1"/>
    <col min="9986" max="9986" width="24" style="1" customWidth="1"/>
    <col min="9987" max="9990" width="15.85546875" style="1" customWidth="1"/>
    <col min="9991" max="9991" width="1.7109375" style="1" customWidth="1"/>
    <col min="9992" max="9993" width="26" style="1" customWidth="1"/>
    <col min="9994" max="9994" width="1.7109375" style="1" customWidth="1"/>
    <col min="9995" max="9997" width="18.7109375" style="1" customWidth="1"/>
    <col min="9998" max="9998" width="1.7109375" style="1" customWidth="1"/>
    <col min="9999" max="9999" width="25.42578125" style="1" customWidth="1"/>
    <col min="10000" max="10000" width="20.7109375" style="1" customWidth="1"/>
    <col min="10001" max="10001" width="1.7109375" style="1" customWidth="1"/>
    <col min="10002" max="10003" width="25.42578125" style="1" customWidth="1"/>
    <col min="10004" max="10004" width="20.7109375" style="1" customWidth="1"/>
    <col min="10005" max="10005" width="1.7109375" style="1" customWidth="1"/>
    <col min="10006" max="10006" width="41.5703125" style="1" customWidth="1"/>
    <col min="10007" max="10007" width="11.5703125" style="1" customWidth="1"/>
    <col min="10008" max="10008" width="23" style="1" customWidth="1"/>
    <col min="10009" max="10012" width="18.7109375" style="1" customWidth="1"/>
    <col min="10013" max="10013" width="1.7109375" style="1" customWidth="1"/>
    <col min="10014" max="10239" width="9.140625" style="1"/>
    <col min="10240" max="10240" width="40" style="1" customWidth="1"/>
    <col min="10241" max="10241" width="11.5703125" style="1" customWidth="1"/>
    <col min="10242" max="10242" width="24" style="1" customWidth="1"/>
    <col min="10243" max="10246" width="15.85546875" style="1" customWidth="1"/>
    <col min="10247" max="10247" width="1.7109375" style="1" customWidth="1"/>
    <col min="10248" max="10249" width="26" style="1" customWidth="1"/>
    <col min="10250" max="10250" width="1.7109375" style="1" customWidth="1"/>
    <col min="10251" max="10253" width="18.7109375" style="1" customWidth="1"/>
    <col min="10254" max="10254" width="1.7109375" style="1" customWidth="1"/>
    <col min="10255" max="10255" width="25.42578125" style="1" customWidth="1"/>
    <col min="10256" max="10256" width="20.7109375" style="1" customWidth="1"/>
    <col min="10257" max="10257" width="1.7109375" style="1" customWidth="1"/>
    <col min="10258" max="10259" width="25.42578125" style="1" customWidth="1"/>
    <col min="10260" max="10260" width="20.7109375" style="1" customWidth="1"/>
    <col min="10261" max="10261" width="1.7109375" style="1" customWidth="1"/>
    <col min="10262" max="10262" width="41.5703125" style="1" customWidth="1"/>
    <col min="10263" max="10263" width="11.5703125" style="1" customWidth="1"/>
    <col min="10264" max="10264" width="23" style="1" customWidth="1"/>
    <col min="10265" max="10268" width="18.7109375" style="1" customWidth="1"/>
    <col min="10269" max="10269" width="1.7109375" style="1" customWidth="1"/>
    <col min="10270" max="10495" width="9.140625" style="1"/>
    <col min="10496" max="10496" width="40" style="1" customWidth="1"/>
    <col min="10497" max="10497" width="11.5703125" style="1" customWidth="1"/>
    <col min="10498" max="10498" width="24" style="1" customWidth="1"/>
    <col min="10499" max="10502" width="15.85546875" style="1" customWidth="1"/>
    <col min="10503" max="10503" width="1.7109375" style="1" customWidth="1"/>
    <col min="10504" max="10505" width="26" style="1" customWidth="1"/>
    <col min="10506" max="10506" width="1.7109375" style="1" customWidth="1"/>
    <col min="10507" max="10509" width="18.7109375" style="1" customWidth="1"/>
    <col min="10510" max="10510" width="1.7109375" style="1" customWidth="1"/>
    <col min="10511" max="10511" width="25.42578125" style="1" customWidth="1"/>
    <col min="10512" max="10512" width="20.7109375" style="1" customWidth="1"/>
    <col min="10513" max="10513" width="1.7109375" style="1" customWidth="1"/>
    <col min="10514" max="10515" width="25.42578125" style="1" customWidth="1"/>
    <col min="10516" max="10516" width="20.7109375" style="1" customWidth="1"/>
    <col min="10517" max="10517" width="1.7109375" style="1" customWidth="1"/>
    <col min="10518" max="10518" width="41.5703125" style="1" customWidth="1"/>
    <col min="10519" max="10519" width="11.5703125" style="1" customWidth="1"/>
    <col min="10520" max="10520" width="23" style="1" customWidth="1"/>
    <col min="10521" max="10524" width="18.7109375" style="1" customWidth="1"/>
    <col min="10525" max="10525" width="1.7109375" style="1" customWidth="1"/>
    <col min="10526" max="10751" width="9.140625" style="1"/>
    <col min="10752" max="10752" width="40" style="1" customWidth="1"/>
    <col min="10753" max="10753" width="11.5703125" style="1" customWidth="1"/>
    <col min="10754" max="10754" width="24" style="1" customWidth="1"/>
    <col min="10755" max="10758" width="15.85546875" style="1" customWidth="1"/>
    <col min="10759" max="10759" width="1.7109375" style="1" customWidth="1"/>
    <col min="10760" max="10761" width="26" style="1" customWidth="1"/>
    <col min="10762" max="10762" width="1.7109375" style="1" customWidth="1"/>
    <col min="10763" max="10765" width="18.7109375" style="1" customWidth="1"/>
    <col min="10766" max="10766" width="1.7109375" style="1" customWidth="1"/>
    <col min="10767" max="10767" width="25.42578125" style="1" customWidth="1"/>
    <col min="10768" max="10768" width="20.7109375" style="1" customWidth="1"/>
    <col min="10769" max="10769" width="1.7109375" style="1" customWidth="1"/>
    <col min="10770" max="10771" width="25.42578125" style="1" customWidth="1"/>
    <col min="10772" max="10772" width="20.7109375" style="1" customWidth="1"/>
    <col min="10773" max="10773" width="1.7109375" style="1" customWidth="1"/>
    <col min="10774" max="10774" width="41.5703125" style="1" customWidth="1"/>
    <col min="10775" max="10775" width="11.5703125" style="1" customWidth="1"/>
    <col min="10776" max="10776" width="23" style="1" customWidth="1"/>
    <col min="10777" max="10780" width="18.7109375" style="1" customWidth="1"/>
    <col min="10781" max="10781" width="1.7109375" style="1" customWidth="1"/>
    <col min="10782" max="11007" width="9.140625" style="1"/>
    <col min="11008" max="11008" width="40" style="1" customWidth="1"/>
    <col min="11009" max="11009" width="11.5703125" style="1" customWidth="1"/>
    <col min="11010" max="11010" width="24" style="1" customWidth="1"/>
    <col min="11011" max="11014" width="15.85546875" style="1" customWidth="1"/>
    <col min="11015" max="11015" width="1.7109375" style="1" customWidth="1"/>
    <col min="11016" max="11017" width="26" style="1" customWidth="1"/>
    <col min="11018" max="11018" width="1.7109375" style="1" customWidth="1"/>
    <col min="11019" max="11021" width="18.7109375" style="1" customWidth="1"/>
    <col min="11022" max="11022" width="1.7109375" style="1" customWidth="1"/>
    <col min="11023" max="11023" width="25.42578125" style="1" customWidth="1"/>
    <col min="11024" max="11024" width="20.7109375" style="1" customWidth="1"/>
    <col min="11025" max="11025" width="1.7109375" style="1" customWidth="1"/>
    <col min="11026" max="11027" width="25.42578125" style="1" customWidth="1"/>
    <col min="11028" max="11028" width="20.7109375" style="1" customWidth="1"/>
    <col min="11029" max="11029" width="1.7109375" style="1" customWidth="1"/>
    <col min="11030" max="11030" width="41.5703125" style="1" customWidth="1"/>
    <col min="11031" max="11031" width="11.5703125" style="1" customWidth="1"/>
    <col min="11032" max="11032" width="23" style="1" customWidth="1"/>
    <col min="11033" max="11036" width="18.7109375" style="1" customWidth="1"/>
    <col min="11037" max="11037" width="1.7109375" style="1" customWidth="1"/>
    <col min="11038" max="11263" width="9.140625" style="1"/>
    <col min="11264" max="11264" width="40" style="1" customWidth="1"/>
    <col min="11265" max="11265" width="11.5703125" style="1" customWidth="1"/>
    <col min="11266" max="11266" width="24" style="1" customWidth="1"/>
    <col min="11267" max="11270" width="15.85546875" style="1" customWidth="1"/>
    <col min="11271" max="11271" width="1.7109375" style="1" customWidth="1"/>
    <col min="11272" max="11273" width="26" style="1" customWidth="1"/>
    <col min="11274" max="11274" width="1.7109375" style="1" customWidth="1"/>
    <col min="11275" max="11277" width="18.7109375" style="1" customWidth="1"/>
    <col min="11278" max="11278" width="1.7109375" style="1" customWidth="1"/>
    <col min="11279" max="11279" width="25.42578125" style="1" customWidth="1"/>
    <col min="11280" max="11280" width="20.7109375" style="1" customWidth="1"/>
    <col min="11281" max="11281" width="1.7109375" style="1" customWidth="1"/>
    <col min="11282" max="11283" width="25.42578125" style="1" customWidth="1"/>
    <col min="11284" max="11284" width="20.7109375" style="1" customWidth="1"/>
    <col min="11285" max="11285" width="1.7109375" style="1" customWidth="1"/>
    <col min="11286" max="11286" width="41.5703125" style="1" customWidth="1"/>
    <col min="11287" max="11287" width="11.5703125" style="1" customWidth="1"/>
    <col min="11288" max="11288" width="23" style="1" customWidth="1"/>
    <col min="11289" max="11292" width="18.7109375" style="1" customWidth="1"/>
    <col min="11293" max="11293" width="1.7109375" style="1" customWidth="1"/>
    <col min="11294" max="11519" width="9.140625" style="1"/>
    <col min="11520" max="11520" width="40" style="1" customWidth="1"/>
    <col min="11521" max="11521" width="11.5703125" style="1" customWidth="1"/>
    <col min="11522" max="11522" width="24" style="1" customWidth="1"/>
    <col min="11523" max="11526" width="15.85546875" style="1" customWidth="1"/>
    <col min="11527" max="11527" width="1.7109375" style="1" customWidth="1"/>
    <col min="11528" max="11529" width="26" style="1" customWidth="1"/>
    <col min="11530" max="11530" width="1.7109375" style="1" customWidth="1"/>
    <col min="11531" max="11533" width="18.7109375" style="1" customWidth="1"/>
    <col min="11534" max="11534" width="1.7109375" style="1" customWidth="1"/>
    <col min="11535" max="11535" width="25.42578125" style="1" customWidth="1"/>
    <col min="11536" max="11536" width="20.7109375" style="1" customWidth="1"/>
    <col min="11537" max="11537" width="1.7109375" style="1" customWidth="1"/>
    <col min="11538" max="11539" width="25.42578125" style="1" customWidth="1"/>
    <col min="11540" max="11540" width="20.7109375" style="1" customWidth="1"/>
    <col min="11541" max="11541" width="1.7109375" style="1" customWidth="1"/>
    <col min="11542" max="11542" width="41.5703125" style="1" customWidth="1"/>
    <col min="11543" max="11543" width="11.5703125" style="1" customWidth="1"/>
    <col min="11544" max="11544" width="23" style="1" customWidth="1"/>
    <col min="11545" max="11548" width="18.7109375" style="1" customWidth="1"/>
    <col min="11549" max="11549" width="1.7109375" style="1" customWidth="1"/>
    <col min="11550" max="11775" width="9.140625" style="1"/>
    <col min="11776" max="11776" width="40" style="1" customWidth="1"/>
    <col min="11777" max="11777" width="11.5703125" style="1" customWidth="1"/>
    <col min="11778" max="11778" width="24" style="1" customWidth="1"/>
    <col min="11779" max="11782" width="15.85546875" style="1" customWidth="1"/>
    <col min="11783" max="11783" width="1.7109375" style="1" customWidth="1"/>
    <col min="11784" max="11785" width="26" style="1" customWidth="1"/>
    <col min="11786" max="11786" width="1.7109375" style="1" customWidth="1"/>
    <col min="11787" max="11789" width="18.7109375" style="1" customWidth="1"/>
    <col min="11790" max="11790" width="1.7109375" style="1" customWidth="1"/>
    <col min="11791" max="11791" width="25.42578125" style="1" customWidth="1"/>
    <col min="11792" max="11792" width="20.7109375" style="1" customWidth="1"/>
    <col min="11793" max="11793" width="1.7109375" style="1" customWidth="1"/>
    <col min="11794" max="11795" width="25.42578125" style="1" customWidth="1"/>
    <col min="11796" max="11796" width="20.7109375" style="1" customWidth="1"/>
    <col min="11797" max="11797" width="1.7109375" style="1" customWidth="1"/>
    <col min="11798" max="11798" width="41.5703125" style="1" customWidth="1"/>
    <col min="11799" max="11799" width="11.5703125" style="1" customWidth="1"/>
    <col min="11800" max="11800" width="23" style="1" customWidth="1"/>
    <col min="11801" max="11804" width="18.7109375" style="1" customWidth="1"/>
    <col min="11805" max="11805" width="1.7109375" style="1" customWidth="1"/>
    <col min="11806" max="12031" width="9.140625" style="1"/>
    <col min="12032" max="12032" width="40" style="1" customWidth="1"/>
    <col min="12033" max="12033" width="11.5703125" style="1" customWidth="1"/>
    <col min="12034" max="12034" width="24" style="1" customWidth="1"/>
    <col min="12035" max="12038" width="15.85546875" style="1" customWidth="1"/>
    <col min="12039" max="12039" width="1.7109375" style="1" customWidth="1"/>
    <col min="12040" max="12041" width="26" style="1" customWidth="1"/>
    <col min="12042" max="12042" width="1.7109375" style="1" customWidth="1"/>
    <col min="12043" max="12045" width="18.7109375" style="1" customWidth="1"/>
    <col min="12046" max="12046" width="1.7109375" style="1" customWidth="1"/>
    <col min="12047" max="12047" width="25.42578125" style="1" customWidth="1"/>
    <col min="12048" max="12048" width="20.7109375" style="1" customWidth="1"/>
    <col min="12049" max="12049" width="1.7109375" style="1" customWidth="1"/>
    <col min="12050" max="12051" width="25.42578125" style="1" customWidth="1"/>
    <col min="12052" max="12052" width="20.7109375" style="1" customWidth="1"/>
    <col min="12053" max="12053" width="1.7109375" style="1" customWidth="1"/>
    <col min="12054" max="12054" width="41.5703125" style="1" customWidth="1"/>
    <col min="12055" max="12055" width="11.5703125" style="1" customWidth="1"/>
    <col min="12056" max="12056" width="23" style="1" customWidth="1"/>
    <col min="12057" max="12060" width="18.7109375" style="1" customWidth="1"/>
    <col min="12061" max="12061" width="1.7109375" style="1" customWidth="1"/>
    <col min="12062" max="12287" width="9.140625" style="1"/>
    <col min="12288" max="12288" width="40" style="1" customWidth="1"/>
    <col min="12289" max="12289" width="11.5703125" style="1" customWidth="1"/>
    <col min="12290" max="12290" width="24" style="1" customWidth="1"/>
    <col min="12291" max="12294" width="15.85546875" style="1" customWidth="1"/>
    <col min="12295" max="12295" width="1.7109375" style="1" customWidth="1"/>
    <col min="12296" max="12297" width="26" style="1" customWidth="1"/>
    <col min="12298" max="12298" width="1.7109375" style="1" customWidth="1"/>
    <col min="12299" max="12301" width="18.7109375" style="1" customWidth="1"/>
    <col min="12302" max="12302" width="1.7109375" style="1" customWidth="1"/>
    <col min="12303" max="12303" width="25.42578125" style="1" customWidth="1"/>
    <col min="12304" max="12304" width="20.7109375" style="1" customWidth="1"/>
    <col min="12305" max="12305" width="1.7109375" style="1" customWidth="1"/>
    <col min="12306" max="12307" width="25.42578125" style="1" customWidth="1"/>
    <col min="12308" max="12308" width="20.7109375" style="1" customWidth="1"/>
    <col min="12309" max="12309" width="1.7109375" style="1" customWidth="1"/>
    <col min="12310" max="12310" width="41.5703125" style="1" customWidth="1"/>
    <col min="12311" max="12311" width="11.5703125" style="1" customWidth="1"/>
    <col min="12312" max="12312" width="23" style="1" customWidth="1"/>
    <col min="12313" max="12316" width="18.7109375" style="1" customWidth="1"/>
    <col min="12317" max="12317" width="1.7109375" style="1" customWidth="1"/>
    <col min="12318" max="12543" width="9.140625" style="1"/>
    <col min="12544" max="12544" width="40" style="1" customWidth="1"/>
    <col min="12545" max="12545" width="11.5703125" style="1" customWidth="1"/>
    <col min="12546" max="12546" width="24" style="1" customWidth="1"/>
    <col min="12547" max="12550" width="15.85546875" style="1" customWidth="1"/>
    <col min="12551" max="12551" width="1.7109375" style="1" customWidth="1"/>
    <col min="12552" max="12553" width="26" style="1" customWidth="1"/>
    <col min="12554" max="12554" width="1.7109375" style="1" customWidth="1"/>
    <col min="12555" max="12557" width="18.7109375" style="1" customWidth="1"/>
    <col min="12558" max="12558" width="1.7109375" style="1" customWidth="1"/>
    <col min="12559" max="12559" width="25.42578125" style="1" customWidth="1"/>
    <col min="12560" max="12560" width="20.7109375" style="1" customWidth="1"/>
    <col min="12561" max="12561" width="1.7109375" style="1" customWidth="1"/>
    <col min="12562" max="12563" width="25.42578125" style="1" customWidth="1"/>
    <col min="12564" max="12564" width="20.7109375" style="1" customWidth="1"/>
    <col min="12565" max="12565" width="1.7109375" style="1" customWidth="1"/>
    <col min="12566" max="12566" width="41.5703125" style="1" customWidth="1"/>
    <col min="12567" max="12567" width="11.5703125" style="1" customWidth="1"/>
    <col min="12568" max="12568" width="23" style="1" customWidth="1"/>
    <col min="12569" max="12572" width="18.7109375" style="1" customWidth="1"/>
    <col min="12573" max="12573" width="1.7109375" style="1" customWidth="1"/>
    <col min="12574" max="12799" width="9.140625" style="1"/>
    <col min="12800" max="12800" width="40" style="1" customWidth="1"/>
    <col min="12801" max="12801" width="11.5703125" style="1" customWidth="1"/>
    <col min="12802" max="12802" width="24" style="1" customWidth="1"/>
    <col min="12803" max="12806" width="15.85546875" style="1" customWidth="1"/>
    <col min="12807" max="12807" width="1.7109375" style="1" customWidth="1"/>
    <col min="12808" max="12809" width="26" style="1" customWidth="1"/>
    <col min="12810" max="12810" width="1.7109375" style="1" customWidth="1"/>
    <col min="12811" max="12813" width="18.7109375" style="1" customWidth="1"/>
    <col min="12814" max="12814" width="1.7109375" style="1" customWidth="1"/>
    <col min="12815" max="12815" width="25.42578125" style="1" customWidth="1"/>
    <col min="12816" max="12816" width="20.7109375" style="1" customWidth="1"/>
    <col min="12817" max="12817" width="1.7109375" style="1" customWidth="1"/>
    <col min="12818" max="12819" width="25.42578125" style="1" customWidth="1"/>
    <col min="12820" max="12820" width="20.7109375" style="1" customWidth="1"/>
    <col min="12821" max="12821" width="1.7109375" style="1" customWidth="1"/>
    <col min="12822" max="12822" width="41.5703125" style="1" customWidth="1"/>
    <col min="12823" max="12823" width="11.5703125" style="1" customWidth="1"/>
    <col min="12824" max="12824" width="23" style="1" customWidth="1"/>
    <col min="12825" max="12828" width="18.7109375" style="1" customWidth="1"/>
    <col min="12829" max="12829" width="1.7109375" style="1" customWidth="1"/>
    <col min="12830" max="13055" width="9.140625" style="1"/>
    <col min="13056" max="13056" width="40" style="1" customWidth="1"/>
    <col min="13057" max="13057" width="11.5703125" style="1" customWidth="1"/>
    <col min="13058" max="13058" width="24" style="1" customWidth="1"/>
    <col min="13059" max="13062" width="15.85546875" style="1" customWidth="1"/>
    <col min="13063" max="13063" width="1.7109375" style="1" customWidth="1"/>
    <col min="13064" max="13065" width="26" style="1" customWidth="1"/>
    <col min="13066" max="13066" width="1.7109375" style="1" customWidth="1"/>
    <col min="13067" max="13069" width="18.7109375" style="1" customWidth="1"/>
    <col min="13070" max="13070" width="1.7109375" style="1" customWidth="1"/>
    <col min="13071" max="13071" width="25.42578125" style="1" customWidth="1"/>
    <col min="13072" max="13072" width="20.7109375" style="1" customWidth="1"/>
    <col min="13073" max="13073" width="1.7109375" style="1" customWidth="1"/>
    <col min="13074" max="13075" width="25.42578125" style="1" customWidth="1"/>
    <col min="13076" max="13076" width="20.7109375" style="1" customWidth="1"/>
    <col min="13077" max="13077" width="1.7109375" style="1" customWidth="1"/>
    <col min="13078" max="13078" width="41.5703125" style="1" customWidth="1"/>
    <col min="13079" max="13079" width="11.5703125" style="1" customWidth="1"/>
    <col min="13080" max="13080" width="23" style="1" customWidth="1"/>
    <col min="13081" max="13084" width="18.7109375" style="1" customWidth="1"/>
    <col min="13085" max="13085" width="1.7109375" style="1" customWidth="1"/>
    <col min="13086" max="13311" width="9.140625" style="1"/>
    <col min="13312" max="13312" width="40" style="1" customWidth="1"/>
    <col min="13313" max="13313" width="11.5703125" style="1" customWidth="1"/>
    <col min="13314" max="13314" width="24" style="1" customWidth="1"/>
    <col min="13315" max="13318" width="15.85546875" style="1" customWidth="1"/>
    <col min="13319" max="13319" width="1.7109375" style="1" customWidth="1"/>
    <col min="13320" max="13321" width="26" style="1" customWidth="1"/>
    <col min="13322" max="13322" width="1.7109375" style="1" customWidth="1"/>
    <col min="13323" max="13325" width="18.7109375" style="1" customWidth="1"/>
    <col min="13326" max="13326" width="1.7109375" style="1" customWidth="1"/>
    <col min="13327" max="13327" width="25.42578125" style="1" customWidth="1"/>
    <col min="13328" max="13328" width="20.7109375" style="1" customWidth="1"/>
    <col min="13329" max="13329" width="1.7109375" style="1" customWidth="1"/>
    <col min="13330" max="13331" width="25.42578125" style="1" customWidth="1"/>
    <col min="13332" max="13332" width="20.7109375" style="1" customWidth="1"/>
    <col min="13333" max="13333" width="1.7109375" style="1" customWidth="1"/>
    <col min="13334" max="13334" width="41.5703125" style="1" customWidth="1"/>
    <col min="13335" max="13335" width="11.5703125" style="1" customWidth="1"/>
    <col min="13336" max="13336" width="23" style="1" customWidth="1"/>
    <col min="13337" max="13340" width="18.7109375" style="1" customWidth="1"/>
    <col min="13341" max="13341" width="1.7109375" style="1" customWidth="1"/>
    <col min="13342" max="13567" width="9.140625" style="1"/>
    <col min="13568" max="13568" width="40" style="1" customWidth="1"/>
    <col min="13569" max="13569" width="11.5703125" style="1" customWidth="1"/>
    <col min="13570" max="13570" width="24" style="1" customWidth="1"/>
    <col min="13571" max="13574" width="15.85546875" style="1" customWidth="1"/>
    <col min="13575" max="13575" width="1.7109375" style="1" customWidth="1"/>
    <col min="13576" max="13577" width="26" style="1" customWidth="1"/>
    <col min="13578" max="13578" width="1.7109375" style="1" customWidth="1"/>
    <col min="13579" max="13581" width="18.7109375" style="1" customWidth="1"/>
    <col min="13582" max="13582" width="1.7109375" style="1" customWidth="1"/>
    <col min="13583" max="13583" width="25.42578125" style="1" customWidth="1"/>
    <col min="13584" max="13584" width="20.7109375" style="1" customWidth="1"/>
    <col min="13585" max="13585" width="1.7109375" style="1" customWidth="1"/>
    <col min="13586" max="13587" width="25.42578125" style="1" customWidth="1"/>
    <col min="13588" max="13588" width="20.7109375" style="1" customWidth="1"/>
    <col min="13589" max="13589" width="1.7109375" style="1" customWidth="1"/>
    <col min="13590" max="13590" width="41.5703125" style="1" customWidth="1"/>
    <col min="13591" max="13591" width="11.5703125" style="1" customWidth="1"/>
    <col min="13592" max="13592" width="23" style="1" customWidth="1"/>
    <col min="13593" max="13596" width="18.7109375" style="1" customWidth="1"/>
    <col min="13597" max="13597" width="1.7109375" style="1" customWidth="1"/>
    <col min="13598" max="13823" width="9.140625" style="1"/>
    <col min="13824" max="13824" width="40" style="1" customWidth="1"/>
    <col min="13825" max="13825" width="11.5703125" style="1" customWidth="1"/>
    <col min="13826" max="13826" width="24" style="1" customWidth="1"/>
    <col min="13827" max="13830" width="15.85546875" style="1" customWidth="1"/>
    <col min="13831" max="13831" width="1.7109375" style="1" customWidth="1"/>
    <col min="13832" max="13833" width="26" style="1" customWidth="1"/>
    <col min="13834" max="13834" width="1.7109375" style="1" customWidth="1"/>
    <col min="13835" max="13837" width="18.7109375" style="1" customWidth="1"/>
    <col min="13838" max="13838" width="1.7109375" style="1" customWidth="1"/>
    <col min="13839" max="13839" width="25.42578125" style="1" customWidth="1"/>
    <col min="13840" max="13840" width="20.7109375" style="1" customWidth="1"/>
    <col min="13841" max="13841" width="1.7109375" style="1" customWidth="1"/>
    <col min="13842" max="13843" width="25.42578125" style="1" customWidth="1"/>
    <col min="13844" max="13844" width="20.7109375" style="1" customWidth="1"/>
    <col min="13845" max="13845" width="1.7109375" style="1" customWidth="1"/>
    <col min="13846" max="13846" width="41.5703125" style="1" customWidth="1"/>
    <col min="13847" max="13847" width="11.5703125" style="1" customWidth="1"/>
    <col min="13848" max="13848" width="23" style="1" customWidth="1"/>
    <col min="13849" max="13852" width="18.7109375" style="1" customWidth="1"/>
    <col min="13853" max="13853" width="1.7109375" style="1" customWidth="1"/>
    <col min="13854" max="14079" width="9.140625" style="1"/>
    <col min="14080" max="14080" width="40" style="1" customWidth="1"/>
    <col min="14081" max="14081" width="11.5703125" style="1" customWidth="1"/>
    <col min="14082" max="14082" width="24" style="1" customWidth="1"/>
    <col min="14083" max="14086" width="15.85546875" style="1" customWidth="1"/>
    <col min="14087" max="14087" width="1.7109375" style="1" customWidth="1"/>
    <col min="14088" max="14089" width="26" style="1" customWidth="1"/>
    <col min="14090" max="14090" width="1.7109375" style="1" customWidth="1"/>
    <col min="14091" max="14093" width="18.7109375" style="1" customWidth="1"/>
    <col min="14094" max="14094" width="1.7109375" style="1" customWidth="1"/>
    <col min="14095" max="14095" width="25.42578125" style="1" customWidth="1"/>
    <col min="14096" max="14096" width="20.7109375" style="1" customWidth="1"/>
    <col min="14097" max="14097" width="1.7109375" style="1" customWidth="1"/>
    <col min="14098" max="14099" width="25.42578125" style="1" customWidth="1"/>
    <col min="14100" max="14100" width="20.7109375" style="1" customWidth="1"/>
    <col min="14101" max="14101" width="1.7109375" style="1" customWidth="1"/>
    <col min="14102" max="14102" width="41.5703125" style="1" customWidth="1"/>
    <col min="14103" max="14103" width="11.5703125" style="1" customWidth="1"/>
    <col min="14104" max="14104" width="23" style="1" customWidth="1"/>
    <col min="14105" max="14108" width="18.7109375" style="1" customWidth="1"/>
    <col min="14109" max="14109" width="1.7109375" style="1" customWidth="1"/>
    <col min="14110" max="14335" width="9.140625" style="1"/>
    <col min="14336" max="14336" width="40" style="1" customWidth="1"/>
    <col min="14337" max="14337" width="11.5703125" style="1" customWidth="1"/>
    <col min="14338" max="14338" width="24" style="1" customWidth="1"/>
    <col min="14339" max="14342" width="15.85546875" style="1" customWidth="1"/>
    <col min="14343" max="14343" width="1.7109375" style="1" customWidth="1"/>
    <col min="14344" max="14345" width="26" style="1" customWidth="1"/>
    <col min="14346" max="14346" width="1.7109375" style="1" customWidth="1"/>
    <col min="14347" max="14349" width="18.7109375" style="1" customWidth="1"/>
    <col min="14350" max="14350" width="1.7109375" style="1" customWidth="1"/>
    <col min="14351" max="14351" width="25.42578125" style="1" customWidth="1"/>
    <col min="14352" max="14352" width="20.7109375" style="1" customWidth="1"/>
    <col min="14353" max="14353" width="1.7109375" style="1" customWidth="1"/>
    <col min="14354" max="14355" width="25.42578125" style="1" customWidth="1"/>
    <col min="14356" max="14356" width="20.7109375" style="1" customWidth="1"/>
    <col min="14357" max="14357" width="1.7109375" style="1" customWidth="1"/>
    <col min="14358" max="14358" width="41.5703125" style="1" customWidth="1"/>
    <col min="14359" max="14359" width="11.5703125" style="1" customWidth="1"/>
    <col min="14360" max="14360" width="23" style="1" customWidth="1"/>
    <col min="14361" max="14364" width="18.7109375" style="1" customWidth="1"/>
    <col min="14365" max="14365" width="1.7109375" style="1" customWidth="1"/>
    <col min="14366" max="14591" width="9.140625" style="1"/>
    <col min="14592" max="14592" width="40" style="1" customWidth="1"/>
    <col min="14593" max="14593" width="11.5703125" style="1" customWidth="1"/>
    <col min="14594" max="14594" width="24" style="1" customWidth="1"/>
    <col min="14595" max="14598" width="15.85546875" style="1" customWidth="1"/>
    <col min="14599" max="14599" width="1.7109375" style="1" customWidth="1"/>
    <col min="14600" max="14601" width="26" style="1" customWidth="1"/>
    <col min="14602" max="14602" width="1.7109375" style="1" customWidth="1"/>
    <col min="14603" max="14605" width="18.7109375" style="1" customWidth="1"/>
    <col min="14606" max="14606" width="1.7109375" style="1" customWidth="1"/>
    <col min="14607" max="14607" width="25.42578125" style="1" customWidth="1"/>
    <col min="14608" max="14608" width="20.7109375" style="1" customWidth="1"/>
    <col min="14609" max="14609" width="1.7109375" style="1" customWidth="1"/>
    <col min="14610" max="14611" width="25.42578125" style="1" customWidth="1"/>
    <col min="14612" max="14612" width="20.7109375" style="1" customWidth="1"/>
    <col min="14613" max="14613" width="1.7109375" style="1" customWidth="1"/>
    <col min="14614" max="14614" width="41.5703125" style="1" customWidth="1"/>
    <col min="14615" max="14615" width="11.5703125" style="1" customWidth="1"/>
    <col min="14616" max="14616" width="23" style="1" customWidth="1"/>
    <col min="14617" max="14620" width="18.7109375" style="1" customWidth="1"/>
    <col min="14621" max="14621" width="1.7109375" style="1" customWidth="1"/>
    <col min="14622" max="14847" width="9.140625" style="1"/>
    <col min="14848" max="14848" width="40" style="1" customWidth="1"/>
    <col min="14849" max="14849" width="11.5703125" style="1" customWidth="1"/>
    <col min="14850" max="14850" width="24" style="1" customWidth="1"/>
    <col min="14851" max="14854" width="15.85546875" style="1" customWidth="1"/>
    <col min="14855" max="14855" width="1.7109375" style="1" customWidth="1"/>
    <col min="14856" max="14857" width="26" style="1" customWidth="1"/>
    <col min="14858" max="14858" width="1.7109375" style="1" customWidth="1"/>
    <col min="14859" max="14861" width="18.7109375" style="1" customWidth="1"/>
    <col min="14862" max="14862" width="1.7109375" style="1" customWidth="1"/>
    <col min="14863" max="14863" width="25.42578125" style="1" customWidth="1"/>
    <col min="14864" max="14864" width="20.7109375" style="1" customWidth="1"/>
    <col min="14865" max="14865" width="1.7109375" style="1" customWidth="1"/>
    <col min="14866" max="14867" width="25.42578125" style="1" customWidth="1"/>
    <col min="14868" max="14868" width="20.7109375" style="1" customWidth="1"/>
    <col min="14869" max="14869" width="1.7109375" style="1" customWidth="1"/>
    <col min="14870" max="14870" width="41.5703125" style="1" customWidth="1"/>
    <col min="14871" max="14871" width="11.5703125" style="1" customWidth="1"/>
    <col min="14872" max="14872" width="23" style="1" customWidth="1"/>
    <col min="14873" max="14876" width="18.7109375" style="1" customWidth="1"/>
    <col min="14877" max="14877" width="1.7109375" style="1" customWidth="1"/>
    <col min="14878" max="15103" width="9.140625" style="1"/>
    <col min="15104" max="15104" width="40" style="1" customWidth="1"/>
    <col min="15105" max="15105" width="11.5703125" style="1" customWidth="1"/>
    <col min="15106" max="15106" width="24" style="1" customWidth="1"/>
    <col min="15107" max="15110" width="15.85546875" style="1" customWidth="1"/>
    <col min="15111" max="15111" width="1.7109375" style="1" customWidth="1"/>
    <col min="15112" max="15113" width="26" style="1" customWidth="1"/>
    <col min="15114" max="15114" width="1.7109375" style="1" customWidth="1"/>
    <col min="15115" max="15117" width="18.7109375" style="1" customWidth="1"/>
    <col min="15118" max="15118" width="1.7109375" style="1" customWidth="1"/>
    <col min="15119" max="15119" width="25.42578125" style="1" customWidth="1"/>
    <col min="15120" max="15120" width="20.7109375" style="1" customWidth="1"/>
    <col min="15121" max="15121" width="1.7109375" style="1" customWidth="1"/>
    <col min="15122" max="15123" width="25.42578125" style="1" customWidth="1"/>
    <col min="15124" max="15124" width="20.7109375" style="1" customWidth="1"/>
    <col min="15125" max="15125" width="1.7109375" style="1" customWidth="1"/>
    <col min="15126" max="15126" width="41.5703125" style="1" customWidth="1"/>
    <col min="15127" max="15127" width="11.5703125" style="1" customWidth="1"/>
    <col min="15128" max="15128" width="23" style="1" customWidth="1"/>
    <col min="15129" max="15132" width="18.7109375" style="1" customWidth="1"/>
    <col min="15133" max="15133" width="1.7109375" style="1" customWidth="1"/>
    <col min="15134" max="15359" width="9.140625" style="1"/>
    <col min="15360" max="15360" width="40" style="1" customWidth="1"/>
    <col min="15361" max="15361" width="11.5703125" style="1" customWidth="1"/>
    <col min="15362" max="15362" width="24" style="1" customWidth="1"/>
    <col min="15363" max="15366" width="15.85546875" style="1" customWidth="1"/>
    <col min="15367" max="15367" width="1.7109375" style="1" customWidth="1"/>
    <col min="15368" max="15369" width="26" style="1" customWidth="1"/>
    <col min="15370" max="15370" width="1.7109375" style="1" customWidth="1"/>
    <col min="15371" max="15373" width="18.7109375" style="1" customWidth="1"/>
    <col min="15374" max="15374" width="1.7109375" style="1" customWidth="1"/>
    <col min="15375" max="15375" width="25.42578125" style="1" customWidth="1"/>
    <col min="15376" max="15376" width="20.7109375" style="1" customWidth="1"/>
    <col min="15377" max="15377" width="1.7109375" style="1" customWidth="1"/>
    <col min="15378" max="15379" width="25.42578125" style="1" customWidth="1"/>
    <col min="15380" max="15380" width="20.7109375" style="1" customWidth="1"/>
    <col min="15381" max="15381" width="1.7109375" style="1" customWidth="1"/>
    <col min="15382" max="15382" width="41.5703125" style="1" customWidth="1"/>
    <col min="15383" max="15383" width="11.5703125" style="1" customWidth="1"/>
    <col min="15384" max="15384" width="23" style="1" customWidth="1"/>
    <col min="15385" max="15388" width="18.7109375" style="1" customWidth="1"/>
    <col min="15389" max="15389" width="1.7109375" style="1" customWidth="1"/>
    <col min="15390" max="15615" width="9.140625" style="1"/>
    <col min="15616" max="15616" width="40" style="1" customWidth="1"/>
    <col min="15617" max="15617" width="11.5703125" style="1" customWidth="1"/>
    <col min="15618" max="15618" width="24" style="1" customWidth="1"/>
    <col min="15619" max="15622" width="15.85546875" style="1" customWidth="1"/>
    <col min="15623" max="15623" width="1.7109375" style="1" customWidth="1"/>
    <col min="15624" max="15625" width="26" style="1" customWidth="1"/>
    <col min="15626" max="15626" width="1.7109375" style="1" customWidth="1"/>
    <col min="15627" max="15629" width="18.7109375" style="1" customWidth="1"/>
    <col min="15630" max="15630" width="1.7109375" style="1" customWidth="1"/>
    <col min="15631" max="15631" width="25.42578125" style="1" customWidth="1"/>
    <col min="15632" max="15632" width="20.7109375" style="1" customWidth="1"/>
    <col min="15633" max="15633" width="1.7109375" style="1" customWidth="1"/>
    <col min="15634" max="15635" width="25.42578125" style="1" customWidth="1"/>
    <col min="15636" max="15636" width="20.7109375" style="1" customWidth="1"/>
    <col min="15637" max="15637" width="1.7109375" style="1" customWidth="1"/>
    <col min="15638" max="15638" width="41.5703125" style="1" customWidth="1"/>
    <col min="15639" max="15639" width="11.5703125" style="1" customWidth="1"/>
    <col min="15640" max="15640" width="23" style="1" customWidth="1"/>
    <col min="15641" max="15644" width="18.7109375" style="1" customWidth="1"/>
    <col min="15645" max="15645" width="1.7109375" style="1" customWidth="1"/>
    <col min="15646" max="15871" width="9.140625" style="1"/>
    <col min="15872" max="15872" width="40" style="1" customWidth="1"/>
    <col min="15873" max="15873" width="11.5703125" style="1" customWidth="1"/>
    <col min="15874" max="15874" width="24" style="1" customWidth="1"/>
    <col min="15875" max="15878" width="15.85546875" style="1" customWidth="1"/>
    <col min="15879" max="15879" width="1.7109375" style="1" customWidth="1"/>
    <col min="15880" max="15881" width="26" style="1" customWidth="1"/>
    <col min="15882" max="15882" width="1.7109375" style="1" customWidth="1"/>
    <col min="15883" max="15885" width="18.7109375" style="1" customWidth="1"/>
    <col min="15886" max="15886" width="1.7109375" style="1" customWidth="1"/>
    <col min="15887" max="15887" width="25.42578125" style="1" customWidth="1"/>
    <col min="15888" max="15888" width="20.7109375" style="1" customWidth="1"/>
    <col min="15889" max="15889" width="1.7109375" style="1" customWidth="1"/>
    <col min="15890" max="15891" width="25.42578125" style="1" customWidth="1"/>
    <col min="15892" max="15892" width="20.7109375" style="1" customWidth="1"/>
    <col min="15893" max="15893" width="1.7109375" style="1" customWidth="1"/>
    <col min="15894" max="15894" width="41.5703125" style="1" customWidth="1"/>
    <col min="15895" max="15895" width="11.5703125" style="1" customWidth="1"/>
    <col min="15896" max="15896" width="23" style="1" customWidth="1"/>
    <col min="15897" max="15900" width="18.7109375" style="1" customWidth="1"/>
    <col min="15901" max="15901" width="1.7109375" style="1" customWidth="1"/>
    <col min="15902" max="16127" width="9.140625" style="1"/>
    <col min="16128" max="16128" width="40" style="1" customWidth="1"/>
    <col min="16129" max="16129" width="11.5703125" style="1" customWidth="1"/>
    <col min="16130" max="16130" width="24" style="1" customWidth="1"/>
    <col min="16131" max="16134" width="15.85546875" style="1" customWidth="1"/>
    <col min="16135" max="16135" width="1.7109375" style="1" customWidth="1"/>
    <col min="16136" max="16137" width="26" style="1" customWidth="1"/>
    <col min="16138" max="16138" width="1.7109375" style="1" customWidth="1"/>
    <col min="16139" max="16141" width="18.7109375" style="1" customWidth="1"/>
    <col min="16142" max="16142" width="1.7109375" style="1" customWidth="1"/>
    <col min="16143" max="16143" width="25.42578125" style="1" customWidth="1"/>
    <col min="16144" max="16144" width="20.7109375" style="1" customWidth="1"/>
    <col min="16145" max="16145" width="1.7109375" style="1" customWidth="1"/>
    <col min="16146" max="16147" width="25.42578125" style="1" customWidth="1"/>
    <col min="16148" max="16148" width="20.7109375" style="1" customWidth="1"/>
    <col min="16149" max="16149" width="1.7109375" style="1" customWidth="1"/>
    <col min="16150" max="16150" width="41.5703125" style="1" customWidth="1"/>
    <col min="16151" max="16151" width="11.5703125" style="1" customWidth="1"/>
    <col min="16152" max="16152" width="23" style="1" customWidth="1"/>
    <col min="16153" max="16156" width="18.7109375" style="1" customWidth="1"/>
    <col min="16157" max="16157" width="1.7109375" style="1" customWidth="1"/>
    <col min="16158" max="16384" width="9.140625" style="1"/>
  </cols>
  <sheetData>
    <row r="1" spans="2:28" s="97" customFormat="1" ht="81.75" customHeight="1" x14ac:dyDescent="0.25">
      <c r="B1" s="219" t="s">
        <v>371</v>
      </c>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row>
    <row r="2" spans="2:28" ht="33" customHeight="1" x14ac:dyDescent="0.25">
      <c r="B2" s="120" t="s">
        <v>369</v>
      </c>
      <c r="C2" s="224" t="s">
        <v>355</v>
      </c>
      <c r="D2" s="225"/>
      <c r="E2" s="225"/>
      <c r="F2" s="225"/>
      <c r="G2" s="225"/>
      <c r="H2" s="225"/>
      <c r="I2" s="110"/>
      <c r="J2" s="110"/>
      <c r="K2" s="110"/>
      <c r="L2" s="110"/>
      <c r="M2" s="110"/>
      <c r="N2" s="110"/>
      <c r="O2" s="110"/>
      <c r="P2" s="110"/>
      <c r="Q2" s="110"/>
      <c r="R2" s="110"/>
      <c r="S2" s="110"/>
      <c r="T2" s="110"/>
      <c r="U2" s="110"/>
      <c r="V2" s="110"/>
      <c r="W2" s="110"/>
      <c r="X2" s="110"/>
      <c r="Y2" s="110"/>
      <c r="Z2" s="110"/>
      <c r="AA2" s="110"/>
      <c r="AB2" s="110"/>
    </row>
    <row r="3" spans="2:28" ht="33" customHeight="1" x14ac:dyDescent="0.25">
      <c r="B3" s="120" t="s">
        <v>253</v>
      </c>
      <c r="C3" s="222" t="s">
        <v>370</v>
      </c>
      <c r="D3" s="223"/>
      <c r="E3" s="223"/>
      <c r="F3" s="223"/>
      <c r="G3" s="223"/>
      <c r="H3" s="223"/>
      <c r="I3" s="110"/>
      <c r="J3" s="110"/>
      <c r="K3" s="110"/>
      <c r="L3" s="110"/>
      <c r="M3" s="110"/>
      <c r="N3" s="110"/>
      <c r="O3" s="110"/>
      <c r="P3" s="110"/>
      <c r="Q3" s="110"/>
      <c r="R3" s="110"/>
      <c r="S3" s="110"/>
      <c r="T3" s="110"/>
      <c r="U3" s="110"/>
      <c r="V3" s="110"/>
      <c r="W3" s="110"/>
      <c r="X3" s="110"/>
      <c r="Y3" s="110"/>
      <c r="Z3" s="110"/>
      <c r="AA3" s="110"/>
      <c r="AB3" s="110"/>
    </row>
    <row r="4" spans="2:28" s="111" customFormat="1" ht="19.5" customHeight="1" x14ac:dyDescent="0.25">
      <c r="B4" s="221" t="s">
        <v>246</v>
      </c>
      <c r="C4" s="221"/>
      <c r="D4" s="221"/>
      <c r="E4" s="221"/>
      <c r="F4" s="221"/>
      <c r="G4" s="221"/>
      <c r="I4" s="221" t="s">
        <v>247</v>
      </c>
      <c r="J4" s="221"/>
      <c r="L4" s="221" t="s">
        <v>248</v>
      </c>
      <c r="M4" s="221"/>
      <c r="N4" s="221"/>
      <c r="P4" s="221" t="s">
        <v>249</v>
      </c>
      <c r="Q4" s="221"/>
      <c r="S4" s="221" t="s">
        <v>250</v>
      </c>
      <c r="T4" s="221"/>
      <c r="U4" s="221"/>
      <c r="W4" s="221" t="s">
        <v>251</v>
      </c>
      <c r="X4" s="221"/>
      <c r="Y4" s="221"/>
      <c r="Z4" s="221"/>
      <c r="AA4" s="221"/>
      <c r="AB4" s="221"/>
    </row>
    <row r="5" spans="2:28" s="112" customFormat="1" ht="157.5" customHeight="1" x14ac:dyDescent="0.25">
      <c r="B5" s="227" t="s">
        <v>357</v>
      </c>
      <c r="C5" s="228"/>
      <c r="D5" s="228"/>
      <c r="E5" s="228"/>
      <c r="F5" s="228"/>
      <c r="G5" s="229"/>
      <c r="I5" s="227" t="s">
        <v>362</v>
      </c>
      <c r="J5" s="229"/>
      <c r="L5" s="227" t="s">
        <v>368</v>
      </c>
      <c r="M5" s="228"/>
      <c r="N5" s="229"/>
      <c r="P5" s="227" t="s">
        <v>356</v>
      </c>
      <c r="Q5" s="229"/>
      <c r="S5" s="227" t="s">
        <v>363</v>
      </c>
      <c r="T5" s="228"/>
      <c r="U5" s="229"/>
      <c r="W5" s="213" t="s">
        <v>364</v>
      </c>
      <c r="X5" s="214"/>
      <c r="Y5" s="214"/>
      <c r="Z5" s="214"/>
      <c r="AA5" s="214"/>
      <c r="AB5" s="215"/>
    </row>
    <row r="6" spans="2:28" s="113" customFormat="1" ht="80.25" customHeight="1" x14ac:dyDescent="0.25">
      <c r="B6" s="230"/>
      <c r="C6" s="231"/>
      <c r="D6" s="231"/>
      <c r="E6" s="231"/>
      <c r="F6" s="231"/>
      <c r="G6" s="232"/>
      <c r="I6" s="230"/>
      <c r="J6" s="232"/>
      <c r="L6" s="230"/>
      <c r="M6" s="231"/>
      <c r="N6" s="232"/>
      <c r="P6" s="230"/>
      <c r="Q6" s="232"/>
      <c r="S6" s="230"/>
      <c r="T6" s="231"/>
      <c r="U6" s="232"/>
      <c r="W6" s="216" t="s">
        <v>252</v>
      </c>
      <c r="X6" s="217"/>
      <c r="Y6" s="217"/>
      <c r="Z6" s="217"/>
      <c r="AA6" s="217"/>
      <c r="AB6" s="218"/>
    </row>
    <row r="7" spans="2:28" ht="82.5" customHeight="1" x14ac:dyDescent="0.25">
      <c r="B7" s="2" t="s">
        <v>0</v>
      </c>
      <c r="C7" s="2" t="s">
        <v>182</v>
      </c>
      <c r="D7" s="2" t="s">
        <v>135</v>
      </c>
      <c r="E7" s="3" t="s">
        <v>133</v>
      </c>
      <c r="F7" s="3" t="s">
        <v>360</v>
      </c>
      <c r="G7" s="3" t="s">
        <v>358</v>
      </c>
      <c r="I7" s="3" t="s">
        <v>28</v>
      </c>
      <c r="J7" s="3" t="s">
        <v>177</v>
      </c>
      <c r="L7" s="9" t="s">
        <v>234</v>
      </c>
      <c r="M7" s="9" t="s">
        <v>228</v>
      </c>
      <c r="N7" s="9" t="s">
        <v>226</v>
      </c>
      <c r="P7" s="216" t="s">
        <v>381</v>
      </c>
      <c r="Q7" s="226"/>
      <c r="S7" s="216" t="s">
        <v>382</v>
      </c>
      <c r="T7" s="217"/>
      <c r="U7" s="226"/>
      <c r="W7" s="2" t="s">
        <v>0</v>
      </c>
      <c r="X7" s="2" t="s">
        <v>182</v>
      </c>
      <c r="Y7" s="9" t="s">
        <v>337</v>
      </c>
      <c r="Z7" s="9" t="s">
        <v>338</v>
      </c>
      <c r="AA7" s="9" t="s">
        <v>367</v>
      </c>
      <c r="AB7" s="9" t="s">
        <v>339</v>
      </c>
    </row>
    <row r="8" spans="2:28" ht="15" customHeight="1" x14ac:dyDescent="0.25">
      <c r="B8" s="135" t="str">
        <f>Rates!C4</f>
        <v>Austria</v>
      </c>
      <c r="C8" s="135" t="str">
        <f>Rates!D4</f>
        <v>Programme Countries</v>
      </c>
      <c r="D8" s="99">
        <f>Rates!E4</f>
        <v>294</v>
      </c>
      <c r="E8" s="99">
        <f>Rates!F4</f>
        <v>241</v>
      </c>
      <c r="F8" s="99">
        <f>Rates!G4</f>
        <v>190</v>
      </c>
      <c r="G8" s="99">
        <f>Rates!H4</f>
        <v>157</v>
      </c>
      <c r="I8" s="98" t="str">
        <f>Rates!P4</f>
        <v>0 KM and 99 KM</v>
      </c>
      <c r="J8" s="98">
        <f>Rates!Q4</f>
        <v>0</v>
      </c>
      <c r="L8" s="13">
        <v>1</v>
      </c>
      <c r="M8" s="99">
        <f>L8*55</f>
        <v>55</v>
      </c>
      <c r="N8" s="99">
        <f>L8*120</f>
        <v>120</v>
      </c>
      <c r="P8" s="11"/>
      <c r="Q8" s="14"/>
      <c r="S8" s="11"/>
      <c r="T8" s="11"/>
      <c r="U8" s="14"/>
      <c r="W8" s="131" t="str">
        <f>Rates!N4</f>
        <v>Austria</v>
      </c>
      <c r="X8" s="131" t="str">
        <f>VLOOKUP(W8,Rates!$C$4:$L$182,2,FALSE)</f>
        <v>Programme Countries</v>
      </c>
      <c r="Y8" s="132">
        <f>VLOOKUP(W8,Rates!$C$4:$L$182,7,FALSE)</f>
        <v>850</v>
      </c>
      <c r="Z8" s="132">
        <f>VLOOKUP(W8,Rates!$C$4:$L$182,8,FALSE)</f>
        <v>0</v>
      </c>
      <c r="AA8" s="133">
        <f>VLOOKUP(W8,Rates!$C$4:$L$182,9,FALSE)</f>
        <v>140</v>
      </c>
      <c r="AB8" s="134">
        <f>VLOOKUP(W8,Rates!$C$4:$L$182,10,FALSE)</f>
        <v>0</v>
      </c>
    </row>
    <row r="9" spans="2:28" x14ac:dyDescent="0.25">
      <c r="B9" s="135" t="str">
        <f>Rates!C5</f>
        <v>Belgium</v>
      </c>
      <c r="C9" s="135" t="str">
        <f>Rates!D5</f>
        <v>Programme Countries</v>
      </c>
      <c r="D9" s="99">
        <f>Rates!E5</f>
        <v>280</v>
      </c>
      <c r="E9" s="99">
        <f>Rates!F5</f>
        <v>214</v>
      </c>
      <c r="F9" s="99">
        <f>Rates!G5</f>
        <v>162</v>
      </c>
      <c r="G9" s="99">
        <f>Rates!H5</f>
        <v>131</v>
      </c>
      <c r="I9" s="98" t="str">
        <f>Rates!P5</f>
        <v>100 KM and 499 KM</v>
      </c>
      <c r="J9" s="98">
        <f>Rates!Q5</f>
        <v>180</v>
      </c>
      <c r="L9" s="13">
        <v>2</v>
      </c>
      <c r="M9" s="99">
        <f t="shared" ref="M9:M21" si="0">L9*55</f>
        <v>110</v>
      </c>
      <c r="N9" s="99">
        <f t="shared" ref="N9:N21" si="1">L9*120</f>
        <v>240</v>
      </c>
      <c r="Q9" s="14"/>
      <c r="U9" s="14"/>
      <c r="W9" s="131" t="str">
        <f>Rates!N5</f>
        <v>Belgium</v>
      </c>
      <c r="X9" s="131" t="str">
        <f>VLOOKUP(W9,Rates!$C$4:$L$182,2,FALSE)</f>
        <v>Programme Countries</v>
      </c>
      <c r="Y9" s="132">
        <f>VLOOKUP(W9,Rates!$C$4:$L$182,7,FALSE)</f>
        <v>800</v>
      </c>
      <c r="Z9" s="132">
        <f>VLOOKUP(W9,Rates!$C$4:$L$182,8,FALSE)</f>
        <v>0</v>
      </c>
      <c r="AA9" s="133">
        <f>VLOOKUP(W9,Rates!$C$4:$L$182,9,FALSE)</f>
        <v>140</v>
      </c>
      <c r="AB9" s="134">
        <f>VLOOKUP(W9,Rates!$C$4:$L$182,10,FALSE)</f>
        <v>0</v>
      </c>
    </row>
    <row r="10" spans="2:28" x14ac:dyDescent="0.25">
      <c r="B10" s="135" t="str">
        <f>Rates!C6</f>
        <v>Bulgaria</v>
      </c>
      <c r="C10" s="135" t="str">
        <f>Rates!D6</f>
        <v>Programme Countries</v>
      </c>
      <c r="D10" s="99">
        <f>Rates!E6</f>
        <v>88</v>
      </c>
      <c r="E10" s="99">
        <f>Rates!F6</f>
        <v>74</v>
      </c>
      <c r="F10" s="99">
        <f>Rates!G6</f>
        <v>55</v>
      </c>
      <c r="G10" s="99">
        <f>Rates!H6</f>
        <v>39</v>
      </c>
      <c r="I10" s="98" t="str">
        <f>Rates!P6</f>
        <v>500 KM and 1999 KM</v>
      </c>
      <c r="J10" s="98">
        <f>Rates!Q6</f>
        <v>275</v>
      </c>
      <c r="L10" s="13">
        <v>3</v>
      </c>
      <c r="M10" s="99">
        <f t="shared" si="0"/>
        <v>165</v>
      </c>
      <c r="N10" s="99">
        <f t="shared" si="1"/>
        <v>360</v>
      </c>
      <c r="W10" s="131" t="str">
        <f>Rates!N6</f>
        <v>Bulgaria</v>
      </c>
      <c r="X10" s="131" t="str">
        <f>VLOOKUP(W10,Rates!$C$4:$L$182,2,FALSE)</f>
        <v>Programme Countries</v>
      </c>
      <c r="Y10" s="132">
        <f>VLOOKUP(W10,Rates!$C$4:$L$182,7,FALSE)</f>
        <v>750</v>
      </c>
      <c r="Z10" s="132">
        <f>VLOOKUP(W10,Rates!$C$4:$L$182,8,FALSE)</f>
        <v>0</v>
      </c>
      <c r="AA10" s="133">
        <f>VLOOKUP(W10,Rates!$C$4:$L$182,9,FALSE)</f>
        <v>140</v>
      </c>
      <c r="AB10" s="134">
        <f>VLOOKUP(W10,Rates!$C$4:$L$182,10,FALSE)</f>
        <v>0</v>
      </c>
    </row>
    <row r="11" spans="2:28" x14ac:dyDescent="0.25">
      <c r="B11" s="135" t="str">
        <f>Rates!C7</f>
        <v>Croatia</v>
      </c>
      <c r="C11" s="135" t="str">
        <f>Rates!D7</f>
        <v>Programme Countries</v>
      </c>
      <c r="D11" s="99">
        <f>Rates!E7</f>
        <v>88</v>
      </c>
      <c r="E11" s="99">
        <f>Rates!F7</f>
        <v>74</v>
      </c>
      <c r="F11" s="99">
        <f>Rates!G7</f>
        <v>55</v>
      </c>
      <c r="G11" s="99">
        <f>Rates!H7</f>
        <v>39</v>
      </c>
      <c r="I11" s="98" t="str">
        <f>Rates!P7</f>
        <v>2000 KM and 2999 KM</v>
      </c>
      <c r="J11" s="98">
        <f>Rates!Q7</f>
        <v>360</v>
      </c>
      <c r="L11" s="13">
        <v>4</v>
      </c>
      <c r="M11" s="99">
        <f t="shared" si="0"/>
        <v>220</v>
      </c>
      <c r="N11" s="99">
        <f t="shared" si="1"/>
        <v>480</v>
      </c>
      <c r="W11" s="131" t="str">
        <f>Rates!N7</f>
        <v>Croatia</v>
      </c>
      <c r="X11" s="131" t="str">
        <f>VLOOKUP(W11,Rates!$C$4:$L$182,2,FALSE)</f>
        <v>Programme Countries</v>
      </c>
      <c r="Y11" s="132">
        <f>VLOOKUP(W11,Rates!$C$4:$L$182,7,FALSE)</f>
        <v>800</v>
      </c>
      <c r="Z11" s="132">
        <f>VLOOKUP(W11,Rates!$C$4:$L$182,8,FALSE)</f>
        <v>0</v>
      </c>
      <c r="AA11" s="133">
        <f>VLOOKUP(W11,Rates!$C$4:$L$182,9,FALSE)</f>
        <v>100</v>
      </c>
      <c r="AB11" s="134">
        <f>VLOOKUP(W11,Rates!$C$4:$L$182,10,FALSE)</f>
        <v>0</v>
      </c>
    </row>
    <row r="12" spans="2:28" x14ac:dyDescent="0.25">
      <c r="B12" s="135" t="str">
        <f>Rates!C8</f>
        <v>Cyprus</v>
      </c>
      <c r="C12" s="135" t="str">
        <f>Rates!D8</f>
        <v>Programme Countries</v>
      </c>
      <c r="D12" s="99">
        <f>Rates!E8</f>
        <v>164</v>
      </c>
      <c r="E12" s="99">
        <f>Rates!F8</f>
        <v>137</v>
      </c>
      <c r="F12" s="99">
        <f>Rates!G8</f>
        <v>102</v>
      </c>
      <c r="G12" s="99">
        <f>Rates!H8</f>
        <v>78</v>
      </c>
      <c r="I12" s="98" t="str">
        <f>Rates!P8</f>
        <v>3000 KM and 3999 KM</v>
      </c>
      <c r="J12" s="98">
        <f>Rates!Q8</f>
        <v>530</v>
      </c>
      <c r="L12" s="13">
        <v>5</v>
      </c>
      <c r="M12" s="99">
        <f t="shared" si="0"/>
        <v>275</v>
      </c>
      <c r="N12" s="99">
        <f t="shared" si="1"/>
        <v>600</v>
      </c>
      <c r="W12" s="131" t="str">
        <f>Rates!N8</f>
        <v>Cyprus</v>
      </c>
      <c r="X12" s="131" t="str">
        <f>VLOOKUP(W12,Rates!$C$4:$L$182,2,FALSE)</f>
        <v>Programme Countries</v>
      </c>
      <c r="Y12" s="132">
        <f>VLOOKUP(W12,Rates!$C$4:$L$182,7,FALSE)</f>
        <v>800</v>
      </c>
      <c r="Z12" s="132">
        <f>VLOOKUP(W12,Rates!$C$4:$L$182,8,FALSE)</f>
        <v>0</v>
      </c>
      <c r="AA12" s="133">
        <f>VLOOKUP(W12,Rates!$C$4:$L$182,9,FALSE)</f>
        <v>140</v>
      </c>
      <c r="AB12" s="134">
        <f>VLOOKUP(W12,Rates!$C$4:$L$182,10,FALSE)</f>
        <v>0</v>
      </c>
    </row>
    <row r="13" spans="2:28" x14ac:dyDescent="0.25">
      <c r="B13" s="135" t="str">
        <f>Rates!C9</f>
        <v>Czech Republic</v>
      </c>
      <c r="C13" s="135" t="str">
        <f>Rates!D9</f>
        <v>Programme Countries</v>
      </c>
      <c r="D13" s="99">
        <f>Rates!E9</f>
        <v>164</v>
      </c>
      <c r="E13" s="99">
        <f>Rates!F9</f>
        <v>137</v>
      </c>
      <c r="F13" s="99">
        <f>Rates!G9</f>
        <v>102</v>
      </c>
      <c r="G13" s="99">
        <f>Rates!H9</f>
        <v>78</v>
      </c>
      <c r="I13" s="98" t="str">
        <f>Rates!P9</f>
        <v>4000 KM and 7999 KM</v>
      </c>
      <c r="J13" s="98">
        <f>Rates!Q9</f>
        <v>820</v>
      </c>
      <c r="L13" s="13">
        <v>6</v>
      </c>
      <c r="M13" s="99">
        <f t="shared" si="0"/>
        <v>330</v>
      </c>
      <c r="N13" s="99">
        <f t="shared" si="1"/>
        <v>720</v>
      </c>
      <c r="W13" s="131" t="str">
        <f>Rates!N9</f>
        <v>Czech Republic</v>
      </c>
      <c r="X13" s="131" t="str">
        <f>VLOOKUP(W13,Rates!$C$4:$L$182,2,FALSE)</f>
        <v>Programme Countries</v>
      </c>
      <c r="Y13" s="132">
        <f>VLOOKUP(W13,Rates!$C$4:$L$182,7,FALSE)</f>
        <v>800</v>
      </c>
      <c r="Z13" s="132">
        <f>VLOOKUP(W13,Rates!$C$4:$L$182,8,FALSE)</f>
        <v>0</v>
      </c>
      <c r="AA13" s="133">
        <f>VLOOKUP(W13,Rates!$C$4:$L$182,9,FALSE)</f>
        <v>140</v>
      </c>
      <c r="AB13" s="134">
        <f>VLOOKUP(W13,Rates!$C$4:$L$182,10,FALSE)</f>
        <v>0</v>
      </c>
    </row>
    <row r="14" spans="2:28" x14ac:dyDescent="0.25">
      <c r="B14" s="135" t="str">
        <f>Rates!C10</f>
        <v>Denmark</v>
      </c>
      <c r="C14" s="135" t="str">
        <f>Rates!D10</f>
        <v>Programme Countries</v>
      </c>
      <c r="D14" s="99">
        <f>Rates!E10</f>
        <v>294</v>
      </c>
      <c r="E14" s="99">
        <f>Rates!F10</f>
        <v>241</v>
      </c>
      <c r="F14" s="99">
        <f>Rates!G10</f>
        <v>190</v>
      </c>
      <c r="G14" s="99">
        <f>Rates!H10</f>
        <v>157</v>
      </c>
      <c r="I14" s="98" t="str">
        <f>Rates!P10</f>
        <v>8000 KM or more</v>
      </c>
      <c r="J14" s="98">
        <f>Rates!Q10</f>
        <v>1100</v>
      </c>
      <c r="L14" s="13">
        <v>7</v>
      </c>
      <c r="M14" s="99">
        <f t="shared" si="0"/>
        <v>385</v>
      </c>
      <c r="N14" s="99">
        <f t="shared" si="1"/>
        <v>840</v>
      </c>
      <c r="W14" s="131" t="str">
        <f>Rates!N10</f>
        <v>Denmark</v>
      </c>
      <c r="X14" s="131" t="str">
        <f>VLOOKUP(W14,Rates!$C$4:$L$182,2,FALSE)</f>
        <v>Programme Countries</v>
      </c>
      <c r="Y14" s="132">
        <f>VLOOKUP(W14,Rates!$C$4:$L$182,7,FALSE)</f>
        <v>850</v>
      </c>
      <c r="Z14" s="132">
        <f>VLOOKUP(W14,Rates!$C$4:$L$182,8,FALSE)</f>
        <v>0</v>
      </c>
      <c r="AA14" s="133">
        <f>VLOOKUP(W14,Rates!$C$4:$L$182,9,FALSE)</f>
        <v>160</v>
      </c>
      <c r="AB14" s="134">
        <f>VLOOKUP(W14,Rates!$C$4:$L$182,10,FALSE)</f>
        <v>0</v>
      </c>
    </row>
    <row r="15" spans="2:28" x14ac:dyDescent="0.25">
      <c r="B15" s="135" t="str">
        <f>Rates!C11</f>
        <v>Estonia</v>
      </c>
      <c r="C15" s="135" t="str">
        <f>Rates!D11</f>
        <v>Programme Countries</v>
      </c>
      <c r="D15" s="99">
        <f>Rates!E11</f>
        <v>88</v>
      </c>
      <c r="E15" s="99">
        <f>Rates!F11</f>
        <v>74</v>
      </c>
      <c r="F15" s="99">
        <f>Rates!G11</f>
        <v>55</v>
      </c>
      <c r="G15" s="99">
        <f>Rates!H11</f>
        <v>39</v>
      </c>
      <c r="I15" s="11"/>
      <c r="J15" s="14"/>
      <c r="L15" s="13">
        <v>8</v>
      </c>
      <c r="M15" s="99">
        <f t="shared" si="0"/>
        <v>440</v>
      </c>
      <c r="N15" s="99">
        <f t="shared" si="1"/>
        <v>960</v>
      </c>
      <c r="W15" s="131" t="str">
        <f>Rates!N11</f>
        <v>Estonia</v>
      </c>
      <c r="X15" s="131" t="str">
        <f>VLOOKUP(W15,Rates!$C$4:$L$182,2,FALSE)</f>
        <v>Programme Countries</v>
      </c>
      <c r="Y15" s="132">
        <f>VLOOKUP(W15,Rates!$C$4:$L$182,7,FALSE)</f>
        <v>750</v>
      </c>
      <c r="Z15" s="132">
        <f>VLOOKUP(W15,Rates!$C$4:$L$182,8,FALSE)</f>
        <v>0</v>
      </c>
      <c r="AA15" s="133">
        <f>VLOOKUP(W15,Rates!$C$4:$L$182,9,FALSE)</f>
        <v>100</v>
      </c>
      <c r="AB15" s="134">
        <f>VLOOKUP(W15,Rates!$C$4:$L$182,10,FALSE)</f>
        <v>0</v>
      </c>
    </row>
    <row r="16" spans="2:28" x14ac:dyDescent="0.25">
      <c r="B16" s="135" t="str">
        <f>Rates!C12</f>
        <v>Finland</v>
      </c>
      <c r="C16" s="135" t="str">
        <f>Rates!D12</f>
        <v>Programme Countries</v>
      </c>
      <c r="D16" s="99">
        <f>Rates!E12</f>
        <v>280</v>
      </c>
      <c r="E16" s="99">
        <f>Rates!F12</f>
        <v>214</v>
      </c>
      <c r="F16" s="99">
        <f>Rates!G12</f>
        <v>162</v>
      </c>
      <c r="G16" s="99">
        <f>Rates!H12</f>
        <v>131</v>
      </c>
      <c r="J16" s="14"/>
      <c r="L16" s="13">
        <v>9</v>
      </c>
      <c r="M16" s="99">
        <f t="shared" si="0"/>
        <v>495</v>
      </c>
      <c r="N16" s="99">
        <f t="shared" si="1"/>
        <v>1080</v>
      </c>
      <c r="W16" s="131" t="str">
        <f>Rates!N12</f>
        <v>Finland</v>
      </c>
      <c r="X16" s="131" t="str">
        <f>VLOOKUP(W16,Rates!$C$4:$L$182,2,FALSE)</f>
        <v>Programme Countries</v>
      </c>
      <c r="Y16" s="132">
        <f>VLOOKUP(W16,Rates!$C$4:$L$182,7,FALSE)</f>
        <v>850</v>
      </c>
      <c r="Z16" s="132">
        <f>VLOOKUP(W16,Rates!$C$4:$L$182,8,FALSE)</f>
        <v>0</v>
      </c>
      <c r="AA16" s="133">
        <f>VLOOKUP(W16,Rates!$C$4:$L$182,9,FALSE)</f>
        <v>140</v>
      </c>
      <c r="AB16" s="134">
        <f>VLOOKUP(W16,Rates!$C$4:$L$182,10,FALSE)</f>
        <v>0</v>
      </c>
    </row>
    <row r="17" spans="2:28" x14ac:dyDescent="0.25">
      <c r="B17" s="135" t="str">
        <f>Rates!C13</f>
        <v>former Yugoslav Republic of Macedonia</v>
      </c>
      <c r="C17" s="135" t="str">
        <f>Rates!D13</f>
        <v>Programme Countries</v>
      </c>
      <c r="D17" s="99">
        <f>Rates!E13</f>
        <v>88</v>
      </c>
      <c r="E17" s="99">
        <f>Rates!F13</f>
        <v>74</v>
      </c>
      <c r="F17" s="99">
        <f>Rates!G13</f>
        <v>55</v>
      </c>
      <c r="G17" s="99">
        <f>Rates!H13</f>
        <v>39</v>
      </c>
      <c r="L17" s="13">
        <v>10</v>
      </c>
      <c r="M17" s="99">
        <f t="shared" si="0"/>
        <v>550</v>
      </c>
      <c r="N17" s="99">
        <f t="shared" si="1"/>
        <v>1200</v>
      </c>
      <c r="W17" s="131" t="str">
        <f>Rates!N13</f>
        <v>former Yugoslav Republic of Macedonia</v>
      </c>
      <c r="X17" s="131" t="str">
        <f>VLOOKUP(W17,Rates!$C$4:$L$182,2,FALSE)</f>
        <v>Programme Countries</v>
      </c>
      <c r="Y17" s="132">
        <f>VLOOKUP(W17,Rates!$C$4:$L$182,7,FALSE)</f>
        <v>750</v>
      </c>
      <c r="Z17" s="132">
        <f>VLOOKUP(W17,Rates!$C$4:$L$182,8,FALSE)</f>
        <v>0</v>
      </c>
      <c r="AA17" s="133">
        <f>VLOOKUP(W17,Rates!$C$4:$L$182,9,FALSE)</f>
        <v>120</v>
      </c>
      <c r="AB17" s="134">
        <f>VLOOKUP(W17,Rates!$C$4:$L$182,10,FALSE)</f>
        <v>0</v>
      </c>
    </row>
    <row r="18" spans="2:28" ht="15" customHeight="1" x14ac:dyDescent="0.25">
      <c r="B18" s="135" t="str">
        <f>Rates!C14</f>
        <v>France</v>
      </c>
      <c r="C18" s="135" t="str">
        <f>Rates!D14</f>
        <v>Programme Countries</v>
      </c>
      <c r="D18" s="99">
        <f>Rates!E14</f>
        <v>280</v>
      </c>
      <c r="E18" s="99">
        <f>Rates!F14</f>
        <v>214</v>
      </c>
      <c r="F18" s="99">
        <f>Rates!G14</f>
        <v>162</v>
      </c>
      <c r="G18" s="99">
        <f>Rates!H14</f>
        <v>131</v>
      </c>
      <c r="L18" s="13">
        <v>11</v>
      </c>
      <c r="M18" s="99">
        <f t="shared" si="0"/>
        <v>605</v>
      </c>
      <c r="N18" s="99">
        <f t="shared" si="1"/>
        <v>1320</v>
      </c>
      <c r="W18" s="131" t="str">
        <f>Rates!N14</f>
        <v>France</v>
      </c>
      <c r="X18" s="131" t="str">
        <f>VLOOKUP(W18,Rates!$C$4:$L$182,2,FALSE)</f>
        <v>Programme Countries</v>
      </c>
      <c r="Y18" s="132">
        <f>VLOOKUP(W18,Rates!$C$4:$L$182,7,FALSE)</f>
        <v>850</v>
      </c>
      <c r="Z18" s="132">
        <f>VLOOKUP(W18,Rates!$C$4:$L$182,8,FALSE)</f>
        <v>0</v>
      </c>
      <c r="AA18" s="133">
        <f>VLOOKUP(W18,Rates!$C$4:$L$182,9,FALSE)</f>
        <v>140</v>
      </c>
      <c r="AB18" s="134">
        <f>VLOOKUP(W18,Rates!$C$4:$L$182,10,FALSE)</f>
        <v>0</v>
      </c>
    </row>
    <row r="19" spans="2:28" x14ac:dyDescent="0.25">
      <c r="B19" s="135" t="str">
        <f>Rates!C15</f>
        <v>Germany</v>
      </c>
      <c r="C19" s="135" t="str">
        <f>Rates!D15</f>
        <v>Programme Countries</v>
      </c>
      <c r="D19" s="99">
        <f>Rates!E15</f>
        <v>280</v>
      </c>
      <c r="E19" s="99">
        <f>Rates!F15</f>
        <v>214</v>
      </c>
      <c r="F19" s="99">
        <f>Rates!G15</f>
        <v>162</v>
      </c>
      <c r="G19" s="99">
        <f>Rates!H15</f>
        <v>131</v>
      </c>
      <c r="L19" s="13">
        <v>12</v>
      </c>
      <c r="M19" s="99">
        <f t="shared" si="0"/>
        <v>660</v>
      </c>
      <c r="N19" s="99">
        <f t="shared" si="1"/>
        <v>1440</v>
      </c>
      <c r="W19" s="131" t="str">
        <f>Rates!N15</f>
        <v>Germany</v>
      </c>
      <c r="X19" s="131" t="str">
        <f>VLOOKUP(W19,Rates!$C$4:$L$182,2,FALSE)</f>
        <v>Programme Countries</v>
      </c>
      <c r="Y19" s="132">
        <f>VLOOKUP(W19,Rates!$C$4:$L$182,7,FALSE)</f>
        <v>800</v>
      </c>
      <c r="Z19" s="132">
        <f>VLOOKUP(W19,Rates!$C$4:$L$182,8,FALSE)</f>
        <v>0</v>
      </c>
      <c r="AA19" s="133">
        <f>VLOOKUP(W19,Rates!$C$4:$L$182,9,FALSE)</f>
        <v>120</v>
      </c>
      <c r="AB19" s="134">
        <f>VLOOKUP(W19,Rates!$C$4:$L$182,10,FALSE)</f>
        <v>0</v>
      </c>
    </row>
    <row r="20" spans="2:28" x14ac:dyDescent="0.25">
      <c r="B20" s="135" t="str">
        <f>Rates!C16</f>
        <v>Greece</v>
      </c>
      <c r="C20" s="135" t="str">
        <f>Rates!D16</f>
        <v>Programme Countries</v>
      </c>
      <c r="D20" s="99">
        <f>Rates!E16</f>
        <v>164</v>
      </c>
      <c r="E20" s="99">
        <f>Rates!F16</f>
        <v>137</v>
      </c>
      <c r="F20" s="99">
        <f>Rates!G16</f>
        <v>102</v>
      </c>
      <c r="G20" s="99">
        <f>Rates!H16</f>
        <v>78</v>
      </c>
      <c r="L20" s="13">
        <v>13</v>
      </c>
      <c r="M20" s="99">
        <f t="shared" si="0"/>
        <v>715</v>
      </c>
      <c r="N20" s="99">
        <f t="shared" si="1"/>
        <v>1560</v>
      </c>
      <c r="W20" s="131" t="str">
        <f>Rates!N16</f>
        <v>Greece</v>
      </c>
      <c r="X20" s="131" t="str">
        <f>VLOOKUP(W20,Rates!$C$4:$L$182,2,FALSE)</f>
        <v>Programme Countries</v>
      </c>
      <c r="Y20" s="132">
        <f>VLOOKUP(W20,Rates!$C$4:$L$182,7,FALSE)</f>
        <v>800</v>
      </c>
      <c r="Z20" s="132">
        <f>VLOOKUP(W20,Rates!$C$4:$L$182,8,FALSE)</f>
        <v>0</v>
      </c>
      <c r="AA20" s="133">
        <f>VLOOKUP(W20,Rates!$C$4:$L$182,9,FALSE)</f>
        <v>140</v>
      </c>
      <c r="AB20" s="134">
        <f>VLOOKUP(W20,Rates!$C$4:$L$182,10,FALSE)</f>
        <v>0</v>
      </c>
    </row>
    <row r="21" spans="2:28" x14ac:dyDescent="0.25">
      <c r="B21" s="135" t="str">
        <f>Rates!C17</f>
        <v>Hungary</v>
      </c>
      <c r="C21" s="135" t="str">
        <f>Rates!D17</f>
        <v>Programme Countries</v>
      </c>
      <c r="D21" s="99">
        <f>Rates!E17</f>
        <v>88</v>
      </c>
      <c r="E21" s="99">
        <f>Rates!F17</f>
        <v>74</v>
      </c>
      <c r="F21" s="99">
        <f>Rates!G17</f>
        <v>55</v>
      </c>
      <c r="G21" s="99">
        <f>Rates!H17</f>
        <v>39</v>
      </c>
      <c r="L21" s="13">
        <v>14</v>
      </c>
      <c r="M21" s="99">
        <f t="shared" si="0"/>
        <v>770</v>
      </c>
      <c r="N21" s="99">
        <f t="shared" si="1"/>
        <v>1680</v>
      </c>
      <c r="W21" s="131" t="str">
        <f>Rates!N17</f>
        <v>Hungary</v>
      </c>
      <c r="X21" s="131" t="str">
        <f>VLOOKUP(W21,Rates!$C$4:$L$182,2,FALSE)</f>
        <v>Programme Countries</v>
      </c>
      <c r="Y21" s="132">
        <f>VLOOKUP(W21,Rates!$C$4:$L$182,7,FALSE)</f>
        <v>750</v>
      </c>
      <c r="Z21" s="132">
        <f>VLOOKUP(W21,Rates!$C$4:$L$182,8,FALSE)</f>
        <v>0</v>
      </c>
      <c r="AA21" s="133">
        <f>VLOOKUP(W21,Rates!$C$4:$L$182,9,FALSE)</f>
        <v>140</v>
      </c>
      <c r="AB21" s="134">
        <f>VLOOKUP(W21,Rates!$C$4:$L$182,10,FALSE)</f>
        <v>0</v>
      </c>
    </row>
    <row r="22" spans="2:28" x14ac:dyDescent="0.25">
      <c r="B22" s="135" t="str">
        <f>Rates!C18</f>
        <v>Iceland</v>
      </c>
      <c r="C22" s="135" t="str">
        <f>Rates!D18</f>
        <v>Programme Countries</v>
      </c>
      <c r="D22" s="99">
        <f>Rates!E18</f>
        <v>280</v>
      </c>
      <c r="E22" s="99">
        <f>Rates!F18</f>
        <v>214</v>
      </c>
      <c r="F22" s="99">
        <f>Rates!G18</f>
        <v>162</v>
      </c>
      <c r="G22" s="99">
        <f>Rates!H18</f>
        <v>131</v>
      </c>
      <c r="L22" s="13">
        <v>15</v>
      </c>
      <c r="M22" s="100">
        <f>((L22-$L$21)*40)+770</f>
        <v>810</v>
      </c>
      <c r="N22" s="121">
        <f>((L22-$L$21)*70)+1680</f>
        <v>1750</v>
      </c>
      <c r="W22" s="131" t="str">
        <f>Rates!N18</f>
        <v>Iceland</v>
      </c>
      <c r="X22" s="131" t="str">
        <f>VLOOKUP(W22,Rates!$C$4:$L$182,2,FALSE)</f>
        <v>Programme Countries</v>
      </c>
      <c r="Y22" s="132">
        <f>VLOOKUP(W22,Rates!$C$4:$L$182,7,FALSE)</f>
        <v>800</v>
      </c>
      <c r="Z22" s="132">
        <f>VLOOKUP(W22,Rates!$C$4:$L$182,8,FALSE)</f>
        <v>0</v>
      </c>
      <c r="AA22" s="133">
        <f>VLOOKUP(W22,Rates!$C$4:$L$182,9,FALSE)</f>
        <v>140</v>
      </c>
      <c r="AB22" s="134">
        <f>VLOOKUP(W22,Rates!$C$4:$L$182,10,FALSE)</f>
        <v>0</v>
      </c>
    </row>
    <row r="23" spans="2:28" x14ac:dyDescent="0.25">
      <c r="B23" s="135" t="str">
        <f>Rates!C19</f>
        <v>Ireland</v>
      </c>
      <c r="C23" s="135" t="str">
        <f>Rates!D19</f>
        <v>Programme Countries</v>
      </c>
      <c r="D23" s="99">
        <f>Rates!E19</f>
        <v>294</v>
      </c>
      <c r="E23" s="99">
        <f>Rates!F19</f>
        <v>241</v>
      </c>
      <c r="F23" s="99">
        <f>Rates!G19</f>
        <v>190</v>
      </c>
      <c r="G23" s="99">
        <f>Rates!H19</f>
        <v>157</v>
      </c>
      <c r="L23" s="13">
        <v>16</v>
      </c>
      <c r="M23" s="100">
        <f t="shared" ref="M23:M86" si="2">((L23-$L$21)*40)+770</f>
        <v>850</v>
      </c>
      <c r="N23" s="121">
        <f t="shared" ref="N23:N67" si="3">((L23-$L$21)*70)+1680</f>
        <v>1820</v>
      </c>
      <c r="W23" s="131" t="str">
        <f>Rates!N19</f>
        <v>Ireland</v>
      </c>
      <c r="X23" s="131" t="str">
        <f>VLOOKUP(W23,Rates!$C$4:$L$182,2,FALSE)</f>
        <v>Programme Countries</v>
      </c>
      <c r="Y23" s="132">
        <f>VLOOKUP(W23,Rates!$C$4:$L$182,7,FALSE)</f>
        <v>850</v>
      </c>
      <c r="Z23" s="132">
        <f>VLOOKUP(W23,Rates!$C$4:$L$182,8,FALSE)</f>
        <v>0</v>
      </c>
      <c r="AA23" s="133">
        <f>VLOOKUP(W23,Rates!$C$4:$L$182,9,FALSE)</f>
        <v>160</v>
      </c>
      <c r="AB23" s="134">
        <f>VLOOKUP(W23,Rates!$C$4:$L$182,10,FALSE)</f>
        <v>0</v>
      </c>
    </row>
    <row r="24" spans="2:28" x14ac:dyDescent="0.25">
      <c r="B24" s="135" t="str">
        <f>Rates!C20</f>
        <v>Italy</v>
      </c>
      <c r="C24" s="135" t="str">
        <f>Rates!D20</f>
        <v>Programme Countries</v>
      </c>
      <c r="D24" s="99">
        <f>Rates!E20</f>
        <v>280</v>
      </c>
      <c r="E24" s="99">
        <f>Rates!F20</f>
        <v>214</v>
      </c>
      <c r="F24" s="99">
        <f>Rates!G20</f>
        <v>162</v>
      </c>
      <c r="G24" s="99">
        <f>Rates!H20</f>
        <v>131</v>
      </c>
      <c r="L24" s="13">
        <v>17</v>
      </c>
      <c r="M24" s="100">
        <f t="shared" si="2"/>
        <v>890</v>
      </c>
      <c r="N24" s="121">
        <f t="shared" si="3"/>
        <v>1890</v>
      </c>
      <c r="W24" s="131" t="str">
        <f>Rates!N20</f>
        <v>Italy</v>
      </c>
      <c r="X24" s="131" t="str">
        <f>VLOOKUP(W24,Rates!$C$4:$L$182,2,FALSE)</f>
        <v>Programme Countries</v>
      </c>
      <c r="Y24" s="132">
        <f>VLOOKUP(W24,Rates!$C$4:$L$182,7,FALSE)</f>
        <v>850</v>
      </c>
      <c r="Z24" s="132">
        <f>VLOOKUP(W24,Rates!$C$4:$L$182,8,FALSE)</f>
        <v>0</v>
      </c>
      <c r="AA24" s="133">
        <f>VLOOKUP(W24,Rates!$C$4:$L$182,9,FALSE)</f>
        <v>140</v>
      </c>
      <c r="AB24" s="134">
        <f>VLOOKUP(W24,Rates!$C$4:$L$182,10,FALSE)</f>
        <v>0</v>
      </c>
    </row>
    <row r="25" spans="2:28" x14ac:dyDescent="0.25">
      <c r="B25" s="135" t="str">
        <f>Rates!C21</f>
        <v>Latvia</v>
      </c>
      <c r="C25" s="135" t="str">
        <f>Rates!D21</f>
        <v>Programme Countries</v>
      </c>
      <c r="D25" s="99">
        <f>Rates!E21</f>
        <v>88</v>
      </c>
      <c r="E25" s="99">
        <f>Rates!F21</f>
        <v>74</v>
      </c>
      <c r="F25" s="99">
        <f>Rates!G21</f>
        <v>55</v>
      </c>
      <c r="G25" s="99">
        <f>Rates!H21</f>
        <v>39</v>
      </c>
      <c r="L25" s="13">
        <v>18</v>
      </c>
      <c r="M25" s="100">
        <f t="shared" si="2"/>
        <v>930</v>
      </c>
      <c r="N25" s="121">
        <f t="shared" si="3"/>
        <v>1960</v>
      </c>
      <c r="W25" s="131" t="str">
        <f>Rates!N21</f>
        <v>Latvia</v>
      </c>
      <c r="X25" s="131" t="str">
        <f>VLOOKUP(W25,Rates!$C$4:$L$182,2,FALSE)</f>
        <v>Programme Countries</v>
      </c>
      <c r="Y25" s="132">
        <f>VLOOKUP(W25,Rates!$C$4:$L$182,7,FALSE)</f>
        <v>750</v>
      </c>
      <c r="Z25" s="132">
        <f>VLOOKUP(W25,Rates!$C$4:$L$182,8,FALSE)</f>
        <v>0</v>
      </c>
      <c r="AA25" s="133">
        <f>VLOOKUP(W25,Rates!$C$4:$L$182,9,FALSE)</f>
        <v>120</v>
      </c>
      <c r="AB25" s="134">
        <f>VLOOKUP(W25,Rates!$C$4:$L$182,10,FALSE)</f>
        <v>0</v>
      </c>
    </row>
    <row r="26" spans="2:28" x14ac:dyDescent="0.25">
      <c r="B26" s="135" t="str">
        <f>Rates!C22</f>
        <v>Liechtenstein</v>
      </c>
      <c r="C26" s="135" t="str">
        <f>Rates!D22</f>
        <v>Programme Countries</v>
      </c>
      <c r="D26" s="99">
        <f>Rates!E22</f>
        <v>294</v>
      </c>
      <c r="E26" s="99">
        <f>Rates!F22</f>
        <v>241</v>
      </c>
      <c r="F26" s="99">
        <f>Rates!G22</f>
        <v>190</v>
      </c>
      <c r="G26" s="99">
        <f>Rates!H22</f>
        <v>157</v>
      </c>
      <c r="L26" s="13">
        <v>19</v>
      </c>
      <c r="M26" s="100">
        <f t="shared" si="2"/>
        <v>970</v>
      </c>
      <c r="N26" s="121">
        <f t="shared" si="3"/>
        <v>2030</v>
      </c>
      <c r="W26" s="131" t="str">
        <f>Rates!N22</f>
        <v>Liechtenstein</v>
      </c>
      <c r="X26" s="131" t="str">
        <f>VLOOKUP(W26,Rates!$C$4:$L$182,2,FALSE)</f>
        <v>Programme Countries</v>
      </c>
      <c r="Y26" s="132">
        <f>VLOOKUP(W26,Rates!$C$4:$L$182,7,FALSE)</f>
        <v>850</v>
      </c>
      <c r="Z26" s="132">
        <f>VLOOKUP(W26,Rates!$C$4:$L$182,8,FALSE)</f>
        <v>0</v>
      </c>
      <c r="AA26" s="133">
        <f>VLOOKUP(W26,Rates!$C$4:$L$182,9,FALSE)</f>
        <v>140</v>
      </c>
      <c r="AB26" s="134">
        <f>VLOOKUP(W26,Rates!$C$4:$L$182,10,FALSE)</f>
        <v>0</v>
      </c>
    </row>
    <row r="27" spans="2:28" x14ac:dyDescent="0.25">
      <c r="B27" s="135" t="str">
        <f>Rates!C23</f>
        <v>Lithuania</v>
      </c>
      <c r="C27" s="135" t="str">
        <f>Rates!D23</f>
        <v>Programme Countries</v>
      </c>
      <c r="D27" s="99">
        <f>Rates!E23</f>
        <v>88</v>
      </c>
      <c r="E27" s="99">
        <f>Rates!F23</f>
        <v>74</v>
      </c>
      <c r="F27" s="99">
        <f>Rates!G23</f>
        <v>55</v>
      </c>
      <c r="G27" s="99">
        <f>Rates!H23</f>
        <v>39</v>
      </c>
      <c r="L27" s="13">
        <v>20</v>
      </c>
      <c r="M27" s="100">
        <f t="shared" si="2"/>
        <v>1010</v>
      </c>
      <c r="N27" s="121">
        <f t="shared" si="3"/>
        <v>2100</v>
      </c>
      <c r="W27" s="131" t="str">
        <f>Rates!N23</f>
        <v>Lithuania</v>
      </c>
      <c r="X27" s="131" t="str">
        <f>VLOOKUP(W27,Rates!$C$4:$L$182,2,FALSE)</f>
        <v>Programme Countries</v>
      </c>
      <c r="Y27" s="132">
        <f>VLOOKUP(W27,Rates!$C$4:$L$182,7,FALSE)</f>
        <v>750</v>
      </c>
      <c r="Z27" s="132">
        <f>VLOOKUP(W27,Rates!$C$4:$L$182,8,FALSE)</f>
        <v>0</v>
      </c>
      <c r="AA27" s="133">
        <f>VLOOKUP(W27,Rates!$C$4:$L$182,9,FALSE)</f>
        <v>100</v>
      </c>
      <c r="AB27" s="134">
        <f>VLOOKUP(W27,Rates!$C$4:$L$182,10,FALSE)</f>
        <v>0</v>
      </c>
    </row>
    <row r="28" spans="2:28" x14ac:dyDescent="0.25">
      <c r="B28" s="135" t="str">
        <f>Rates!C24</f>
        <v>Luxembourg</v>
      </c>
      <c r="C28" s="135" t="str">
        <f>Rates!D24</f>
        <v>Programme Countries</v>
      </c>
      <c r="D28" s="99">
        <f>Rates!E24</f>
        <v>294</v>
      </c>
      <c r="E28" s="99">
        <f>Rates!F24</f>
        <v>241</v>
      </c>
      <c r="F28" s="99">
        <f>Rates!G24</f>
        <v>190</v>
      </c>
      <c r="G28" s="99">
        <f>Rates!H24</f>
        <v>157</v>
      </c>
      <c r="L28" s="13">
        <v>21</v>
      </c>
      <c r="M28" s="100">
        <f t="shared" si="2"/>
        <v>1050</v>
      </c>
      <c r="N28" s="121">
        <f t="shared" si="3"/>
        <v>2170</v>
      </c>
      <c r="W28" s="131" t="str">
        <f>Rates!N24</f>
        <v>Luxembourg</v>
      </c>
      <c r="X28" s="131" t="str">
        <f>VLOOKUP(W28,Rates!$C$4:$L$182,2,FALSE)</f>
        <v>Programme Countries</v>
      </c>
      <c r="Y28" s="132">
        <f>VLOOKUP(W28,Rates!$C$4:$L$182,7,FALSE)</f>
        <v>800</v>
      </c>
      <c r="Z28" s="132">
        <f>VLOOKUP(W28,Rates!$C$4:$L$182,8,FALSE)</f>
        <v>0</v>
      </c>
      <c r="AA28" s="133">
        <f>VLOOKUP(W28,Rates!$C$4:$L$182,9,FALSE)</f>
        <v>140</v>
      </c>
      <c r="AB28" s="134">
        <f>VLOOKUP(W28,Rates!$C$4:$L$182,10,FALSE)</f>
        <v>0</v>
      </c>
    </row>
    <row r="29" spans="2:28" x14ac:dyDescent="0.25">
      <c r="B29" s="135" t="str">
        <f>Rates!C25</f>
        <v>Malta</v>
      </c>
      <c r="C29" s="135" t="str">
        <f>Rates!D25</f>
        <v>Programme Countries</v>
      </c>
      <c r="D29" s="99">
        <f>Rates!E25</f>
        <v>164</v>
      </c>
      <c r="E29" s="99">
        <f>Rates!F25</f>
        <v>137</v>
      </c>
      <c r="F29" s="99">
        <f>Rates!G25</f>
        <v>102</v>
      </c>
      <c r="G29" s="99">
        <f>Rates!H25</f>
        <v>78</v>
      </c>
      <c r="L29" s="13">
        <v>22</v>
      </c>
      <c r="M29" s="100">
        <f t="shared" si="2"/>
        <v>1090</v>
      </c>
      <c r="N29" s="121">
        <f t="shared" si="3"/>
        <v>2240</v>
      </c>
      <c r="W29" s="131" t="str">
        <f>Rates!N25</f>
        <v>Malta</v>
      </c>
      <c r="X29" s="131" t="str">
        <f>VLOOKUP(W29,Rates!$C$4:$L$182,2,FALSE)</f>
        <v>Programme Countries</v>
      </c>
      <c r="Y29" s="132">
        <f>VLOOKUP(W29,Rates!$C$4:$L$182,7,FALSE)</f>
        <v>750</v>
      </c>
      <c r="Z29" s="132">
        <f>VLOOKUP(W29,Rates!$C$4:$L$182,8,FALSE)</f>
        <v>0</v>
      </c>
      <c r="AA29" s="133">
        <f>VLOOKUP(W29,Rates!$C$4:$L$182,9,FALSE)</f>
        <v>120</v>
      </c>
      <c r="AB29" s="134">
        <f>VLOOKUP(W29,Rates!$C$4:$L$182,10,FALSE)</f>
        <v>0</v>
      </c>
    </row>
    <row r="30" spans="2:28" x14ac:dyDescent="0.25">
      <c r="B30" s="135" t="str">
        <f>Rates!C26</f>
        <v>Netherlands</v>
      </c>
      <c r="C30" s="135" t="str">
        <f>Rates!D26</f>
        <v>Programme Countries</v>
      </c>
      <c r="D30" s="99">
        <f>Rates!E26</f>
        <v>294</v>
      </c>
      <c r="E30" s="99">
        <f>Rates!F26</f>
        <v>241</v>
      </c>
      <c r="F30" s="99">
        <f>Rates!G26</f>
        <v>190</v>
      </c>
      <c r="G30" s="99">
        <f>Rates!H26</f>
        <v>157</v>
      </c>
      <c r="L30" s="13">
        <v>23</v>
      </c>
      <c r="M30" s="100">
        <f t="shared" si="2"/>
        <v>1130</v>
      </c>
      <c r="N30" s="121">
        <f t="shared" si="3"/>
        <v>2310</v>
      </c>
      <c r="W30" s="131" t="str">
        <f>Rates!N26</f>
        <v>Netherlands</v>
      </c>
      <c r="X30" s="131" t="str">
        <f>VLOOKUP(W30,Rates!$C$4:$L$182,2,FALSE)</f>
        <v>Programme Countries</v>
      </c>
      <c r="Y30" s="132">
        <f>VLOOKUP(W30,Rates!$C$4:$L$182,7,FALSE)</f>
        <v>800</v>
      </c>
      <c r="Z30" s="132">
        <f>VLOOKUP(W30,Rates!$C$4:$L$182,8,FALSE)</f>
        <v>0</v>
      </c>
      <c r="AA30" s="133">
        <f>VLOOKUP(W30,Rates!$C$4:$L$182,9,FALSE)</f>
        <v>160</v>
      </c>
      <c r="AB30" s="134">
        <f>VLOOKUP(W30,Rates!$C$4:$L$182,10,FALSE)</f>
        <v>0</v>
      </c>
    </row>
    <row r="31" spans="2:28" x14ac:dyDescent="0.25">
      <c r="B31" s="135" t="str">
        <f>Rates!C27</f>
        <v>Norway</v>
      </c>
      <c r="C31" s="135" t="str">
        <f>Rates!D27</f>
        <v>Programme Countries</v>
      </c>
      <c r="D31" s="99">
        <f>Rates!E27</f>
        <v>294</v>
      </c>
      <c r="E31" s="99">
        <f>Rates!F27</f>
        <v>241</v>
      </c>
      <c r="F31" s="99">
        <f>Rates!G27</f>
        <v>190</v>
      </c>
      <c r="G31" s="99">
        <f>Rates!H27</f>
        <v>157</v>
      </c>
      <c r="L31" s="13">
        <v>24</v>
      </c>
      <c r="M31" s="100">
        <f t="shared" si="2"/>
        <v>1170</v>
      </c>
      <c r="N31" s="121">
        <f t="shared" si="3"/>
        <v>2380</v>
      </c>
      <c r="W31" s="131" t="str">
        <f>Rates!N27</f>
        <v>Norway</v>
      </c>
      <c r="X31" s="131" t="str">
        <f>VLOOKUP(W31,Rates!$C$4:$L$182,2,FALSE)</f>
        <v>Programme Countries</v>
      </c>
      <c r="Y31" s="132">
        <f>VLOOKUP(W31,Rates!$C$4:$L$182,7,FALSE)</f>
        <v>850</v>
      </c>
      <c r="Z31" s="132">
        <f>VLOOKUP(W31,Rates!$C$4:$L$182,8,FALSE)</f>
        <v>0</v>
      </c>
      <c r="AA31" s="133">
        <f>VLOOKUP(W31,Rates!$C$4:$L$182,9,FALSE)</f>
        <v>140</v>
      </c>
      <c r="AB31" s="134">
        <f>VLOOKUP(W31,Rates!$C$4:$L$182,10,FALSE)</f>
        <v>0</v>
      </c>
    </row>
    <row r="32" spans="2:28" x14ac:dyDescent="0.25">
      <c r="B32" s="135" t="str">
        <f>Rates!C28</f>
        <v>Poland</v>
      </c>
      <c r="C32" s="135" t="str">
        <f>Rates!D28</f>
        <v>Programme Countries</v>
      </c>
      <c r="D32" s="99">
        <f>Rates!E28</f>
        <v>88</v>
      </c>
      <c r="E32" s="99">
        <f>Rates!F28</f>
        <v>74</v>
      </c>
      <c r="F32" s="99">
        <f>Rates!G28</f>
        <v>55</v>
      </c>
      <c r="G32" s="99">
        <f>Rates!H28</f>
        <v>39</v>
      </c>
      <c r="L32" s="13">
        <v>25</v>
      </c>
      <c r="M32" s="100">
        <f t="shared" si="2"/>
        <v>1210</v>
      </c>
      <c r="N32" s="121">
        <f t="shared" si="3"/>
        <v>2450</v>
      </c>
      <c r="W32" s="131" t="str">
        <f>Rates!N28</f>
        <v>Poland</v>
      </c>
      <c r="X32" s="131" t="str">
        <f>VLOOKUP(W32,Rates!$C$4:$L$182,2,FALSE)</f>
        <v>Programme Countries</v>
      </c>
      <c r="Y32" s="132">
        <f>VLOOKUP(W32,Rates!$C$4:$L$182,7,FALSE)</f>
        <v>750</v>
      </c>
      <c r="Z32" s="132">
        <f>VLOOKUP(W32,Rates!$C$4:$L$182,8,FALSE)</f>
        <v>0</v>
      </c>
      <c r="AA32" s="133">
        <f>VLOOKUP(W32,Rates!$C$4:$L$182,9,FALSE)</f>
        <v>140</v>
      </c>
      <c r="AB32" s="134">
        <f>VLOOKUP(W32,Rates!$C$4:$L$182,10,FALSE)</f>
        <v>0</v>
      </c>
    </row>
    <row r="33" spans="2:28" x14ac:dyDescent="0.25">
      <c r="B33" s="135" t="str">
        <f>Rates!C29</f>
        <v>Portugal</v>
      </c>
      <c r="C33" s="135" t="str">
        <f>Rates!D29</f>
        <v>Programme Countries</v>
      </c>
      <c r="D33" s="99">
        <f>Rates!E29</f>
        <v>164</v>
      </c>
      <c r="E33" s="99">
        <f>Rates!F29</f>
        <v>137</v>
      </c>
      <c r="F33" s="99">
        <f>Rates!G29</f>
        <v>102</v>
      </c>
      <c r="G33" s="99">
        <f>Rates!H29</f>
        <v>78</v>
      </c>
      <c r="L33" s="13">
        <v>26</v>
      </c>
      <c r="M33" s="100">
        <f t="shared" si="2"/>
        <v>1250</v>
      </c>
      <c r="N33" s="121">
        <f t="shared" si="3"/>
        <v>2520</v>
      </c>
      <c r="W33" s="131" t="str">
        <f>Rates!N29</f>
        <v>Portugal</v>
      </c>
      <c r="X33" s="131" t="str">
        <f>VLOOKUP(W33,Rates!$C$4:$L$182,2,FALSE)</f>
        <v>Programme Countries</v>
      </c>
      <c r="Y33" s="132">
        <f>VLOOKUP(W33,Rates!$C$4:$L$182,7,FALSE)</f>
        <v>800</v>
      </c>
      <c r="Z33" s="132">
        <f>VLOOKUP(W33,Rates!$C$4:$L$182,8,FALSE)</f>
        <v>0</v>
      </c>
      <c r="AA33" s="133">
        <f>VLOOKUP(W33,Rates!$C$4:$L$182,9,FALSE)</f>
        <v>120</v>
      </c>
      <c r="AB33" s="134">
        <f>VLOOKUP(W33,Rates!$C$4:$L$182,10,FALSE)</f>
        <v>0</v>
      </c>
    </row>
    <row r="34" spans="2:28" x14ac:dyDescent="0.25">
      <c r="B34" s="135" t="str">
        <f>Rates!C30</f>
        <v>Romania</v>
      </c>
      <c r="C34" s="135" t="str">
        <f>Rates!D30</f>
        <v>Programme Countries</v>
      </c>
      <c r="D34" s="99">
        <f>Rates!E30</f>
        <v>88</v>
      </c>
      <c r="E34" s="99">
        <f>Rates!F30</f>
        <v>74</v>
      </c>
      <c r="F34" s="99">
        <f>Rates!G30</f>
        <v>55</v>
      </c>
      <c r="G34" s="99">
        <f>Rates!H30</f>
        <v>39</v>
      </c>
      <c r="L34" s="13">
        <v>27</v>
      </c>
      <c r="M34" s="100">
        <f t="shared" si="2"/>
        <v>1290</v>
      </c>
      <c r="N34" s="121">
        <f t="shared" si="3"/>
        <v>2590</v>
      </c>
      <c r="W34" s="131" t="str">
        <f>Rates!N30</f>
        <v>Romania</v>
      </c>
      <c r="X34" s="131" t="str">
        <f>VLOOKUP(W34,Rates!$C$4:$L$182,2,FALSE)</f>
        <v>Programme Countries</v>
      </c>
      <c r="Y34" s="132">
        <f>VLOOKUP(W34,Rates!$C$4:$L$182,7,FALSE)</f>
        <v>750</v>
      </c>
      <c r="Z34" s="132">
        <f>VLOOKUP(W34,Rates!$C$4:$L$182,8,FALSE)</f>
        <v>0</v>
      </c>
      <c r="AA34" s="133">
        <f>VLOOKUP(W34,Rates!$C$4:$L$182,9,FALSE)</f>
        <v>140</v>
      </c>
      <c r="AB34" s="134">
        <f>VLOOKUP(W34,Rates!$C$4:$L$182,10,FALSE)</f>
        <v>0</v>
      </c>
    </row>
    <row r="35" spans="2:28" x14ac:dyDescent="0.25">
      <c r="B35" s="135" t="str">
        <f>Rates!C31</f>
        <v>Slovakia</v>
      </c>
      <c r="C35" s="135" t="str">
        <f>Rates!D31</f>
        <v>Programme Countries</v>
      </c>
      <c r="D35" s="99">
        <f>Rates!E31</f>
        <v>88</v>
      </c>
      <c r="E35" s="99">
        <f>Rates!F31</f>
        <v>74</v>
      </c>
      <c r="F35" s="99">
        <f>Rates!G31</f>
        <v>55</v>
      </c>
      <c r="G35" s="99">
        <f>Rates!H31</f>
        <v>39</v>
      </c>
      <c r="L35" s="13">
        <v>28</v>
      </c>
      <c r="M35" s="100">
        <f t="shared" si="2"/>
        <v>1330</v>
      </c>
      <c r="N35" s="121">
        <f t="shared" si="3"/>
        <v>2660</v>
      </c>
      <c r="W35" s="131" t="str">
        <f>Rates!N31</f>
        <v>Slovakia</v>
      </c>
      <c r="X35" s="131" t="str">
        <f>VLOOKUP(W35,Rates!$C$4:$L$182,2,FALSE)</f>
        <v>Programme Countries</v>
      </c>
      <c r="Y35" s="132">
        <f>VLOOKUP(W35,Rates!$C$4:$L$182,7,FALSE)</f>
        <v>750</v>
      </c>
      <c r="Z35" s="132">
        <f>VLOOKUP(W35,Rates!$C$4:$L$182,8,FALSE)</f>
        <v>0</v>
      </c>
      <c r="AA35" s="133">
        <f>VLOOKUP(W35,Rates!$C$4:$L$182,9,FALSE)</f>
        <v>120</v>
      </c>
      <c r="AB35" s="134">
        <f>VLOOKUP(W35,Rates!$C$4:$L$182,10,FALSE)</f>
        <v>0</v>
      </c>
    </row>
    <row r="36" spans="2:28" x14ac:dyDescent="0.25">
      <c r="B36" s="135" t="str">
        <f>Rates!C32</f>
        <v>Slovenia</v>
      </c>
      <c r="C36" s="135" t="str">
        <f>Rates!D32</f>
        <v>Programme Countries</v>
      </c>
      <c r="D36" s="99">
        <f>Rates!E32</f>
        <v>164</v>
      </c>
      <c r="E36" s="99">
        <f>Rates!F32</f>
        <v>137</v>
      </c>
      <c r="F36" s="99">
        <f>Rates!G32</f>
        <v>102</v>
      </c>
      <c r="G36" s="99">
        <f>Rates!H32</f>
        <v>78</v>
      </c>
      <c r="L36" s="13">
        <v>29</v>
      </c>
      <c r="M36" s="100">
        <f t="shared" si="2"/>
        <v>1370</v>
      </c>
      <c r="N36" s="121">
        <f t="shared" si="3"/>
        <v>2730</v>
      </c>
      <c r="W36" s="131" t="str">
        <f>Rates!N32</f>
        <v>Slovenia</v>
      </c>
      <c r="X36" s="131" t="str">
        <f>VLOOKUP(W36,Rates!$C$4:$L$182,2,FALSE)</f>
        <v>Programme Countries</v>
      </c>
      <c r="Y36" s="132">
        <f>VLOOKUP(W36,Rates!$C$4:$L$182,7,FALSE)</f>
        <v>800</v>
      </c>
      <c r="Z36" s="132">
        <f>VLOOKUP(W36,Rates!$C$4:$L$182,8,FALSE)</f>
        <v>0</v>
      </c>
      <c r="AA36" s="133">
        <f>VLOOKUP(W36,Rates!$C$4:$L$182,9,FALSE)</f>
        <v>100</v>
      </c>
      <c r="AB36" s="134">
        <f>VLOOKUP(W36,Rates!$C$4:$L$182,10,FALSE)</f>
        <v>0</v>
      </c>
    </row>
    <row r="37" spans="2:28" x14ac:dyDescent="0.25">
      <c r="B37" s="135" t="str">
        <f>Rates!C33</f>
        <v>Spain</v>
      </c>
      <c r="C37" s="135" t="str">
        <f>Rates!D33</f>
        <v>Programme Countries</v>
      </c>
      <c r="D37" s="99">
        <f>Rates!E33</f>
        <v>164</v>
      </c>
      <c r="E37" s="99">
        <f>Rates!F33</f>
        <v>137</v>
      </c>
      <c r="F37" s="99">
        <f>Rates!G33</f>
        <v>102</v>
      </c>
      <c r="G37" s="99">
        <f>Rates!H33</f>
        <v>78</v>
      </c>
      <c r="L37" s="13">
        <v>30</v>
      </c>
      <c r="M37" s="100">
        <f t="shared" si="2"/>
        <v>1410</v>
      </c>
      <c r="N37" s="121">
        <f t="shared" si="3"/>
        <v>2800</v>
      </c>
      <c r="W37" s="131" t="str">
        <f>Rates!N33</f>
        <v>Spain</v>
      </c>
      <c r="X37" s="131" t="str">
        <f>VLOOKUP(W37,Rates!$C$4:$L$182,2,FALSE)</f>
        <v>Programme Countries</v>
      </c>
      <c r="Y37" s="132">
        <f>VLOOKUP(W37,Rates!$C$4:$L$182,7,FALSE)</f>
        <v>800</v>
      </c>
      <c r="Z37" s="132">
        <f>VLOOKUP(W37,Rates!$C$4:$L$182,8,FALSE)</f>
        <v>0</v>
      </c>
      <c r="AA37" s="133">
        <f>VLOOKUP(W37,Rates!$C$4:$L$182,9,FALSE)</f>
        <v>120</v>
      </c>
      <c r="AB37" s="134">
        <f>VLOOKUP(W37,Rates!$C$4:$L$182,10,FALSE)</f>
        <v>0</v>
      </c>
    </row>
    <row r="38" spans="2:28" x14ac:dyDescent="0.25">
      <c r="B38" s="135" t="str">
        <f>Rates!C34</f>
        <v>Sweden</v>
      </c>
      <c r="C38" s="135" t="str">
        <f>Rates!D34</f>
        <v>Programme Countries</v>
      </c>
      <c r="D38" s="99">
        <f>Rates!E34</f>
        <v>294</v>
      </c>
      <c r="E38" s="99">
        <f>Rates!F34</f>
        <v>241</v>
      </c>
      <c r="F38" s="99">
        <f>Rates!G34</f>
        <v>190</v>
      </c>
      <c r="G38" s="99">
        <f>Rates!H34</f>
        <v>157</v>
      </c>
      <c r="L38" s="13">
        <v>31</v>
      </c>
      <c r="M38" s="100">
        <f t="shared" si="2"/>
        <v>1450</v>
      </c>
      <c r="N38" s="121">
        <f t="shared" si="3"/>
        <v>2870</v>
      </c>
      <c r="W38" s="131" t="str">
        <f>Rates!N34</f>
        <v>Sweden</v>
      </c>
      <c r="X38" s="131" t="str">
        <f>VLOOKUP(W38,Rates!$C$4:$L$182,2,FALSE)</f>
        <v>Programme Countries</v>
      </c>
      <c r="Y38" s="132">
        <f>VLOOKUP(W38,Rates!$C$4:$L$182,7,FALSE)</f>
        <v>850</v>
      </c>
      <c r="Z38" s="132">
        <f>VLOOKUP(W38,Rates!$C$4:$L$182,8,FALSE)</f>
        <v>0</v>
      </c>
      <c r="AA38" s="133">
        <f>VLOOKUP(W38,Rates!$C$4:$L$182,9,FALSE)</f>
        <v>160</v>
      </c>
      <c r="AB38" s="134">
        <f>VLOOKUP(W38,Rates!$C$4:$L$182,10,FALSE)</f>
        <v>0</v>
      </c>
    </row>
    <row r="39" spans="2:28" x14ac:dyDescent="0.25">
      <c r="B39" s="135" t="str">
        <f>Rates!C35</f>
        <v>Turkey</v>
      </c>
      <c r="C39" s="135" t="str">
        <f>Rates!D35</f>
        <v>Programme Countries</v>
      </c>
      <c r="D39" s="99">
        <f>Rates!E35</f>
        <v>88</v>
      </c>
      <c r="E39" s="99">
        <f>Rates!F35</f>
        <v>74</v>
      </c>
      <c r="F39" s="99">
        <f>Rates!G35</f>
        <v>55</v>
      </c>
      <c r="G39" s="99">
        <f>Rates!H35</f>
        <v>39</v>
      </c>
      <c r="L39" s="13">
        <v>32</v>
      </c>
      <c r="M39" s="100">
        <f t="shared" si="2"/>
        <v>1490</v>
      </c>
      <c r="N39" s="121">
        <f t="shared" si="3"/>
        <v>2940</v>
      </c>
      <c r="W39" s="131" t="str">
        <f>Rates!N35</f>
        <v>Turkey</v>
      </c>
      <c r="X39" s="131" t="str">
        <f>VLOOKUP(W39,Rates!$C$4:$L$182,2,FALSE)</f>
        <v>Programme Countries</v>
      </c>
      <c r="Y39" s="132">
        <f>VLOOKUP(W39,Rates!$C$4:$L$182,7,FALSE)</f>
        <v>800</v>
      </c>
      <c r="Z39" s="132">
        <f>VLOOKUP(W39,Rates!$C$4:$L$182,8,FALSE)</f>
        <v>0</v>
      </c>
      <c r="AA39" s="133">
        <f>VLOOKUP(W39,Rates!$C$4:$L$182,9,FALSE)</f>
        <v>140</v>
      </c>
      <c r="AB39" s="134">
        <f>VLOOKUP(W39,Rates!$C$4:$L$182,10,FALSE)</f>
        <v>0</v>
      </c>
    </row>
    <row r="40" spans="2:28" x14ac:dyDescent="0.25">
      <c r="B40" s="135" t="str">
        <f>Rates!C36</f>
        <v>United Kingdom</v>
      </c>
      <c r="C40" s="135" t="str">
        <f>Rates!D36</f>
        <v>Programme Countries</v>
      </c>
      <c r="D40" s="99">
        <f>Rates!E36</f>
        <v>280</v>
      </c>
      <c r="E40" s="99">
        <f>Rates!F36</f>
        <v>214</v>
      </c>
      <c r="F40" s="99">
        <f>Rates!G36</f>
        <v>162</v>
      </c>
      <c r="G40" s="99">
        <f>Rates!H36</f>
        <v>131</v>
      </c>
      <c r="L40" s="13">
        <v>33</v>
      </c>
      <c r="M40" s="100">
        <f t="shared" si="2"/>
        <v>1530</v>
      </c>
      <c r="N40" s="121">
        <f t="shared" si="3"/>
        <v>3010</v>
      </c>
      <c r="W40" s="131" t="str">
        <f>Rates!N36</f>
        <v>United Kingdom</v>
      </c>
      <c r="X40" s="131" t="str">
        <f>VLOOKUP(W40,Rates!$C$4:$L$182,2,FALSE)</f>
        <v>Programme Countries</v>
      </c>
      <c r="Y40" s="132">
        <f>VLOOKUP(W40,Rates!$C$4:$L$182,7,FALSE)</f>
        <v>850</v>
      </c>
      <c r="Z40" s="132">
        <f>VLOOKUP(W40,Rates!$C$4:$L$182,8,FALSE)</f>
        <v>0</v>
      </c>
      <c r="AA40" s="133">
        <f>VLOOKUP(W40,Rates!$C$4:$L$182,9,FALSE)</f>
        <v>160</v>
      </c>
      <c r="AB40" s="134">
        <f>VLOOKUP(W40,Rates!$C$4:$L$182,10,FALSE)</f>
        <v>0</v>
      </c>
    </row>
    <row r="41" spans="2:28" x14ac:dyDescent="0.25">
      <c r="B41" s="98" t="str">
        <f>Rates!C37</f>
        <v>Afghanistan</v>
      </c>
      <c r="C41" s="98" t="str">
        <f>Rates!D37</f>
        <v>Partner Countries</v>
      </c>
      <c r="D41" s="136">
        <f>Rates!E37</f>
        <v>77</v>
      </c>
      <c r="E41" s="136">
        <f>Rates!F37</f>
        <v>57</v>
      </c>
      <c r="F41" s="136">
        <f>Rates!G37</f>
        <v>40</v>
      </c>
      <c r="G41" s="136">
        <f>Rates!H37</f>
        <v>32</v>
      </c>
      <c r="L41" s="13">
        <v>34</v>
      </c>
      <c r="M41" s="100">
        <f t="shared" si="2"/>
        <v>1570</v>
      </c>
      <c r="N41" s="121">
        <f t="shared" si="3"/>
        <v>3080</v>
      </c>
      <c r="W41" s="127" t="str">
        <f>Rates!N37</f>
        <v>Albania</v>
      </c>
      <c r="X41" s="127" t="str">
        <f>VLOOKUP(W41,Rates!$C$4:$L$182,2,FALSE)</f>
        <v>Partner Countries</v>
      </c>
      <c r="Y41" s="128">
        <f>VLOOKUP(W41,Rates!$C$4:$L$182,7,FALSE)</f>
        <v>750</v>
      </c>
      <c r="Z41" s="128">
        <f>VLOOKUP(W41,Rates!$C$4:$L$182,8,FALSE)</f>
        <v>650</v>
      </c>
      <c r="AA41" s="129">
        <f>VLOOKUP(W41,Rates!$C$4:$L$182,9,FALSE)</f>
        <v>100</v>
      </c>
      <c r="AB41" s="130">
        <f>VLOOKUP(W41,Rates!$C$4:$L$182,10,FALSE)</f>
        <v>160</v>
      </c>
    </row>
    <row r="42" spans="2:28" x14ac:dyDescent="0.25">
      <c r="B42" s="98" t="str">
        <f>Rates!C38</f>
        <v>Albania</v>
      </c>
      <c r="C42" s="98" t="str">
        <f>Rates!D38</f>
        <v>Partner Countries</v>
      </c>
      <c r="D42" s="136">
        <f>Rates!E38</f>
        <v>108</v>
      </c>
      <c r="E42" s="136">
        <f>Rates!F38</f>
        <v>80</v>
      </c>
      <c r="F42" s="136">
        <f>Rates!G38</f>
        <v>57</v>
      </c>
      <c r="G42" s="136">
        <f>Rates!H38</f>
        <v>45</v>
      </c>
      <c r="L42" s="13">
        <v>35</v>
      </c>
      <c r="M42" s="100">
        <f t="shared" si="2"/>
        <v>1610</v>
      </c>
      <c r="N42" s="121">
        <f t="shared" si="3"/>
        <v>3150</v>
      </c>
      <c r="W42" s="127" t="str">
        <f>Rates!N38</f>
        <v>Algeria</v>
      </c>
      <c r="X42" s="127" t="str">
        <f>VLOOKUP(W42,Rates!$C$4:$L$182,2,FALSE)</f>
        <v>Partner Countries</v>
      </c>
      <c r="Y42" s="128">
        <f>VLOOKUP(W42,Rates!$C$4:$L$182,7,FALSE)</f>
        <v>750</v>
      </c>
      <c r="Z42" s="128">
        <f>VLOOKUP(W42,Rates!$C$4:$L$182,8,FALSE)</f>
        <v>650</v>
      </c>
      <c r="AA42" s="129">
        <f>VLOOKUP(W42,Rates!$C$4:$L$182,9,FALSE)</f>
        <v>100</v>
      </c>
      <c r="AB42" s="130">
        <f>VLOOKUP(W42,Rates!$C$4:$L$182,10,FALSE)</f>
        <v>160</v>
      </c>
    </row>
    <row r="43" spans="2:28" x14ac:dyDescent="0.25">
      <c r="B43" s="98" t="str">
        <f>Rates!C39</f>
        <v>Algeria</v>
      </c>
      <c r="C43" s="98" t="str">
        <f>Rates!D39</f>
        <v>Partner Countries</v>
      </c>
      <c r="D43" s="136">
        <f>Rates!E39</f>
        <v>47</v>
      </c>
      <c r="E43" s="136">
        <f>Rates!F39</f>
        <v>33</v>
      </c>
      <c r="F43" s="136">
        <f>Rates!G39</f>
        <v>22</v>
      </c>
      <c r="G43" s="136">
        <f>Rates!H39</f>
        <v>17</v>
      </c>
      <c r="L43" s="13">
        <v>36</v>
      </c>
      <c r="M43" s="100">
        <f t="shared" si="2"/>
        <v>1650</v>
      </c>
      <c r="N43" s="121">
        <f t="shared" si="3"/>
        <v>3220</v>
      </c>
      <c r="W43" s="127" t="str">
        <f>Rates!N39</f>
        <v>Armenia</v>
      </c>
      <c r="X43" s="127" t="str">
        <f>VLOOKUP(W43,Rates!$C$4:$L$182,2,FALSE)</f>
        <v>Partner Countries</v>
      </c>
      <c r="Y43" s="128">
        <f>VLOOKUP(W43,Rates!$C$4:$L$182,7,FALSE)</f>
        <v>750</v>
      </c>
      <c r="Z43" s="128">
        <f>VLOOKUP(W43,Rates!$C$4:$L$182,8,FALSE)</f>
        <v>650</v>
      </c>
      <c r="AA43" s="129">
        <f>VLOOKUP(W43,Rates!$C$4:$L$182,9,FALSE)</f>
        <v>100</v>
      </c>
      <c r="AB43" s="130">
        <f>VLOOKUP(W43,Rates!$C$4:$L$182,10,FALSE)</f>
        <v>160</v>
      </c>
    </row>
    <row r="44" spans="2:28" x14ac:dyDescent="0.25">
      <c r="B44" s="98" t="str">
        <f>Rates!C40</f>
        <v>Angola</v>
      </c>
      <c r="C44" s="98" t="str">
        <f>Rates!D40</f>
        <v>Partner Countries</v>
      </c>
      <c r="D44" s="136">
        <f>Rates!E40</f>
        <v>108</v>
      </c>
      <c r="E44" s="136">
        <f>Rates!F40</f>
        <v>80</v>
      </c>
      <c r="F44" s="136">
        <f>Rates!G40</f>
        <v>57</v>
      </c>
      <c r="G44" s="136">
        <f>Rates!H40</f>
        <v>45</v>
      </c>
      <c r="L44" s="13">
        <v>37</v>
      </c>
      <c r="M44" s="100">
        <f t="shared" si="2"/>
        <v>1690</v>
      </c>
      <c r="N44" s="121">
        <f t="shared" si="3"/>
        <v>3290</v>
      </c>
      <c r="W44" s="127" t="str">
        <f>Rates!N40</f>
        <v>Azerbaijan</v>
      </c>
      <c r="X44" s="127" t="str">
        <f>VLOOKUP(W44,Rates!$C$4:$L$182,2,FALSE)</f>
        <v>Partner Countries</v>
      </c>
      <c r="Y44" s="128">
        <f>VLOOKUP(W44,Rates!$C$4:$L$182,7,FALSE)</f>
        <v>750</v>
      </c>
      <c r="Z44" s="128">
        <f>VLOOKUP(W44,Rates!$C$4:$L$182,8,FALSE)</f>
        <v>650</v>
      </c>
      <c r="AA44" s="129">
        <f>VLOOKUP(W44,Rates!$C$4:$L$182,9,FALSE)</f>
        <v>100</v>
      </c>
      <c r="AB44" s="130">
        <f>VLOOKUP(W44,Rates!$C$4:$L$182,10,FALSE)</f>
        <v>160</v>
      </c>
    </row>
    <row r="45" spans="2:28" x14ac:dyDescent="0.25">
      <c r="B45" s="98" t="str">
        <f>Rates!C41</f>
        <v>Antigua and Barbuda</v>
      </c>
      <c r="C45" s="98" t="str">
        <f>Rates!D41</f>
        <v>Partner Countries</v>
      </c>
      <c r="D45" s="136">
        <f>Rates!E41</f>
        <v>108</v>
      </c>
      <c r="E45" s="136">
        <f>Rates!F41</f>
        <v>80</v>
      </c>
      <c r="F45" s="136">
        <f>Rates!G41</f>
        <v>57</v>
      </c>
      <c r="G45" s="136">
        <f>Rates!H41</f>
        <v>45</v>
      </c>
      <c r="L45" s="13">
        <v>38</v>
      </c>
      <c r="M45" s="100">
        <f t="shared" si="2"/>
        <v>1730</v>
      </c>
      <c r="N45" s="121">
        <f t="shared" si="3"/>
        <v>3360</v>
      </c>
      <c r="W45" s="127" t="str">
        <f>Rates!N41</f>
        <v>Belarus</v>
      </c>
      <c r="X45" s="127" t="str">
        <f>VLOOKUP(W45,Rates!$C$4:$L$182,2,FALSE)</f>
        <v>Partner Countries</v>
      </c>
      <c r="Y45" s="128">
        <f>VLOOKUP(W45,Rates!$C$4:$L$182,7,FALSE)</f>
        <v>750</v>
      </c>
      <c r="Z45" s="128">
        <f>VLOOKUP(W45,Rates!$C$4:$L$182,8,FALSE)</f>
        <v>650</v>
      </c>
      <c r="AA45" s="129">
        <f>VLOOKUP(W45,Rates!$C$4:$L$182,9,FALSE)</f>
        <v>100</v>
      </c>
      <c r="AB45" s="130">
        <f>VLOOKUP(W45,Rates!$C$4:$L$182,10,FALSE)</f>
        <v>160</v>
      </c>
    </row>
    <row r="46" spans="2:28" x14ac:dyDescent="0.25">
      <c r="B46" s="98" t="str">
        <f>Rates!C42</f>
        <v>Argentina</v>
      </c>
      <c r="C46" s="98" t="str">
        <f>Rates!D42</f>
        <v>Partner Countries</v>
      </c>
      <c r="D46" s="136">
        <f>Rates!E42</f>
        <v>108</v>
      </c>
      <c r="E46" s="136">
        <f>Rates!F42</f>
        <v>80</v>
      </c>
      <c r="F46" s="136">
        <f>Rates!G42</f>
        <v>57</v>
      </c>
      <c r="G46" s="136">
        <f>Rates!H42</f>
        <v>45</v>
      </c>
      <c r="L46" s="13">
        <v>39</v>
      </c>
      <c r="M46" s="100">
        <f t="shared" si="2"/>
        <v>1770</v>
      </c>
      <c r="N46" s="121">
        <f t="shared" si="3"/>
        <v>3430</v>
      </c>
      <c r="W46" s="127" t="str">
        <f>Rates!N42</f>
        <v>Bosnia and Herzegovina</v>
      </c>
      <c r="X46" s="127" t="str">
        <f>VLOOKUP(W46,Rates!$C$4:$L$182,2,FALSE)</f>
        <v>Partner Countries</v>
      </c>
      <c r="Y46" s="128">
        <f>VLOOKUP(W46,Rates!$C$4:$L$182,7,FALSE)</f>
        <v>750</v>
      </c>
      <c r="Z46" s="128">
        <f>VLOOKUP(W46,Rates!$C$4:$L$182,8,FALSE)</f>
        <v>650</v>
      </c>
      <c r="AA46" s="129">
        <f>VLOOKUP(W46,Rates!$C$4:$L$182,9,FALSE)</f>
        <v>100</v>
      </c>
      <c r="AB46" s="130">
        <f>VLOOKUP(W46,Rates!$C$4:$L$182,10,FALSE)</f>
        <v>160</v>
      </c>
    </row>
    <row r="47" spans="2:28" x14ac:dyDescent="0.25">
      <c r="B47" s="98" t="str">
        <f>Rates!C43</f>
        <v>Armenia</v>
      </c>
      <c r="C47" s="98" t="str">
        <f>Rates!D43</f>
        <v>Partner Countries</v>
      </c>
      <c r="D47" s="136">
        <f>Rates!E43</f>
        <v>47</v>
      </c>
      <c r="E47" s="136">
        <f>Rates!F43</f>
        <v>33</v>
      </c>
      <c r="F47" s="136">
        <f>Rates!G43</f>
        <v>22</v>
      </c>
      <c r="G47" s="136">
        <f>Rates!H43</f>
        <v>17</v>
      </c>
      <c r="L47" s="13">
        <v>40</v>
      </c>
      <c r="M47" s="100">
        <f t="shared" si="2"/>
        <v>1810</v>
      </c>
      <c r="N47" s="121">
        <f t="shared" si="3"/>
        <v>3500</v>
      </c>
      <c r="W47" s="127" t="str">
        <f>Rates!N43</f>
        <v>Egypt</v>
      </c>
      <c r="X47" s="127" t="str">
        <f>VLOOKUP(W47,Rates!$C$4:$L$182,2,FALSE)</f>
        <v>Partner Countries</v>
      </c>
      <c r="Y47" s="128">
        <f>VLOOKUP(W47,Rates!$C$4:$L$182,7,FALSE)</f>
        <v>750</v>
      </c>
      <c r="Z47" s="128">
        <f>VLOOKUP(W47,Rates!$C$4:$L$182,8,FALSE)</f>
        <v>650</v>
      </c>
      <c r="AA47" s="129">
        <f>VLOOKUP(W47,Rates!$C$4:$L$182,9,FALSE)</f>
        <v>100</v>
      </c>
      <c r="AB47" s="130">
        <f>VLOOKUP(W47,Rates!$C$4:$L$182,10,FALSE)</f>
        <v>160</v>
      </c>
    </row>
    <row r="48" spans="2:28" x14ac:dyDescent="0.25">
      <c r="B48" s="98" t="str">
        <f>Rates!C44</f>
        <v>Azerbaijan</v>
      </c>
      <c r="C48" s="98" t="str">
        <f>Rates!D44</f>
        <v>Partner Countries</v>
      </c>
      <c r="D48" s="136">
        <f>Rates!E44</f>
        <v>77</v>
      </c>
      <c r="E48" s="136">
        <f>Rates!F44</f>
        <v>57</v>
      </c>
      <c r="F48" s="136">
        <f>Rates!G44</f>
        <v>40</v>
      </c>
      <c r="G48" s="136">
        <f>Rates!H44</f>
        <v>32</v>
      </c>
      <c r="L48" s="13">
        <v>41</v>
      </c>
      <c r="M48" s="100">
        <f t="shared" si="2"/>
        <v>1850</v>
      </c>
      <c r="N48" s="121">
        <f t="shared" si="3"/>
        <v>3570</v>
      </c>
      <c r="W48" s="127" t="str">
        <f>Rates!N44</f>
        <v>Georgia</v>
      </c>
      <c r="X48" s="127" t="str">
        <f>VLOOKUP(W48,Rates!$C$4:$L$182,2,FALSE)</f>
        <v>Partner Countries</v>
      </c>
      <c r="Y48" s="128">
        <f>VLOOKUP(W48,Rates!$C$4:$L$182,7,FALSE)</f>
        <v>750</v>
      </c>
      <c r="Z48" s="128">
        <f>VLOOKUP(W48,Rates!$C$4:$L$182,8,FALSE)</f>
        <v>650</v>
      </c>
      <c r="AA48" s="129">
        <f>VLOOKUP(W48,Rates!$C$4:$L$182,9,FALSE)</f>
        <v>100</v>
      </c>
      <c r="AB48" s="130">
        <f>VLOOKUP(W48,Rates!$C$4:$L$182,10,FALSE)</f>
        <v>160</v>
      </c>
    </row>
    <row r="49" spans="2:28" x14ac:dyDescent="0.25">
      <c r="B49" s="98" t="str">
        <f>Rates!C45</f>
        <v>Bahamas</v>
      </c>
      <c r="C49" s="98" t="str">
        <f>Rates!D45</f>
        <v>Partner Countries</v>
      </c>
      <c r="D49" s="136">
        <f>Rates!E45</f>
        <v>77</v>
      </c>
      <c r="E49" s="136">
        <f>Rates!F45</f>
        <v>57</v>
      </c>
      <c r="F49" s="136">
        <f>Rates!G45</f>
        <v>40</v>
      </c>
      <c r="G49" s="136">
        <f>Rates!H45</f>
        <v>32</v>
      </c>
      <c r="L49" s="13">
        <v>42</v>
      </c>
      <c r="M49" s="100">
        <f t="shared" si="2"/>
        <v>1890</v>
      </c>
      <c r="N49" s="121">
        <f t="shared" si="3"/>
        <v>3640</v>
      </c>
      <c r="W49" s="127" t="str">
        <f>Rates!N45</f>
        <v>Israel</v>
      </c>
      <c r="X49" s="127" t="str">
        <f>VLOOKUP(W49,Rates!$C$4:$L$182,2,FALSE)</f>
        <v>Partner Countries</v>
      </c>
      <c r="Y49" s="128">
        <f>VLOOKUP(W49,Rates!$C$4:$L$182,7,FALSE)</f>
        <v>750</v>
      </c>
      <c r="Z49" s="128">
        <f>VLOOKUP(W49,Rates!$C$4:$L$182,8,FALSE)</f>
        <v>650</v>
      </c>
      <c r="AA49" s="129">
        <f>VLOOKUP(W49,Rates!$C$4:$L$182,9,FALSE)</f>
        <v>100</v>
      </c>
      <c r="AB49" s="130">
        <f>VLOOKUP(W49,Rates!$C$4:$L$182,10,FALSE)</f>
        <v>160</v>
      </c>
    </row>
    <row r="50" spans="2:28" x14ac:dyDescent="0.25">
      <c r="B50" s="98" t="str">
        <f>Rates!C46</f>
        <v>Bangladesh</v>
      </c>
      <c r="C50" s="98" t="str">
        <f>Rates!D46</f>
        <v>Partner Countries</v>
      </c>
      <c r="D50" s="136">
        <f>Rates!E46</f>
        <v>47</v>
      </c>
      <c r="E50" s="136">
        <f>Rates!F46</f>
        <v>33</v>
      </c>
      <c r="F50" s="136">
        <f>Rates!G46</f>
        <v>22</v>
      </c>
      <c r="G50" s="136">
        <f>Rates!H46</f>
        <v>17</v>
      </c>
      <c r="L50" s="13">
        <v>43</v>
      </c>
      <c r="M50" s="100">
        <f t="shared" si="2"/>
        <v>1930</v>
      </c>
      <c r="N50" s="121">
        <f t="shared" si="3"/>
        <v>3710</v>
      </c>
      <c r="W50" s="127" t="str">
        <f>Rates!N46</f>
        <v>Jordan</v>
      </c>
      <c r="X50" s="127" t="str">
        <f>VLOOKUP(W50,Rates!$C$4:$L$182,2,FALSE)</f>
        <v>Partner Countries</v>
      </c>
      <c r="Y50" s="128">
        <f>VLOOKUP(W50,Rates!$C$4:$L$182,7,FALSE)</f>
        <v>750</v>
      </c>
      <c r="Z50" s="128">
        <f>VLOOKUP(W50,Rates!$C$4:$L$182,8,FALSE)</f>
        <v>650</v>
      </c>
      <c r="AA50" s="129">
        <f>VLOOKUP(W50,Rates!$C$4:$L$182,9,FALSE)</f>
        <v>100</v>
      </c>
      <c r="AB50" s="130">
        <f>VLOOKUP(W50,Rates!$C$4:$L$182,10,FALSE)</f>
        <v>160</v>
      </c>
    </row>
    <row r="51" spans="2:28" x14ac:dyDescent="0.25">
      <c r="B51" s="98" t="str">
        <f>Rates!C47</f>
        <v>Barbados</v>
      </c>
      <c r="C51" s="98" t="str">
        <f>Rates!D47</f>
        <v>Partner Countries</v>
      </c>
      <c r="D51" s="136">
        <f>Rates!E47</f>
        <v>108</v>
      </c>
      <c r="E51" s="136">
        <f>Rates!F47</f>
        <v>80</v>
      </c>
      <c r="F51" s="136">
        <f>Rates!G47</f>
        <v>57</v>
      </c>
      <c r="G51" s="136">
        <f>Rates!H47</f>
        <v>45</v>
      </c>
      <c r="L51" s="13">
        <v>44</v>
      </c>
      <c r="M51" s="100">
        <f t="shared" si="2"/>
        <v>1970</v>
      </c>
      <c r="N51" s="121">
        <f t="shared" si="3"/>
        <v>3780</v>
      </c>
      <c r="W51" s="127" t="str">
        <f>Rates!N47</f>
        <v>Kosovo</v>
      </c>
      <c r="X51" s="127" t="str">
        <f>VLOOKUP(W51,Rates!$C$4:$L$182,2,FALSE)</f>
        <v>Partner Countries</v>
      </c>
      <c r="Y51" s="128">
        <f>VLOOKUP(W51,Rates!$C$4:$L$182,7,FALSE)</f>
        <v>750</v>
      </c>
      <c r="Z51" s="128">
        <f>VLOOKUP(W51,Rates!$C$4:$L$182,8,FALSE)</f>
        <v>650</v>
      </c>
      <c r="AA51" s="129">
        <f>VLOOKUP(W51,Rates!$C$4:$L$182,9,FALSE)</f>
        <v>100</v>
      </c>
      <c r="AB51" s="130">
        <f>VLOOKUP(W51,Rates!$C$4:$L$182,10,FALSE)</f>
        <v>160</v>
      </c>
    </row>
    <row r="52" spans="2:28" x14ac:dyDescent="0.25">
      <c r="B52" s="98" t="str">
        <f>Rates!C48</f>
        <v>Belarus</v>
      </c>
      <c r="C52" s="98" t="str">
        <f>Rates!D48</f>
        <v>Partner Countries</v>
      </c>
      <c r="D52" s="136">
        <f>Rates!E48</f>
        <v>47</v>
      </c>
      <c r="E52" s="136">
        <f>Rates!F48</f>
        <v>33</v>
      </c>
      <c r="F52" s="136">
        <f>Rates!G48</f>
        <v>22</v>
      </c>
      <c r="G52" s="136">
        <f>Rates!H48</f>
        <v>17</v>
      </c>
      <c r="L52" s="13">
        <v>45</v>
      </c>
      <c r="M52" s="100">
        <f t="shared" si="2"/>
        <v>2010</v>
      </c>
      <c r="N52" s="121">
        <f t="shared" si="3"/>
        <v>3850</v>
      </c>
      <c r="W52" s="127" t="str">
        <f>Rates!N48</f>
        <v>Lebanon</v>
      </c>
      <c r="X52" s="127" t="str">
        <f>VLOOKUP(W52,Rates!$C$4:$L$182,2,FALSE)</f>
        <v>Partner Countries</v>
      </c>
      <c r="Y52" s="128">
        <f>VLOOKUP(W52,Rates!$C$4:$L$182,7,FALSE)</f>
        <v>750</v>
      </c>
      <c r="Z52" s="128">
        <f>VLOOKUP(W52,Rates!$C$4:$L$182,8,FALSE)</f>
        <v>650</v>
      </c>
      <c r="AA52" s="129">
        <f>VLOOKUP(W52,Rates!$C$4:$L$182,9,FALSE)</f>
        <v>100</v>
      </c>
      <c r="AB52" s="130">
        <f>VLOOKUP(W52,Rates!$C$4:$L$182,10,FALSE)</f>
        <v>160</v>
      </c>
    </row>
    <row r="53" spans="2:28" x14ac:dyDescent="0.25">
      <c r="B53" s="98" t="str">
        <f>Rates!C49</f>
        <v>Belize</v>
      </c>
      <c r="C53" s="98" t="str">
        <f>Rates!D49</f>
        <v>Partner Countries</v>
      </c>
      <c r="D53" s="136">
        <f>Rates!E49</f>
        <v>47</v>
      </c>
      <c r="E53" s="136">
        <f>Rates!F49</f>
        <v>33</v>
      </c>
      <c r="F53" s="136">
        <f>Rates!G49</f>
        <v>22</v>
      </c>
      <c r="G53" s="136">
        <f>Rates!H49</f>
        <v>17</v>
      </c>
      <c r="L53" s="13">
        <v>46</v>
      </c>
      <c r="M53" s="100">
        <f t="shared" si="2"/>
        <v>2050</v>
      </c>
      <c r="N53" s="121">
        <f t="shared" si="3"/>
        <v>3920</v>
      </c>
      <c r="W53" s="127" t="str">
        <f>Rates!N49</f>
        <v>Libya</v>
      </c>
      <c r="X53" s="127" t="str">
        <f>VLOOKUP(W53,Rates!$C$4:$L$182,2,FALSE)</f>
        <v>Partner Countries</v>
      </c>
      <c r="Y53" s="128">
        <f>VLOOKUP(W53,Rates!$C$4:$L$182,7,FALSE)</f>
        <v>750</v>
      </c>
      <c r="Z53" s="128">
        <f>VLOOKUP(W53,Rates!$C$4:$L$182,8,FALSE)</f>
        <v>650</v>
      </c>
      <c r="AA53" s="129">
        <f>VLOOKUP(W53,Rates!$C$4:$L$182,9,FALSE)</f>
        <v>100</v>
      </c>
      <c r="AB53" s="130">
        <f>VLOOKUP(W53,Rates!$C$4:$L$182,10,FALSE)</f>
        <v>160</v>
      </c>
    </row>
    <row r="54" spans="2:28" x14ac:dyDescent="0.25">
      <c r="B54" s="98" t="str">
        <f>Rates!C50</f>
        <v>Benin</v>
      </c>
      <c r="C54" s="98" t="str">
        <f>Rates!D50</f>
        <v>Partner Countries</v>
      </c>
      <c r="D54" s="136">
        <f>Rates!E50</f>
        <v>47</v>
      </c>
      <c r="E54" s="136">
        <f>Rates!F50</f>
        <v>33</v>
      </c>
      <c r="F54" s="136">
        <f>Rates!G50</f>
        <v>22</v>
      </c>
      <c r="G54" s="136">
        <f>Rates!H50</f>
        <v>17</v>
      </c>
      <c r="L54" s="13">
        <v>47</v>
      </c>
      <c r="M54" s="100">
        <f t="shared" si="2"/>
        <v>2090</v>
      </c>
      <c r="N54" s="121">
        <f t="shared" si="3"/>
        <v>3990</v>
      </c>
      <c r="W54" s="127" t="str">
        <f>Rates!N50</f>
        <v>Moldova</v>
      </c>
      <c r="X54" s="127" t="str">
        <f>VLOOKUP(W54,Rates!$C$4:$L$182,2,FALSE)</f>
        <v>Partner Countries</v>
      </c>
      <c r="Y54" s="128">
        <f>VLOOKUP(W54,Rates!$C$4:$L$182,7,FALSE)</f>
        <v>750</v>
      </c>
      <c r="Z54" s="128">
        <f>VLOOKUP(W54,Rates!$C$4:$L$182,8,FALSE)</f>
        <v>650</v>
      </c>
      <c r="AA54" s="129">
        <f>VLOOKUP(W54,Rates!$C$4:$L$182,9,FALSE)</f>
        <v>100</v>
      </c>
      <c r="AB54" s="130">
        <f>VLOOKUP(W54,Rates!$C$4:$L$182,10,FALSE)</f>
        <v>160</v>
      </c>
    </row>
    <row r="55" spans="2:28" x14ac:dyDescent="0.25">
      <c r="B55" s="98" t="str">
        <f>Rates!C51</f>
        <v>Bhutan</v>
      </c>
      <c r="C55" s="98" t="str">
        <f>Rates!D51</f>
        <v>Partner Countries</v>
      </c>
      <c r="D55" s="136">
        <f>Rates!E51</f>
        <v>47</v>
      </c>
      <c r="E55" s="136">
        <f>Rates!F51</f>
        <v>33</v>
      </c>
      <c r="F55" s="136">
        <f>Rates!G51</f>
        <v>22</v>
      </c>
      <c r="G55" s="136">
        <f>Rates!H51</f>
        <v>17</v>
      </c>
      <c r="L55" s="13">
        <v>48</v>
      </c>
      <c r="M55" s="100">
        <f t="shared" si="2"/>
        <v>2130</v>
      </c>
      <c r="N55" s="121">
        <f t="shared" si="3"/>
        <v>4060</v>
      </c>
      <c r="W55" s="127" t="str">
        <f>Rates!N51</f>
        <v>Montenegro</v>
      </c>
      <c r="X55" s="127" t="str">
        <f>VLOOKUP(W55,Rates!$C$4:$L$182,2,FALSE)</f>
        <v>Partner Countries</v>
      </c>
      <c r="Y55" s="128">
        <f>VLOOKUP(W55,Rates!$C$4:$L$182,7,FALSE)</f>
        <v>750</v>
      </c>
      <c r="Z55" s="128">
        <f>VLOOKUP(W55,Rates!$C$4:$L$182,8,FALSE)</f>
        <v>650</v>
      </c>
      <c r="AA55" s="129">
        <f>VLOOKUP(W55,Rates!$C$4:$L$182,9,FALSE)</f>
        <v>100</v>
      </c>
      <c r="AB55" s="130">
        <f>VLOOKUP(W55,Rates!$C$4:$L$182,10,FALSE)</f>
        <v>160</v>
      </c>
    </row>
    <row r="56" spans="2:28" x14ac:dyDescent="0.25">
      <c r="B56" s="98" t="str">
        <f>Rates!C52</f>
        <v>Bolivia</v>
      </c>
      <c r="C56" s="98" t="str">
        <f>Rates!D52</f>
        <v>Partner Countries</v>
      </c>
      <c r="D56" s="136">
        <f>Rates!E52</f>
        <v>77</v>
      </c>
      <c r="E56" s="136">
        <f>Rates!F52</f>
        <v>57</v>
      </c>
      <c r="F56" s="136">
        <f>Rates!G52</f>
        <v>40</v>
      </c>
      <c r="G56" s="136">
        <f>Rates!H52</f>
        <v>32</v>
      </c>
      <c r="L56" s="13">
        <v>49</v>
      </c>
      <c r="M56" s="100">
        <f t="shared" si="2"/>
        <v>2170</v>
      </c>
      <c r="N56" s="121">
        <f t="shared" si="3"/>
        <v>4130</v>
      </c>
      <c r="W56" s="127" t="str">
        <f>Rates!N52</f>
        <v>Morocco</v>
      </c>
      <c r="X56" s="127" t="str">
        <f>VLOOKUP(W56,Rates!$C$4:$L$182,2,FALSE)</f>
        <v>Partner Countries</v>
      </c>
      <c r="Y56" s="128">
        <f>VLOOKUP(W56,Rates!$C$4:$L$182,7,FALSE)</f>
        <v>750</v>
      </c>
      <c r="Z56" s="128">
        <f>VLOOKUP(W56,Rates!$C$4:$L$182,8,FALSE)</f>
        <v>650</v>
      </c>
      <c r="AA56" s="129">
        <f>VLOOKUP(W56,Rates!$C$4:$L$182,9,FALSE)</f>
        <v>100</v>
      </c>
      <c r="AB56" s="130">
        <f>VLOOKUP(W56,Rates!$C$4:$L$182,10,FALSE)</f>
        <v>160</v>
      </c>
    </row>
    <row r="57" spans="2:28" x14ac:dyDescent="0.25">
      <c r="B57" s="98" t="str">
        <f>Rates!C53</f>
        <v>Bosnia and Herzegovina</v>
      </c>
      <c r="C57" s="98" t="str">
        <f>Rates!D53</f>
        <v>Partner Countries</v>
      </c>
      <c r="D57" s="136">
        <f>Rates!E53</f>
        <v>108</v>
      </c>
      <c r="E57" s="136">
        <f>Rates!F53</f>
        <v>80</v>
      </c>
      <c r="F57" s="136">
        <f>Rates!G53</f>
        <v>57</v>
      </c>
      <c r="G57" s="136">
        <f>Rates!H53</f>
        <v>45</v>
      </c>
      <c r="L57" s="13">
        <v>50</v>
      </c>
      <c r="M57" s="100">
        <f t="shared" si="2"/>
        <v>2210</v>
      </c>
      <c r="N57" s="121">
        <f t="shared" si="3"/>
        <v>4200</v>
      </c>
      <c r="W57" s="127" t="str">
        <f>Rates!N53</f>
        <v>Palestine</v>
      </c>
      <c r="X57" s="127" t="str">
        <f>VLOOKUP(W57,Rates!$C$4:$L$182,2,FALSE)</f>
        <v>Partner Countries</v>
      </c>
      <c r="Y57" s="128">
        <f>VLOOKUP(W57,Rates!$C$4:$L$182,7,FALSE)</f>
        <v>750</v>
      </c>
      <c r="Z57" s="128">
        <f>VLOOKUP(W57,Rates!$C$4:$L$182,8,FALSE)</f>
        <v>650</v>
      </c>
      <c r="AA57" s="129">
        <f>VLOOKUP(W57,Rates!$C$4:$L$182,9,FALSE)</f>
        <v>100</v>
      </c>
      <c r="AB57" s="130">
        <f>VLOOKUP(W57,Rates!$C$4:$L$182,10,FALSE)</f>
        <v>160</v>
      </c>
    </row>
    <row r="58" spans="2:28" x14ac:dyDescent="0.25">
      <c r="B58" s="98" t="str">
        <f>Rates!C54</f>
        <v>Botswana</v>
      </c>
      <c r="C58" s="98" t="str">
        <f>Rates!D54</f>
        <v>Partner Countries</v>
      </c>
      <c r="D58" s="136">
        <f>Rates!E54</f>
        <v>47</v>
      </c>
      <c r="E58" s="136">
        <f>Rates!F54</f>
        <v>33</v>
      </c>
      <c r="F58" s="136">
        <f>Rates!G54</f>
        <v>22</v>
      </c>
      <c r="G58" s="136">
        <f>Rates!H54</f>
        <v>17</v>
      </c>
      <c r="L58" s="13">
        <v>51</v>
      </c>
      <c r="M58" s="100">
        <f t="shared" si="2"/>
        <v>2250</v>
      </c>
      <c r="N58" s="121">
        <f t="shared" si="3"/>
        <v>4270</v>
      </c>
      <c r="W58" s="127" t="str">
        <f>Rates!N54</f>
        <v>Serbia</v>
      </c>
      <c r="X58" s="127" t="str">
        <f>VLOOKUP(W58,Rates!$C$4:$L$182,2,FALSE)</f>
        <v>Partner Countries</v>
      </c>
      <c r="Y58" s="128">
        <f>VLOOKUP(W58,Rates!$C$4:$L$182,7,FALSE)</f>
        <v>750</v>
      </c>
      <c r="Z58" s="128">
        <f>VLOOKUP(W58,Rates!$C$4:$L$182,8,FALSE)</f>
        <v>650</v>
      </c>
      <c r="AA58" s="129">
        <f>VLOOKUP(W58,Rates!$C$4:$L$182,9,FALSE)</f>
        <v>100</v>
      </c>
      <c r="AB58" s="130">
        <f>VLOOKUP(W58,Rates!$C$4:$L$182,10,FALSE)</f>
        <v>160</v>
      </c>
    </row>
    <row r="59" spans="2:28" x14ac:dyDescent="0.25">
      <c r="B59" s="98" t="str">
        <f>Rates!C55</f>
        <v>Brazil</v>
      </c>
      <c r="C59" s="98" t="str">
        <f>Rates!D55</f>
        <v>Partner Countries</v>
      </c>
      <c r="D59" s="136">
        <f>Rates!E55</f>
        <v>108</v>
      </c>
      <c r="E59" s="136">
        <f>Rates!F55</f>
        <v>80</v>
      </c>
      <c r="F59" s="136">
        <f>Rates!G55</f>
        <v>57</v>
      </c>
      <c r="G59" s="136">
        <f>Rates!H55</f>
        <v>45</v>
      </c>
      <c r="L59" s="13">
        <v>52</v>
      </c>
      <c r="M59" s="100">
        <f t="shared" si="2"/>
        <v>2290</v>
      </c>
      <c r="N59" s="121">
        <f t="shared" si="3"/>
        <v>4340</v>
      </c>
      <c r="W59" s="127" t="str">
        <f>Rates!N55</f>
        <v>Syria</v>
      </c>
      <c r="X59" s="127" t="str">
        <f>VLOOKUP(W59,Rates!$C$4:$L$182,2,FALSE)</f>
        <v>Partner Countries</v>
      </c>
      <c r="Y59" s="128">
        <f>VLOOKUP(W59,Rates!$C$4:$L$182,7,FALSE)</f>
        <v>750</v>
      </c>
      <c r="Z59" s="128">
        <f>VLOOKUP(W59,Rates!$C$4:$L$182,8,FALSE)</f>
        <v>650</v>
      </c>
      <c r="AA59" s="129">
        <f>VLOOKUP(W59,Rates!$C$4:$L$182,9,FALSE)</f>
        <v>100</v>
      </c>
      <c r="AB59" s="130">
        <f>VLOOKUP(W59,Rates!$C$4:$L$182,10,FALSE)</f>
        <v>160</v>
      </c>
    </row>
    <row r="60" spans="2:28" x14ac:dyDescent="0.25">
      <c r="B60" s="98" t="str">
        <f>Rates!C56</f>
        <v>Burkina Faso</v>
      </c>
      <c r="C60" s="98" t="str">
        <f>Rates!D56</f>
        <v>Partner Countries</v>
      </c>
      <c r="D60" s="136">
        <f>Rates!E56</f>
        <v>77</v>
      </c>
      <c r="E60" s="136">
        <f>Rates!F56</f>
        <v>57</v>
      </c>
      <c r="F60" s="136">
        <f>Rates!G56</f>
        <v>40</v>
      </c>
      <c r="G60" s="136">
        <f>Rates!H56</f>
        <v>32</v>
      </c>
      <c r="L60" s="13">
        <v>53</v>
      </c>
      <c r="M60" s="100">
        <f t="shared" si="2"/>
        <v>2330</v>
      </c>
      <c r="N60" s="121">
        <f t="shared" si="3"/>
        <v>4410</v>
      </c>
      <c r="W60" s="127" t="str">
        <f>Rates!N56</f>
        <v>Tunisia</v>
      </c>
      <c r="X60" s="127" t="str">
        <f>VLOOKUP(W60,Rates!$C$4:$L$182,2,FALSE)</f>
        <v>Partner Countries</v>
      </c>
      <c r="Y60" s="128">
        <f>VLOOKUP(W60,Rates!$C$4:$L$182,7,FALSE)</f>
        <v>750</v>
      </c>
      <c r="Z60" s="128">
        <f>VLOOKUP(W60,Rates!$C$4:$L$182,8,FALSE)</f>
        <v>650</v>
      </c>
      <c r="AA60" s="129">
        <f>VLOOKUP(W60,Rates!$C$4:$L$182,9,FALSE)</f>
        <v>100</v>
      </c>
      <c r="AB60" s="130">
        <f>VLOOKUP(W60,Rates!$C$4:$L$182,10,FALSE)</f>
        <v>160</v>
      </c>
    </row>
    <row r="61" spans="2:28" x14ac:dyDescent="0.25">
      <c r="B61" s="98" t="str">
        <f>Rates!C57</f>
        <v>Burundi</v>
      </c>
      <c r="C61" s="98" t="str">
        <f>Rates!D57</f>
        <v>Partner Countries</v>
      </c>
      <c r="D61" s="136">
        <f>Rates!E57</f>
        <v>47</v>
      </c>
      <c r="E61" s="136">
        <f>Rates!F57</f>
        <v>33</v>
      </c>
      <c r="F61" s="136">
        <f>Rates!G57</f>
        <v>22</v>
      </c>
      <c r="G61" s="136">
        <f>Rates!H57</f>
        <v>17</v>
      </c>
      <c r="L61" s="13">
        <v>54</v>
      </c>
      <c r="M61" s="100">
        <f t="shared" si="2"/>
        <v>2370</v>
      </c>
      <c r="N61" s="121">
        <f t="shared" si="3"/>
        <v>4480</v>
      </c>
      <c r="W61" s="127" t="str">
        <f>Rates!N57</f>
        <v>Ukraine</v>
      </c>
      <c r="X61" s="127" t="str">
        <f>VLOOKUP(W61,Rates!$C$4:$L$182,2,FALSE)</f>
        <v>Partner Countries</v>
      </c>
      <c r="Y61" s="128">
        <f>VLOOKUP(W61,Rates!$C$4:$L$182,7,FALSE)</f>
        <v>750</v>
      </c>
      <c r="Z61" s="128">
        <f>VLOOKUP(W61,Rates!$C$4:$L$182,8,FALSE)</f>
        <v>650</v>
      </c>
      <c r="AA61" s="129">
        <f>VLOOKUP(W61,Rates!$C$4:$L$182,9,FALSE)</f>
        <v>100</v>
      </c>
      <c r="AB61" s="130">
        <f>VLOOKUP(W61,Rates!$C$4:$L$182,10,FALSE)</f>
        <v>160</v>
      </c>
    </row>
    <row r="62" spans="2:28" x14ac:dyDescent="0.25">
      <c r="B62" s="98" t="str">
        <f>Rates!C58</f>
        <v>Cambodia</v>
      </c>
      <c r="C62" s="98" t="str">
        <f>Rates!D58</f>
        <v>Partner Countries</v>
      </c>
      <c r="D62" s="136">
        <f>Rates!E58</f>
        <v>47</v>
      </c>
      <c r="E62" s="136">
        <f>Rates!F58</f>
        <v>33</v>
      </c>
      <c r="F62" s="136">
        <f>Rates!G58</f>
        <v>22</v>
      </c>
      <c r="G62" s="136">
        <f>Rates!H58</f>
        <v>17</v>
      </c>
      <c r="L62" s="13">
        <v>55</v>
      </c>
      <c r="M62" s="100">
        <f t="shared" si="2"/>
        <v>2410</v>
      </c>
      <c r="N62" s="121">
        <f t="shared" si="3"/>
        <v>4550</v>
      </c>
    </row>
    <row r="63" spans="2:28" x14ac:dyDescent="0.25">
      <c r="B63" s="98" t="str">
        <f>Rates!C59</f>
        <v>Cameroon</v>
      </c>
      <c r="C63" s="98" t="str">
        <f>Rates!D59</f>
        <v>Partner Countries</v>
      </c>
      <c r="D63" s="136">
        <f>Rates!E59</f>
        <v>77</v>
      </c>
      <c r="E63" s="136">
        <f>Rates!F59</f>
        <v>57</v>
      </c>
      <c r="F63" s="136">
        <f>Rates!G59</f>
        <v>40</v>
      </c>
      <c r="G63" s="136">
        <f>Rates!H59</f>
        <v>32</v>
      </c>
      <c r="L63" s="13">
        <v>56</v>
      </c>
      <c r="M63" s="100">
        <f t="shared" si="2"/>
        <v>2450</v>
      </c>
      <c r="N63" s="121">
        <f t="shared" si="3"/>
        <v>4620</v>
      </c>
    </row>
    <row r="64" spans="2:28" x14ac:dyDescent="0.25">
      <c r="B64" s="98" t="str">
        <f>Rates!C60</f>
        <v>Cape Verde</v>
      </c>
      <c r="C64" s="98" t="str">
        <f>Rates!D60</f>
        <v>Partner Countries</v>
      </c>
      <c r="D64" s="136">
        <f>Rates!E60</f>
        <v>47</v>
      </c>
      <c r="E64" s="136">
        <f>Rates!F60</f>
        <v>33</v>
      </c>
      <c r="F64" s="136">
        <f>Rates!G60</f>
        <v>22</v>
      </c>
      <c r="G64" s="136">
        <f>Rates!H60</f>
        <v>17</v>
      </c>
      <c r="L64" s="13">
        <v>57</v>
      </c>
      <c r="M64" s="100">
        <f t="shared" si="2"/>
        <v>2490</v>
      </c>
      <c r="N64" s="121">
        <f t="shared" si="3"/>
        <v>4690</v>
      </c>
    </row>
    <row r="65" spans="2:14" x14ac:dyDescent="0.25">
      <c r="B65" s="98" t="str">
        <f>Rates!C61</f>
        <v>Central African Republic</v>
      </c>
      <c r="C65" s="98" t="str">
        <f>Rates!D61</f>
        <v>Partner Countries</v>
      </c>
      <c r="D65" s="136">
        <f>Rates!E61</f>
        <v>47</v>
      </c>
      <c r="E65" s="136">
        <f>Rates!F61</f>
        <v>33</v>
      </c>
      <c r="F65" s="136">
        <f>Rates!G61</f>
        <v>22</v>
      </c>
      <c r="G65" s="136">
        <f>Rates!H61</f>
        <v>17</v>
      </c>
      <c r="L65" s="13">
        <v>58</v>
      </c>
      <c r="M65" s="100">
        <f t="shared" si="2"/>
        <v>2530</v>
      </c>
      <c r="N65" s="121">
        <f t="shared" si="3"/>
        <v>4760</v>
      </c>
    </row>
    <row r="66" spans="2:14" x14ac:dyDescent="0.25">
      <c r="B66" s="98" t="str">
        <f>Rates!C62</f>
        <v>Chad</v>
      </c>
      <c r="C66" s="98" t="str">
        <f>Rates!D62</f>
        <v>Partner Countries</v>
      </c>
      <c r="D66" s="136">
        <f>Rates!E62</f>
        <v>47</v>
      </c>
      <c r="E66" s="136">
        <f>Rates!F62</f>
        <v>33</v>
      </c>
      <c r="F66" s="136">
        <f>Rates!G62</f>
        <v>22</v>
      </c>
      <c r="G66" s="136">
        <f>Rates!H62</f>
        <v>17</v>
      </c>
      <c r="L66" s="13">
        <v>59</v>
      </c>
      <c r="M66" s="100">
        <f t="shared" si="2"/>
        <v>2570</v>
      </c>
      <c r="N66" s="121">
        <f t="shared" si="3"/>
        <v>4830</v>
      </c>
    </row>
    <row r="67" spans="2:14" x14ac:dyDescent="0.25">
      <c r="B67" s="98" t="str">
        <f>Rates!C63</f>
        <v>Chile</v>
      </c>
      <c r="C67" s="98" t="str">
        <f>Rates!D63</f>
        <v>Partner Countries</v>
      </c>
      <c r="D67" s="136">
        <f>Rates!E63</f>
        <v>108</v>
      </c>
      <c r="E67" s="136">
        <f>Rates!F63</f>
        <v>80</v>
      </c>
      <c r="F67" s="136">
        <f>Rates!G63</f>
        <v>57</v>
      </c>
      <c r="G67" s="136">
        <f>Rates!H63</f>
        <v>45</v>
      </c>
      <c r="L67" s="13">
        <v>60</v>
      </c>
      <c r="M67" s="100">
        <f t="shared" si="2"/>
        <v>2610</v>
      </c>
      <c r="N67" s="121">
        <f t="shared" si="3"/>
        <v>4900</v>
      </c>
    </row>
    <row r="68" spans="2:14" x14ac:dyDescent="0.25">
      <c r="B68" s="98" t="str">
        <f>Rates!C64</f>
        <v>China</v>
      </c>
      <c r="C68" s="98" t="str">
        <f>Rates!D64</f>
        <v>Partner Countries</v>
      </c>
      <c r="D68" s="136">
        <f>Rates!E64</f>
        <v>77</v>
      </c>
      <c r="E68" s="136">
        <f>Rates!F64</f>
        <v>57</v>
      </c>
      <c r="F68" s="136">
        <f>Rates!G64</f>
        <v>40</v>
      </c>
      <c r="G68" s="136">
        <f>Rates!H64</f>
        <v>32</v>
      </c>
      <c r="L68" s="102">
        <v>61</v>
      </c>
      <c r="M68" s="100">
        <f t="shared" si="2"/>
        <v>2650</v>
      </c>
      <c r="N68" s="101">
        <f>((L68-$L$67)*50)+4900</f>
        <v>4950</v>
      </c>
    </row>
    <row r="69" spans="2:14" x14ac:dyDescent="0.25">
      <c r="B69" s="98" t="str">
        <f>Rates!C65</f>
        <v>Colombia</v>
      </c>
      <c r="C69" s="98" t="str">
        <f>Rates!D65</f>
        <v>Partner Countries</v>
      </c>
      <c r="D69" s="136">
        <f>Rates!E65</f>
        <v>108</v>
      </c>
      <c r="E69" s="136">
        <f>Rates!F65</f>
        <v>80</v>
      </c>
      <c r="F69" s="136">
        <f>Rates!G65</f>
        <v>57</v>
      </c>
      <c r="G69" s="136">
        <f>Rates!H65</f>
        <v>45</v>
      </c>
      <c r="L69" s="13">
        <v>62</v>
      </c>
      <c r="M69" s="100">
        <f t="shared" si="2"/>
        <v>2690</v>
      </c>
      <c r="N69" s="101">
        <f t="shared" ref="N69:N97" si="4">((L69-$L$67)*50)+4900</f>
        <v>5000</v>
      </c>
    </row>
    <row r="70" spans="2:14" x14ac:dyDescent="0.25">
      <c r="B70" s="98" t="str">
        <f>Rates!C66</f>
        <v>Comoros</v>
      </c>
      <c r="C70" s="98" t="str">
        <f>Rates!D66</f>
        <v>Partner Countries</v>
      </c>
      <c r="D70" s="136">
        <f>Rates!E66</f>
        <v>108</v>
      </c>
      <c r="E70" s="136">
        <f>Rates!F66</f>
        <v>80</v>
      </c>
      <c r="F70" s="136">
        <f>Rates!G66</f>
        <v>57</v>
      </c>
      <c r="G70" s="136">
        <f>Rates!H66</f>
        <v>45</v>
      </c>
      <c r="L70" s="13">
        <v>63</v>
      </c>
      <c r="M70" s="100">
        <f t="shared" si="2"/>
        <v>2730</v>
      </c>
      <c r="N70" s="101">
        <f t="shared" si="4"/>
        <v>5050</v>
      </c>
    </row>
    <row r="71" spans="2:14" x14ac:dyDescent="0.25">
      <c r="B71" s="98" t="str">
        <f>Rates!C67</f>
        <v>Congo</v>
      </c>
      <c r="C71" s="98" t="str">
        <f>Rates!D67</f>
        <v>Partner Countries</v>
      </c>
      <c r="D71" s="136">
        <f>Rates!E67</f>
        <v>77</v>
      </c>
      <c r="E71" s="136">
        <f>Rates!F67</f>
        <v>57</v>
      </c>
      <c r="F71" s="136">
        <f>Rates!G67</f>
        <v>40</v>
      </c>
      <c r="G71" s="136">
        <f>Rates!H67</f>
        <v>32</v>
      </c>
      <c r="L71" s="13">
        <v>64</v>
      </c>
      <c r="M71" s="100">
        <f t="shared" si="2"/>
        <v>2770</v>
      </c>
      <c r="N71" s="101">
        <f t="shared" si="4"/>
        <v>5100</v>
      </c>
    </row>
    <row r="72" spans="2:14" x14ac:dyDescent="0.25">
      <c r="B72" s="98" t="str">
        <f>Rates!C68</f>
        <v>Congo - Republic of the-</v>
      </c>
      <c r="C72" s="98" t="str">
        <f>Rates!D68</f>
        <v>Partner Countries</v>
      </c>
      <c r="D72" s="136">
        <f>Rates!E68</f>
        <v>47</v>
      </c>
      <c r="E72" s="136">
        <f>Rates!F68</f>
        <v>33</v>
      </c>
      <c r="F72" s="136">
        <f>Rates!G68</f>
        <v>22</v>
      </c>
      <c r="G72" s="136">
        <f>Rates!H68</f>
        <v>17</v>
      </c>
      <c r="L72" s="13">
        <v>65</v>
      </c>
      <c r="M72" s="100">
        <f t="shared" si="2"/>
        <v>2810</v>
      </c>
      <c r="N72" s="101">
        <f t="shared" si="4"/>
        <v>5150</v>
      </c>
    </row>
    <row r="73" spans="2:14" x14ac:dyDescent="0.25">
      <c r="B73" s="98" t="str">
        <f>Rates!C69</f>
        <v>Cook Islands</v>
      </c>
      <c r="C73" s="98" t="str">
        <f>Rates!D69</f>
        <v>Partner Countries</v>
      </c>
      <c r="D73" s="136">
        <f>Rates!E69</f>
        <v>108</v>
      </c>
      <c r="E73" s="136">
        <f>Rates!F69</f>
        <v>80</v>
      </c>
      <c r="F73" s="136">
        <f>Rates!G69</f>
        <v>57</v>
      </c>
      <c r="G73" s="136">
        <f>Rates!H69</f>
        <v>45</v>
      </c>
      <c r="L73" s="13">
        <v>66</v>
      </c>
      <c r="M73" s="100">
        <f t="shared" si="2"/>
        <v>2850</v>
      </c>
      <c r="N73" s="101">
        <f t="shared" si="4"/>
        <v>5200</v>
      </c>
    </row>
    <row r="74" spans="2:14" x14ac:dyDescent="0.25">
      <c r="B74" s="98" t="str">
        <f>Rates!C70</f>
        <v>Costa Rica</v>
      </c>
      <c r="C74" s="98" t="str">
        <f>Rates!D70</f>
        <v>Partner Countries</v>
      </c>
      <c r="D74" s="136">
        <f>Rates!E70</f>
        <v>77</v>
      </c>
      <c r="E74" s="136">
        <f>Rates!F70</f>
        <v>57</v>
      </c>
      <c r="F74" s="136">
        <f>Rates!G70</f>
        <v>40</v>
      </c>
      <c r="G74" s="136">
        <f>Rates!H70</f>
        <v>32</v>
      </c>
      <c r="L74" s="13">
        <v>67</v>
      </c>
      <c r="M74" s="100">
        <f t="shared" si="2"/>
        <v>2890</v>
      </c>
      <c r="N74" s="101">
        <f t="shared" si="4"/>
        <v>5250</v>
      </c>
    </row>
    <row r="75" spans="2:14" x14ac:dyDescent="0.25">
      <c r="B75" s="98" t="str">
        <f>Rates!C71</f>
        <v>Cuba</v>
      </c>
      <c r="C75" s="98" t="str">
        <f>Rates!D71</f>
        <v>Partner Countries</v>
      </c>
      <c r="D75" s="136">
        <f>Rates!E71</f>
        <v>47</v>
      </c>
      <c r="E75" s="136">
        <f>Rates!F71</f>
        <v>33</v>
      </c>
      <c r="F75" s="136">
        <f>Rates!G71</f>
        <v>22</v>
      </c>
      <c r="G75" s="136">
        <f>Rates!H71</f>
        <v>17</v>
      </c>
      <c r="L75" s="13">
        <v>68</v>
      </c>
      <c r="M75" s="100">
        <f t="shared" si="2"/>
        <v>2930</v>
      </c>
      <c r="N75" s="101">
        <f t="shared" si="4"/>
        <v>5300</v>
      </c>
    </row>
    <row r="76" spans="2:14" x14ac:dyDescent="0.25">
      <c r="B76" s="98" t="str">
        <f>Rates!C72</f>
        <v>Djibouti</v>
      </c>
      <c r="C76" s="98" t="str">
        <f>Rates!D72</f>
        <v>Partner Countries</v>
      </c>
      <c r="D76" s="136">
        <f>Rates!E72</f>
        <v>77</v>
      </c>
      <c r="E76" s="136">
        <f>Rates!F72</f>
        <v>57</v>
      </c>
      <c r="F76" s="136">
        <f>Rates!G72</f>
        <v>40</v>
      </c>
      <c r="G76" s="136">
        <f>Rates!H72</f>
        <v>32</v>
      </c>
      <c r="L76" s="13">
        <v>69</v>
      </c>
      <c r="M76" s="100">
        <f t="shared" si="2"/>
        <v>2970</v>
      </c>
      <c r="N76" s="101">
        <f t="shared" si="4"/>
        <v>5350</v>
      </c>
    </row>
    <row r="77" spans="2:14" x14ac:dyDescent="0.25">
      <c r="B77" s="98" t="str">
        <f>Rates!C73</f>
        <v>Dominica</v>
      </c>
      <c r="C77" s="98" t="str">
        <f>Rates!D73</f>
        <v>Partner Countries</v>
      </c>
      <c r="D77" s="136">
        <f>Rates!E73</f>
        <v>108</v>
      </c>
      <c r="E77" s="136">
        <f>Rates!F73</f>
        <v>80</v>
      </c>
      <c r="F77" s="136">
        <f>Rates!G73</f>
        <v>57</v>
      </c>
      <c r="G77" s="136">
        <f>Rates!H73</f>
        <v>45</v>
      </c>
      <c r="L77" s="13">
        <v>70</v>
      </c>
      <c r="M77" s="100">
        <f t="shared" si="2"/>
        <v>3010</v>
      </c>
      <c r="N77" s="101">
        <f t="shared" si="4"/>
        <v>5400</v>
      </c>
    </row>
    <row r="78" spans="2:14" x14ac:dyDescent="0.25">
      <c r="B78" s="98" t="str">
        <f>Rates!C74</f>
        <v>Dominican Republic</v>
      </c>
      <c r="C78" s="98" t="str">
        <f>Rates!D74</f>
        <v>Partner Countries</v>
      </c>
      <c r="D78" s="136">
        <f>Rates!E74</f>
        <v>77</v>
      </c>
      <c r="E78" s="136">
        <f>Rates!F74</f>
        <v>57</v>
      </c>
      <c r="F78" s="136">
        <f>Rates!G74</f>
        <v>40</v>
      </c>
      <c r="G78" s="136">
        <f>Rates!H74</f>
        <v>32</v>
      </c>
      <c r="L78" s="13">
        <v>71</v>
      </c>
      <c r="M78" s="100">
        <f t="shared" si="2"/>
        <v>3050</v>
      </c>
      <c r="N78" s="101">
        <f t="shared" si="4"/>
        <v>5450</v>
      </c>
    </row>
    <row r="79" spans="2:14" x14ac:dyDescent="0.25">
      <c r="B79" s="98" t="str">
        <f>Rates!C75</f>
        <v>DPR Korea</v>
      </c>
      <c r="C79" s="98" t="str">
        <f>Rates!D75</f>
        <v>Partner Countries</v>
      </c>
      <c r="D79" s="136">
        <f>Rates!E75</f>
        <v>47</v>
      </c>
      <c r="E79" s="136">
        <f>Rates!F75</f>
        <v>33</v>
      </c>
      <c r="F79" s="136">
        <f>Rates!G75</f>
        <v>22</v>
      </c>
      <c r="G79" s="136">
        <f>Rates!H75</f>
        <v>17</v>
      </c>
      <c r="L79" s="13">
        <v>72</v>
      </c>
      <c r="M79" s="100">
        <f t="shared" si="2"/>
        <v>3090</v>
      </c>
      <c r="N79" s="101">
        <f t="shared" si="4"/>
        <v>5500</v>
      </c>
    </row>
    <row r="80" spans="2:14" x14ac:dyDescent="0.25">
      <c r="B80" s="98" t="str">
        <f>Rates!C76</f>
        <v>Ecuador</v>
      </c>
      <c r="C80" s="98" t="str">
        <f>Rates!D76</f>
        <v>Partner Countries</v>
      </c>
      <c r="D80" s="136">
        <f>Rates!E76</f>
        <v>77</v>
      </c>
      <c r="E80" s="136">
        <f>Rates!F76</f>
        <v>57</v>
      </c>
      <c r="F80" s="136">
        <f>Rates!G76</f>
        <v>40</v>
      </c>
      <c r="G80" s="136">
        <f>Rates!H76</f>
        <v>32</v>
      </c>
      <c r="L80" s="13">
        <v>73</v>
      </c>
      <c r="M80" s="100">
        <f t="shared" si="2"/>
        <v>3130</v>
      </c>
      <c r="N80" s="101">
        <f t="shared" si="4"/>
        <v>5550</v>
      </c>
    </row>
    <row r="81" spans="2:14" x14ac:dyDescent="0.25">
      <c r="B81" s="98" t="str">
        <f>Rates!C77</f>
        <v>Egypt</v>
      </c>
      <c r="C81" s="98" t="str">
        <f>Rates!D77</f>
        <v>Partner Countries</v>
      </c>
      <c r="D81" s="136">
        <f>Rates!E77</f>
        <v>47</v>
      </c>
      <c r="E81" s="136">
        <f>Rates!F77</f>
        <v>33</v>
      </c>
      <c r="F81" s="136">
        <f>Rates!G77</f>
        <v>22</v>
      </c>
      <c r="G81" s="136">
        <f>Rates!H77</f>
        <v>17</v>
      </c>
      <c r="L81" s="13">
        <v>74</v>
      </c>
      <c r="M81" s="100">
        <f t="shared" si="2"/>
        <v>3170</v>
      </c>
      <c r="N81" s="101">
        <f t="shared" si="4"/>
        <v>5600</v>
      </c>
    </row>
    <row r="82" spans="2:14" x14ac:dyDescent="0.25">
      <c r="B82" s="98" t="str">
        <f>Rates!C78</f>
        <v>El Salvador</v>
      </c>
      <c r="C82" s="98" t="str">
        <f>Rates!D78</f>
        <v>Partner Countries</v>
      </c>
      <c r="D82" s="136">
        <f>Rates!E78</f>
        <v>77</v>
      </c>
      <c r="E82" s="136">
        <f>Rates!F78</f>
        <v>57</v>
      </c>
      <c r="F82" s="136">
        <f>Rates!G78</f>
        <v>40</v>
      </c>
      <c r="G82" s="136">
        <f>Rates!H78</f>
        <v>32</v>
      </c>
      <c r="L82" s="13">
        <v>75</v>
      </c>
      <c r="M82" s="100">
        <f t="shared" si="2"/>
        <v>3210</v>
      </c>
      <c r="N82" s="101">
        <f t="shared" si="4"/>
        <v>5650</v>
      </c>
    </row>
    <row r="83" spans="2:14" x14ac:dyDescent="0.25">
      <c r="B83" s="98" t="str">
        <f>Rates!C79</f>
        <v>Equatorial Guinea</v>
      </c>
      <c r="C83" s="98" t="str">
        <f>Rates!D79</f>
        <v>Partner Countries</v>
      </c>
      <c r="D83" s="136">
        <f>Rates!E79</f>
        <v>47</v>
      </c>
      <c r="E83" s="136">
        <f>Rates!F79</f>
        <v>33</v>
      </c>
      <c r="F83" s="136">
        <f>Rates!G79</f>
        <v>22</v>
      </c>
      <c r="G83" s="136">
        <f>Rates!H79</f>
        <v>17</v>
      </c>
      <c r="L83" s="13">
        <v>76</v>
      </c>
      <c r="M83" s="100">
        <f t="shared" si="2"/>
        <v>3250</v>
      </c>
      <c r="N83" s="101">
        <f t="shared" si="4"/>
        <v>5700</v>
      </c>
    </row>
    <row r="84" spans="2:14" x14ac:dyDescent="0.25">
      <c r="B84" s="98" t="str">
        <f>Rates!C80</f>
        <v>Eritrea</v>
      </c>
      <c r="C84" s="98" t="str">
        <f>Rates!D80</f>
        <v>Partner Countries</v>
      </c>
      <c r="D84" s="136">
        <f>Rates!E80</f>
        <v>47</v>
      </c>
      <c r="E84" s="136">
        <f>Rates!F80</f>
        <v>33</v>
      </c>
      <c r="F84" s="136">
        <f>Rates!G80</f>
        <v>22</v>
      </c>
      <c r="G84" s="136">
        <f>Rates!H80</f>
        <v>17</v>
      </c>
      <c r="L84" s="13">
        <v>77</v>
      </c>
      <c r="M84" s="100">
        <f t="shared" si="2"/>
        <v>3290</v>
      </c>
      <c r="N84" s="101">
        <f t="shared" si="4"/>
        <v>5750</v>
      </c>
    </row>
    <row r="85" spans="2:14" x14ac:dyDescent="0.25">
      <c r="B85" s="98" t="str">
        <f>Rates!C81</f>
        <v>Ethiopia</v>
      </c>
      <c r="C85" s="98" t="str">
        <f>Rates!D81</f>
        <v>Partner Countries</v>
      </c>
      <c r="D85" s="136">
        <f>Rates!E81</f>
        <v>47</v>
      </c>
      <c r="E85" s="136">
        <f>Rates!F81</f>
        <v>33</v>
      </c>
      <c r="F85" s="136">
        <f>Rates!G81</f>
        <v>22</v>
      </c>
      <c r="G85" s="136">
        <f>Rates!H81</f>
        <v>17</v>
      </c>
      <c r="L85" s="13">
        <v>78</v>
      </c>
      <c r="M85" s="100">
        <f t="shared" si="2"/>
        <v>3330</v>
      </c>
      <c r="N85" s="101">
        <f t="shared" si="4"/>
        <v>5800</v>
      </c>
    </row>
    <row r="86" spans="2:14" x14ac:dyDescent="0.25">
      <c r="B86" s="98" t="str">
        <f>Rates!C82</f>
        <v>Fiji</v>
      </c>
      <c r="C86" s="98" t="str">
        <f>Rates!D82</f>
        <v>Partner Countries</v>
      </c>
      <c r="D86" s="136">
        <f>Rates!E82</f>
        <v>47</v>
      </c>
      <c r="E86" s="136">
        <f>Rates!F82</f>
        <v>33</v>
      </c>
      <c r="F86" s="136">
        <f>Rates!G82</f>
        <v>22</v>
      </c>
      <c r="G86" s="136">
        <f>Rates!H82</f>
        <v>17</v>
      </c>
      <c r="L86" s="13">
        <v>79</v>
      </c>
      <c r="M86" s="100">
        <f t="shared" si="2"/>
        <v>3370</v>
      </c>
      <c r="N86" s="101">
        <f t="shared" si="4"/>
        <v>5850</v>
      </c>
    </row>
    <row r="87" spans="2:14" x14ac:dyDescent="0.25">
      <c r="B87" s="98" t="str">
        <f>Rates!C83</f>
        <v>Gabon</v>
      </c>
      <c r="C87" s="98" t="str">
        <f>Rates!D83</f>
        <v>Partner Countries</v>
      </c>
      <c r="D87" s="136">
        <f>Rates!E83</f>
        <v>108</v>
      </c>
      <c r="E87" s="136">
        <f>Rates!F83</f>
        <v>80</v>
      </c>
      <c r="F87" s="136">
        <f>Rates!G83</f>
        <v>57</v>
      </c>
      <c r="G87" s="136">
        <f>Rates!H83</f>
        <v>45</v>
      </c>
      <c r="L87" s="13">
        <v>80</v>
      </c>
      <c r="M87" s="100">
        <f t="shared" ref="M87:M97" si="5">((L87-$L$21)*40)+770</f>
        <v>3410</v>
      </c>
      <c r="N87" s="101">
        <f t="shared" si="4"/>
        <v>5900</v>
      </c>
    </row>
    <row r="88" spans="2:14" x14ac:dyDescent="0.25">
      <c r="B88" s="98" t="str">
        <f>Rates!C84</f>
        <v>Gambia</v>
      </c>
      <c r="C88" s="98" t="str">
        <f>Rates!D84</f>
        <v>Partner Countries</v>
      </c>
      <c r="D88" s="136">
        <f>Rates!E84</f>
        <v>47</v>
      </c>
      <c r="E88" s="136">
        <f>Rates!F84</f>
        <v>33</v>
      </c>
      <c r="F88" s="136">
        <f>Rates!G84</f>
        <v>22</v>
      </c>
      <c r="G88" s="136">
        <f>Rates!H84</f>
        <v>17</v>
      </c>
      <c r="L88" s="13">
        <v>81</v>
      </c>
      <c r="M88" s="100">
        <f t="shared" si="5"/>
        <v>3450</v>
      </c>
      <c r="N88" s="101">
        <f t="shared" si="4"/>
        <v>5950</v>
      </c>
    </row>
    <row r="89" spans="2:14" x14ac:dyDescent="0.25">
      <c r="B89" s="98" t="str">
        <f>Rates!C85</f>
        <v>Georgia</v>
      </c>
      <c r="C89" s="98" t="str">
        <f>Rates!D85</f>
        <v>Partner Countries</v>
      </c>
      <c r="D89" s="136">
        <f>Rates!E85</f>
        <v>77</v>
      </c>
      <c r="E89" s="136">
        <f>Rates!F85</f>
        <v>57</v>
      </c>
      <c r="F89" s="136">
        <f>Rates!G85</f>
        <v>40</v>
      </c>
      <c r="G89" s="136">
        <f>Rates!H85</f>
        <v>32</v>
      </c>
      <c r="L89" s="13">
        <v>82</v>
      </c>
      <c r="M89" s="100">
        <f t="shared" si="5"/>
        <v>3490</v>
      </c>
      <c r="N89" s="101">
        <f t="shared" si="4"/>
        <v>6000</v>
      </c>
    </row>
    <row r="90" spans="2:14" x14ac:dyDescent="0.25">
      <c r="B90" s="98" t="str">
        <f>Rates!C86</f>
        <v>Ghana</v>
      </c>
      <c r="C90" s="98" t="str">
        <f>Rates!D86</f>
        <v>Partner Countries</v>
      </c>
      <c r="D90" s="136">
        <f>Rates!E86</f>
        <v>47</v>
      </c>
      <c r="E90" s="136">
        <f>Rates!F86</f>
        <v>33</v>
      </c>
      <c r="F90" s="136">
        <f>Rates!G86</f>
        <v>22</v>
      </c>
      <c r="G90" s="136">
        <f>Rates!H86</f>
        <v>17</v>
      </c>
      <c r="L90" s="13">
        <v>83</v>
      </c>
      <c r="M90" s="100">
        <f t="shared" si="5"/>
        <v>3530</v>
      </c>
      <c r="N90" s="101">
        <f t="shared" si="4"/>
        <v>6050</v>
      </c>
    </row>
    <row r="91" spans="2:14" x14ac:dyDescent="0.25">
      <c r="B91" s="98" t="str">
        <f>Rates!C87</f>
        <v>Grenada</v>
      </c>
      <c r="C91" s="98" t="str">
        <f>Rates!D87</f>
        <v>Partner Countries</v>
      </c>
      <c r="D91" s="136">
        <f>Rates!E87</f>
        <v>108</v>
      </c>
      <c r="E91" s="136">
        <f>Rates!F87</f>
        <v>80</v>
      </c>
      <c r="F91" s="136">
        <f>Rates!G87</f>
        <v>57</v>
      </c>
      <c r="G91" s="136">
        <f>Rates!H87</f>
        <v>45</v>
      </c>
      <c r="L91" s="13">
        <v>84</v>
      </c>
      <c r="M91" s="100">
        <f t="shared" si="5"/>
        <v>3570</v>
      </c>
      <c r="N91" s="101">
        <f t="shared" si="4"/>
        <v>6100</v>
      </c>
    </row>
    <row r="92" spans="2:14" x14ac:dyDescent="0.25">
      <c r="B92" s="98" t="str">
        <f>Rates!C88</f>
        <v>Guatemala</v>
      </c>
      <c r="C92" s="98" t="str">
        <f>Rates!D88</f>
        <v>Partner Countries</v>
      </c>
      <c r="D92" s="136">
        <f>Rates!E88</f>
        <v>77</v>
      </c>
      <c r="E92" s="136">
        <f>Rates!F88</f>
        <v>57</v>
      </c>
      <c r="F92" s="136">
        <f>Rates!G88</f>
        <v>40</v>
      </c>
      <c r="G92" s="136">
        <f>Rates!H88</f>
        <v>32</v>
      </c>
      <c r="L92" s="13">
        <v>85</v>
      </c>
      <c r="M92" s="100">
        <f t="shared" si="5"/>
        <v>3610</v>
      </c>
      <c r="N92" s="101">
        <f t="shared" si="4"/>
        <v>6150</v>
      </c>
    </row>
    <row r="93" spans="2:14" x14ac:dyDescent="0.25">
      <c r="B93" s="98" t="str">
        <f>Rates!C89</f>
        <v>Guinea</v>
      </c>
      <c r="C93" s="98" t="str">
        <f>Rates!D89</f>
        <v>Partner Countries</v>
      </c>
      <c r="D93" s="136">
        <f>Rates!E89</f>
        <v>47</v>
      </c>
      <c r="E93" s="136">
        <f>Rates!F89</f>
        <v>33</v>
      </c>
      <c r="F93" s="136">
        <f>Rates!G89</f>
        <v>22</v>
      </c>
      <c r="G93" s="136">
        <f>Rates!H89</f>
        <v>17</v>
      </c>
      <c r="L93" s="13">
        <v>86</v>
      </c>
      <c r="M93" s="100">
        <f t="shared" si="5"/>
        <v>3650</v>
      </c>
      <c r="N93" s="101">
        <f t="shared" si="4"/>
        <v>6200</v>
      </c>
    </row>
    <row r="94" spans="2:14" x14ac:dyDescent="0.25">
      <c r="B94" s="98" t="str">
        <f>Rates!C90</f>
        <v>Guinea-Bissau</v>
      </c>
      <c r="C94" s="98" t="str">
        <f>Rates!D90</f>
        <v>Partner Countries</v>
      </c>
      <c r="D94" s="136">
        <f>Rates!E90</f>
        <v>77</v>
      </c>
      <c r="E94" s="136">
        <f>Rates!F90</f>
        <v>57</v>
      </c>
      <c r="F94" s="136">
        <f>Rates!G90</f>
        <v>40</v>
      </c>
      <c r="G94" s="136">
        <f>Rates!H90</f>
        <v>32</v>
      </c>
      <c r="L94" s="13">
        <v>87</v>
      </c>
      <c r="M94" s="100">
        <f t="shared" si="5"/>
        <v>3690</v>
      </c>
      <c r="N94" s="101">
        <f t="shared" si="4"/>
        <v>6250</v>
      </c>
    </row>
    <row r="95" spans="2:14" x14ac:dyDescent="0.25">
      <c r="B95" s="98" t="str">
        <f>Rates!C91</f>
        <v>Guyana</v>
      </c>
      <c r="C95" s="98" t="str">
        <f>Rates!D91</f>
        <v>Partner Countries</v>
      </c>
      <c r="D95" s="136">
        <f>Rates!E91</f>
        <v>47</v>
      </c>
      <c r="E95" s="136">
        <f>Rates!F91</f>
        <v>33</v>
      </c>
      <c r="F95" s="136">
        <f>Rates!G91</f>
        <v>22</v>
      </c>
      <c r="G95" s="136">
        <f>Rates!H91</f>
        <v>17</v>
      </c>
      <c r="L95" s="13">
        <v>88</v>
      </c>
      <c r="M95" s="100">
        <f t="shared" si="5"/>
        <v>3730</v>
      </c>
      <c r="N95" s="101">
        <f t="shared" si="4"/>
        <v>6300</v>
      </c>
    </row>
    <row r="96" spans="2:14" x14ac:dyDescent="0.25">
      <c r="B96" s="98" t="str">
        <f>Rates!C92</f>
        <v>Haiti</v>
      </c>
      <c r="C96" s="98" t="str">
        <f>Rates!D92</f>
        <v>Partner Countries</v>
      </c>
      <c r="D96" s="136">
        <f>Rates!E92</f>
        <v>77</v>
      </c>
      <c r="E96" s="136">
        <f>Rates!F92</f>
        <v>57</v>
      </c>
      <c r="F96" s="136">
        <f>Rates!G92</f>
        <v>40</v>
      </c>
      <c r="G96" s="136">
        <f>Rates!H92</f>
        <v>32</v>
      </c>
      <c r="L96" s="13">
        <v>89</v>
      </c>
      <c r="M96" s="100">
        <f t="shared" si="5"/>
        <v>3770</v>
      </c>
      <c r="N96" s="101">
        <f t="shared" si="4"/>
        <v>6350</v>
      </c>
    </row>
    <row r="97" spans="2:14" x14ac:dyDescent="0.25">
      <c r="B97" s="98" t="str">
        <f>Rates!C93</f>
        <v>Honduras</v>
      </c>
      <c r="C97" s="98" t="str">
        <f>Rates!D93</f>
        <v>Partner Countries</v>
      </c>
      <c r="D97" s="136">
        <f>Rates!E93</f>
        <v>47</v>
      </c>
      <c r="E97" s="136">
        <f>Rates!F93</f>
        <v>33</v>
      </c>
      <c r="F97" s="136">
        <f>Rates!G93</f>
        <v>22</v>
      </c>
      <c r="G97" s="136">
        <f>Rates!H93</f>
        <v>17</v>
      </c>
      <c r="L97" s="13">
        <v>90</v>
      </c>
      <c r="M97" s="100">
        <f t="shared" si="5"/>
        <v>3810</v>
      </c>
      <c r="N97" s="101">
        <f t="shared" si="4"/>
        <v>6400</v>
      </c>
    </row>
    <row r="98" spans="2:14" x14ac:dyDescent="0.25">
      <c r="B98" s="98" t="str">
        <f>Rates!C94</f>
        <v>India</v>
      </c>
      <c r="C98" s="98" t="str">
        <f>Rates!D94</f>
        <v>Partner Countries</v>
      </c>
      <c r="D98" s="136">
        <f>Rates!E94</f>
        <v>47</v>
      </c>
      <c r="E98" s="136">
        <f>Rates!F94</f>
        <v>33</v>
      </c>
      <c r="F98" s="136">
        <f>Rates!G94</f>
        <v>22</v>
      </c>
      <c r="G98" s="136">
        <f>Rates!H94</f>
        <v>17</v>
      </c>
    </row>
    <row r="99" spans="2:14" x14ac:dyDescent="0.25">
      <c r="B99" s="98" t="str">
        <f>Rates!C95</f>
        <v>Indonesia</v>
      </c>
      <c r="C99" s="98" t="str">
        <f>Rates!D95</f>
        <v>Partner Countries</v>
      </c>
      <c r="D99" s="136">
        <f>Rates!E95</f>
        <v>47</v>
      </c>
      <c r="E99" s="136">
        <f>Rates!F95</f>
        <v>33</v>
      </c>
      <c r="F99" s="136">
        <f>Rates!G95</f>
        <v>22</v>
      </c>
      <c r="G99" s="136">
        <f>Rates!H95</f>
        <v>17</v>
      </c>
    </row>
    <row r="100" spans="2:14" x14ac:dyDescent="0.25">
      <c r="B100" s="98" t="str">
        <f>Rates!C96</f>
        <v>Iran</v>
      </c>
      <c r="C100" s="98" t="str">
        <f>Rates!D96</f>
        <v>Partner Countries</v>
      </c>
      <c r="D100" s="136">
        <f>Rates!E96</f>
        <v>77</v>
      </c>
      <c r="E100" s="136">
        <f>Rates!F96</f>
        <v>57</v>
      </c>
      <c r="F100" s="136">
        <f>Rates!G96</f>
        <v>40</v>
      </c>
      <c r="G100" s="136">
        <f>Rates!H96</f>
        <v>32</v>
      </c>
    </row>
    <row r="101" spans="2:14" x14ac:dyDescent="0.25">
      <c r="B101" s="98" t="str">
        <f>Rates!C97</f>
        <v>Iraq</v>
      </c>
      <c r="C101" s="98" t="str">
        <f>Rates!D97</f>
        <v>Partner Countries</v>
      </c>
      <c r="D101" s="136">
        <f>Rates!E97</f>
        <v>77</v>
      </c>
      <c r="E101" s="136">
        <f>Rates!F97</f>
        <v>57</v>
      </c>
      <c r="F101" s="136">
        <f>Rates!G97</f>
        <v>40</v>
      </c>
      <c r="G101" s="136">
        <f>Rates!H97</f>
        <v>32</v>
      </c>
    </row>
    <row r="102" spans="2:14" x14ac:dyDescent="0.25">
      <c r="B102" s="98" t="str">
        <f>Rates!C98</f>
        <v>Israel</v>
      </c>
      <c r="C102" s="98" t="str">
        <f>Rates!D98</f>
        <v>Partner Countries</v>
      </c>
      <c r="D102" s="136">
        <f>Rates!E98</f>
        <v>166</v>
      </c>
      <c r="E102" s="136">
        <f>Rates!F98</f>
        <v>132</v>
      </c>
      <c r="F102" s="136">
        <f>Rates!G98</f>
        <v>102</v>
      </c>
      <c r="G102" s="136">
        <f>Rates!H98</f>
        <v>92</v>
      </c>
    </row>
    <row r="103" spans="2:14" x14ac:dyDescent="0.25">
      <c r="B103" s="98" t="str">
        <f>Rates!C99</f>
        <v>Ivory Coast</v>
      </c>
      <c r="C103" s="98" t="str">
        <f>Rates!D99</f>
        <v>Partner Countries</v>
      </c>
      <c r="D103" s="136">
        <f>Rates!E99</f>
        <v>108</v>
      </c>
      <c r="E103" s="136">
        <f>Rates!F99</f>
        <v>80</v>
      </c>
      <c r="F103" s="136">
        <f>Rates!G99</f>
        <v>57</v>
      </c>
      <c r="G103" s="136">
        <f>Rates!H99</f>
        <v>45</v>
      </c>
    </row>
    <row r="104" spans="2:14" x14ac:dyDescent="0.25">
      <c r="B104" s="98" t="str">
        <f>Rates!C100</f>
        <v>Jamaica</v>
      </c>
      <c r="C104" s="98" t="str">
        <f>Rates!D100</f>
        <v>Partner Countries</v>
      </c>
      <c r="D104" s="136">
        <f>Rates!E100</f>
        <v>77</v>
      </c>
      <c r="E104" s="136">
        <f>Rates!F100</f>
        <v>57</v>
      </c>
      <c r="F104" s="136">
        <f>Rates!G100</f>
        <v>40</v>
      </c>
      <c r="G104" s="136">
        <f>Rates!H100</f>
        <v>32</v>
      </c>
    </row>
    <row r="105" spans="2:14" x14ac:dyDescent="0.25">
      <c r="B105" s="98" t="str">
        <f>Rates!C101</f>
        <v>Jordan</v>
      </c>
      <c r="C105" s="98" t="str">
        <f>Rates!D101</f>
        <v>Partner Countries</v>
      </c>
      <c r="D105" s="136">
        <f>Rates!E101</f>
        <v>77</v>
      </c>
      <c r="E105" s="136">
        <f>Rates!F101</f>
        <v>57</v>
      </c>
      <c r="F105" s="136">
        <f>Rates!G101</f>
        <v>40</v>
      </c>
      <c r="G105" s="136">
        <f>Rates!H101</f>
        <v>32</v>
      </c>
    </row>
    <row r="106" spans="2:14" x14ac:dyDescent="0.25">
      <c r="B106" s="98" t="str">
        <f>Rates!C102</f>
        <v>Kazakstan</v>
      </c>
      <c r="C106" s="98" t="str">
        <f>Rates!D102</f>
        <v>Partner Countries</v>
      </c>
      <c r="D106" s="136">
        <f>Rates!E102</f>
        <v>77</v>
      </c>
      <c r="E106" s="136">
        <f>Rates!F102</f>
        <v>57</v>
      </c>
      <c r="F106" s="136">
        <f>Rates!G102</f>
        <v>40</v>
      </c>
      <c r="G106" s="136">
        <f>Rates!H102</f>
        <v>32</v>
      </c>
    </row>
    <row r="107" spans="2:14" x14ac:dyDescent="0.25">
      <c r="B107" s="98" t="str">
        <f>Rates!C103</f>
        <v>Kenya</v>
      </c>
      <c r="C107" s="98" t="str">
        <f>Rates!D103</f>
        <v>Partner Countries</v>
      </c>
      <c r="D107" s="136">
        <f>Rates!E103</f>
        <v>77</v>
      </c>
      <c r="E107" s="136">
        <f>Rates!F103</f>
        <v>57</v>
      </c>
      <c r="F107" s="136">
        <f>Rates!G103</f>
        <v>40</v>
      </c>
      <c r="G107" s="136">
        <f>Rates!H103</f>
        <v>32</v>
      </c>
    </row>
    <row r="108" spans="2:14" x14ac:dyDescent="0.25">
      <c r="B108" s="98" t="str">
        <f>Rates!C104</f>
        <v>Kiribati</v>
      </c>
      <c r="C108" s="98" t="str">
        <f>Rates!D104</f>
        <v>Partner Countries</v>
      </c>
      <c r="D108" s="136">
        <f>Rates!E104</f>
        <v>47</v>
      </c>
      <c r="E108" s="136">
        <f>Rates!F104</f>
        <v>33</v>
      </c>
      <c r="F108" s="136">
        <f>Rates!G104</f>
        <v>22</v>
      </c>
      <c r="G108" s="136">
        <f>Rates!H104</f>
        <v>17</v>
      </c>
    </row>
    <row r="109" spans="2:14" x14ac:dyDescent="0.25">
      <c r="B109" s="98" t="str">
        <f>Rates!C105</f>
        <v>Kosovo</v>
      </c>
      <c r="C109" s="98" t="str">
        <f>Rates!D105</f>
        <v>Partner Countries</v>
      </c>
      <c r="D109" s="136">
        <f>Rates!E105</f>
        <v>108</v>
      </c>
      <c r="E109" s="136">
        <f>Rates!F105</f>
        <v>80</v>
      </c>
      <c r="F109" s="136">
        <f>Rates!G105</f>
        <v>57</v>
      </c>
      <c r="G109" s="136">
        <f>Rates!H105</f>
        <v>45</v>
      </c>
    </row>
    <row r="110" spans="2:14" x14ac:dyDescent="0.25">
      <c r="B110" s="98" t="str">
        <f>Rates!C106</f>
        <v>Kyrgyzstan</v>
      </c>
      <c r="C110" s="98" t="str">
        <f>Rates!D106</f>
        <v>Partner Countries</v>
      </c>
      <c r="D110" s="136">
        <f>Rates!E106</f>
        <v>47</v>
      </c>
      <c r="E110" s="136">
        <f>Rates!F106</f>
        <v>33</v>
      </c>
      <c r="F110" s="136">
        <f>Rates!G106</f>
        <v>22</v>
      </c>
      <c r="G110" s="136">
        <f>Rates!H106</f>
        <v>17</v>
      </c>
    </row>
    <row r="111" spans="2:14" x14ac:dyDescent="0.25">
      <c r="B111" s="98" t="str">
        <f>Rates!C107</f>
        <v>Laos</v>
      </c>
      <c r="C111" s="98" t="str">
        <f>Rates!D107</f>
        <v>Partner Countries</v>
      </c>
      <c r="D111" s="136">
        <f>Rates!E107</f>
        <v>47</v>
      </c>
      <c r="E111" s="136">
        <f>Rates!F107</f>
        <v>33</v>
      </c>
      <c r="F111" s="136">
        <f>Rates!G107</f>
        <v>22</v>
      </c>
      <c r="G111" s="136">
        <f>Rates!H107</f>
        <v>17</v>
      </c>
    </row>
    <row r="112" spans="2:14" x14ac:dyDescent="0.25">
      <c r="B112" s="98" t="str">
        <f>Rates!C108</f>
        <v>Lebanon</v>
      </c>
      <c r="C112" s="98" t="str">
        <f>Rates!D108</f>
        <v>Partner Countries</v>
      </c>
      <c r="D112" s="136">
        <f>Rates!E108</f>
        <v>108</v>
      </c>
      <c r="E112" s="136">
        <f>Rates!F108</f>
        <v>80</v>
      </c>
      <c r="F112" s="136">
        <f>Rates!G108</f>
        <v>57</v>
      </c>
      <c r="G112" s="136">
        <f>Rates!H108</f>
        <v>45</v>
      </c>
    </row>
    <row r="113" spans="2:7" x14ac:dyDescent="0.25">
      <c r="B113" s="98" t="str">
        <f>Rates!C109</f>
        <v>Lesotho</v>
      </c>
      <c r="C113" s="98" t="str">
        <f>Rates!D109</f>
        <v>Partner Countries</v>
      </c>
      <c r="D113" s="136">
        <f>Rates!E109</f>
        <v>47</v>
      </c>
      <c r="E113" s="136">
        <f>Rates!F109</f>
        <v>33</v>
      </c>
      <c r="F113" s="136">
        <f>Rates!G109</f>
        <v>22</v>
      </c>
      <c r="G113" s="136">
        <f>Rates!H109</f>
        <v>17</v>
      </c>
    </row>
    <row r="114" spans="2:7" x14ac:dyDescent="0.25">
      <c r="B114" s="98" t="str">
        <f>Rates!C110</f>
        <v>Liberia</v>
      </c>
      <c r="C114" s="98" t="str">
        <f>Rates!D110</f>
        <v>Partner Countries</v>
      </c>
      <c r="D114" s="136">
        <f>Rates!E110</f>
        <v>47</v>
      </c>
      <c r="E114" s="136">
        <f>Rates!F110</f>
        <v>33</v>
      </c>
      <c r="F114" s="136">
        <f>Rates!G110</f>
        <v>22</v>
      </c>
      <c r="G114" s="136">
        <f>Rates!H110</f>
        <v>17</v>
      </c>
    </row>
    <row r="115" spans="2:7" x14ac:dyDescent="0.25">
      <c r="B115" s="98" t="str">
        <f>Rates!C111</f>
        <v>Libya</v>
      </c>
      <c r="C115" s="98" t="str">
        <f>Rates!D111</f>
        <v>Partner Countries</v>
      </c>
      <c r="D115" s="136">
        <f>Rates!E111</f>
        <v>108</v>
      </c>
      <c r="E115" s="136">
        <f>Rates!F111</f>
        <v>80</v>
      </c>
      <c r="F115" s="136">
        <f>Rates!G111</f>
        <v>57</v>
      </c>
      <c r="G115" s="136">
        <f>Rates!H111</f>
        <v>45</v>
      </c>
    </row>
    <row r="116" spans="2:7" x14ac:dyDescent="0.25">
      <c r="B116" s="98" t="str">
        <f>Rates!C112</f>
        <v>Madagascar</v>
      </c>
      <c r="C116" s="98" t="str">
        <f>Rates!D112</f>
        <v>Partner Countries</v>
      </c>
      <c r="D116" s="136">
        <f>Rates!E112</f>
        <v>47</v>
      </c>
      <c r="E116" s="136">
        <f>Rates!F112</f>
        <v>33</v>
      </c>
      <c r="F116" s="136">
        <f>Rates!G112</f>
        <v>22</v>
      </c>
      <c r="G116" s="136">
        <f>Rates!H112</f>
        <v>17</v>
      </c>
    </row>
    <row r="117" spans="2:7" x14ac:dyDescent="0.25">
      <c r="B117" s="98" t="str">
        <f>Rates!C113</f>
        <v>Malawi</v>
      </c>
      <c r="C117" s="98" t="str">
        <f>Rates!D113</f>
        <v>Partner Countries</v>
      </c>
      <c r="D117" s="136">
        <f>Rates!E113</f>
        <v>47</v>
      </c>
      <c r="E117" s="136">
        <f>Rates!F113</f>
        <v>33</v>
      </c>
      <c r="F117" s="136">
        <f>Rates!G113</f>
        <v>22</v>
      </c>
      <c r="G117" s="136">
        <f>Rates!H113</f>
        <v>17</v>
      </c>
    </row>
    <row r="118" spans="2:7" x14ac:dyDescent="0.25">
      <c r="B118" s="98" t="str">
        <f>Rates!C114</f>
        <v>Malaysia</v>
      </c>
      <c r="C118" s="98" t="str">
        <f>Rates!D114</f>
        <v>Partner Countries</v>
      </c>
      <c r="D118" s="136">
        <f>Rates!E114</f>
        <v>47</v>
      </c>
      <c r="E118" s="136">
        <f>Rates!F114</f>
        <v>33</v>
      </c>
      <c r="F118" s="136">
        <f>Rates!G114</f>
        <v>22</v>
      </c>
      <c r="G118" s="136">
        <f>Rates!H114</f>
        <v>17</v>
      </c>
    </row>
    <row r="119" spans="2:7" x14ac:dyDescent="0.25">
      <c r="B119" s="98" t="str">
        <f>Rates!C115</f>
        <v>Maldives</v>
      </c>
      <c r="C119" s="98" t="str">
        <f>Rates!D115</f>
        <v>Partner Countries</v>
      </c>
      <c r="D119" s="136">
        <f>Rates!E115</f>
        <v>47</v>
      </c>
      <c r="E119" s="136">
        <f>Rates!F115</f>
        <v>33</v>
      </c>
      <c r="F119" s="136">
        <f>Rates!G115</f>
        <v>22</v>
      </c>
      <c r="G119" s="136">
        <f>Rates!H115</f>
        <v>17</v>
      </c>
    </row>
    <row r="120" spans="2:7" x14ac:dyDescent="0.25">
      <c r="B120" s="98" t="str">
        <f>Rates!C116</f>
        <v>Mali</v>
      </c>
      <c r="C120" s="98" t="str">
        <f>Rates!D116</f>
        <v>Partner Countries</v>
      </c>
      <c r="D120" s="136">
        <f>Rates!E116</f>
        <v>47</v>
      </c>
      <c r="E120" s="136">
        <f>Rates!F116</f>
        <v>33</v>
      </c>
      <c r="F120" s="136">
        <f>Rates!G116</f>
        <v>22</v>
      </c>
      <c r="G120" s="136">
        <f>Rates!H116</f>
        <v>17</v>
      </c>
    </row>
    <row r="121" spans="2:7" x14ac:dyDescent="0.25">
      <c r="B121" s="98" t="str">
        <f>Rates!C117</f>
        <v>Marshall Islands</v>
      </c>
      <c r="C121" s="98" t="str">
        <f>Rates!D117</f>
        <v>Partner Countries</v>
      </c>
      <c r="D121" s="136">
        <f>Rates!E117</f>
        <v>47</v>
      </c>
      <c r="E121" s="136">
        <f>Rates!F117</f>
        <v>33</v>
      </c>
      <c r="F121" s="136">
        <f>Rates!G117</f>
        <v>22</v>
      </c>
      <c r="G121" s="136">
        <f>Rates!H117</f>
        <v>17</v>
      </c>
    </row>
    <row r="122" spans="2:7" x14ac:dyDescent="0.25">
      <c r="B122" s="98" t="str">
        <f>Rates!C118</f>
        <v>Mauritania</v>
      </c>
      <c r="C122" s="98" t="str">
        <f>Rates!D118</f>
        <v>Partner Countries</v>
      </c>
      <c r="D122" s="136">
        <f>Rates!E118</f>
        <v>47</v>
      </c>
      <c r="E122" s="136">
        <f>Rates!F118</f>
        <v>33</v>
      </c>
      <c r="F122" s="136">
        <f>Rates!G118</f>
        <v>22</v>
      </c>
      <c r="G122" s="136">
        <f>Rates!H118</f>
        <v>17</v>
      </c>
    </row>
    <row r="123" spans="2:7" x14ac:dyDescent="0.25">
      <c r="B123" s="98" t="str">
        <f>Rates!C119</f>
        <v>Mauritius</v>
      </c>
      <c r="C123" s="98" t="str">
        <f>Rates!D119</f>
        <v>Partner Countries</v>
      </c>
      <c r="D123" s="136">
        <f>Rates!E119</f>
        <v>47</v>
      </c>
      <c r="E123" s="136">
        <f>Rates!F119</f>
        <v>33</v>
      </c>
      <c r="F123" s="136">
        <f>Rates!G119</f>
        <v>22</v>
      </c>
      <c r="G123" s="136">
        <f>Rates!H119</f>
        <v>17</v>
      </c>
    </row>
    <row r="124" spans="2:7" x14ac:dyDescent="0.25">
      <c r="B124" s="98" t="str">
        <f>Rates!C120</f>
        <v>Mexico</v>
      </c>
      <c r="C124" s="98" t="str">
        <f>Rates!D120</f>
        <v>Partner Countries</v>
      </c>
      <c r="D124" s="136">
        <f>Rates!E120</f>
        <v>108</v>
      </c>
      <c r="E124" s="136">
        <f>Rates!F120</f>
        <v>80</v>
      </c>
      <c r="F124" s="136">
        <f>Rates!G120</f>
        <v>57</v>
      </c>
      <c r="G124" s="136">
        <f>Rates!H120</f>
        <v>45</v>
      </c>
    </row>
    <row r="125" spans="2:7" x14ac:dyDescent="0.25">
      <c r="B125" s="98" t="str">
        <f>Rates!C121</f>
        <v>Micronesia - Federated States of-</v>
      </c>
      <c r="C125" s="98" t="str">
        <f>Rates!D121</f>
        <v>Partner Countries</v>
      </c>
      <c r="D125" s="136">
        <f>Rates!E121</f>
        <v>77</v>
      </c>
      <c r="E125" s="136">
        <f>Rates!F121</f>
        <v>57</v>
      </c>
      <c r="F125" s="136">
        <f>Rates!G121</f>
        <v>40</v>
      </c>
      <c r="G125" s="136">
        <f>Rates!H121</f>
        <v>32</v>
      </c>
    </row>
    <row r="126" spans="2:7" x14ac:dyDescent="0.25">
      <c r="B126" s="98" t="str">
        <f>Rates!C122</f>
        <v>Moldova</v>
      </c>
      <c r="C126" s="98" t="str">
        <f>Rates!D122</f>
        <v>Partner Countries</v>
      </c>
      <c r="D126" s="136">
        <f>Rates!E122</f>
        <v>47</v>
      </c>
      <c r="E126" s="136">
        <f>Rates!F122</f>
        <v>33</v>
      </c>
      <c r="F126" s="136">
        <f>Rates!G122</f>
        <v>22</v>
      </c>
      <c r="G126" s="136">
        <f>Rates!H122</f>
        <v>17</v>
      </c>
    </row>
    <row r="127" spans="2:7" x14ac:dyDescent="0.25">
      <c r="B127" s="98" t="str">
        <f>Rates!C123</f>
        <v>Mongolia</v>
      </c>
      <c r="C127" s="98" t="str">
        <f>Rates!D123</f>
        <v>Partner Countries</v>
      </c>
      <c r="D127" s="136">
        <f>Rates!E123</f>
        <v>47</v>
      </c>
      <c r="E127" s="136">
        <f>Rates!F123</f>
        <v>33</v>
      </c>
      <c r="F127" s="136">
        <f>Rates!G123</f>
        <v>22</v>
      </c>
      <c r="G127" s="136">
        <f>Rates!H123</f>
        <v>17</v>
      </c>
    </row>
    <row r="128" spans="2:7" x14ac:dyDescent="0.25">
      <c r="B128" s="98" t="str">
        <f>Rates!C124</f>
        <v>Montenegro</v>
      </c>
      <c r="C128" s="98" t="str">
        <f>Rates!D124</f>
        <v>Partner Countries</v>
      </c>
      <c r="D128" s="136">
        <f>Rates!E124</f>
        <v>108</v>
      </c>
      <c r="E128" s="136">
        <f>Rates!F124</f>
        <v>80</v>
      </c>
      <c r="F128" s="136">
        <f>Rates!G124</f>
        <v>57</v>
      </c>
      <c r="G128" s="136">
        <f>Rates!H124</f>
        <v>45</v>
      </c>
    </row>
    <row r="129" spans="2:7" x14ac:dyDescent="0.25">
      <c r="B129" s="98" t="str">
        <f>Rates!C125</f>
        <v>Morocco</v>
      </c>
      <c r="C129" s="98" t="str">
        <f>Rates!D125</f>
        <v>Partner Countries</v>
      </c>
      <c r="D129" s="136">
        <f>Rates!E125</f>
        <v>77</v>
      </c>
      <c r="E129" s="136">
        <f>Rates!F125</f>
        <v>57</v>
      </c>
      <c r="F129" s="136">
        <f>Rates!G125</f>
        <v>40</v>
      </c>
      <c r="G129" s="136">
        <f>Rates!H125</f>
        <v>32</v>
      </c>
    </row>
    <row r="130" spans="2:7" x14ac:dyDescent="0.25">
      <c r="B130" s="98" t="str">
        <f>Rates!C126</f>
        <v>Mozambique</v>
      </c>
      <c r="C130" s="98" t="str">
        <f>Rates!D126</f>
        <v>Partner Countries</v>
      </c>
      <c r="D130" s="136">
        <f>Rates!E126</f>
        <v>77</v>
      </c>
      <c r="E130" s="136">
        <f>Rates!F126</f>
        <v>57</v>
      </c>
      <c r="F130" s="136">
        <f>Rates!G126</f>
        <v>40</v>
      </c>
      <c r="G130" s="136">
        <f>Rates!H126</f>
        <v>32</v>
      </c>
    </row>
    <row r="131" spans="2:7" x14ac:dyDescent="0.25">
      <c r="B131" s="98" t="str">
        <f>Rates!C127</f>
        <v>Myanmar</v>
      </c>
      <c r="C131" s="98" t="str">
        <f>Rates!D127</f>
        <v>Partner Countries</v>
      </c>
      <c r="D131" s="136">
        <f>Rates!E127</f>
        <v>47</v>
      </c>
      <c r="E131" s="136">
        <f>Rates!F127</f>
        <v>33</v>
      </c>
      <c r="F131" s="136">
        <f>Rates!G127</f>
        <v>22</v>
      </c>
      <c r="G131" s="136">
        <f>Rates!H127</f>
        <v>17</v>
      </c>
    </row>
    <row r="132" spans="2:7" x14ac:dyDescent="0.25">
      <c r="B132" s="98" t="str">
        <f>Rates!C128</f>
        <v>Namibia</v>
      </c>
      <c r="C132" s="98" t="str">
        <f>Rates!D128</f>
        <v>Partner Countries</v>
      </c>
      <c r="D132" s="136">
        <f>Rates!E128</f>
        <v>77</v>
      </c>
      <c r="E132" s="136">
        <f>Rates!F128</f>
        <v>57</v>
      </c>
      <c r="F132" s="136">
        <f>Rates!G128</f>
        <v>40</v>
      </c>
      <c r="G132" s="136">
        <f>Rates!H128</f>
        <v>32</v>
      </c>
    </row>
    <row r="133" spans="2:7" x14ac:dyDescent="0.25">
      <c r="B133" s="98" t="str">
        <f>Rates!C129</f>
        <v>Nauru</v>
      </c>
      <c r="C133" s="98" t="str">
        <f>Rates!D129</f>
        <v>Partner Countries</v>
      </c>
      <c r="D133" s="136">
        <f>Rates!E129</f>
        <v>47</v>
      </c>
      <c r="E133" s="136">
        <f>Rates!F129</f>
        <v>33</v>
      </c>
      <c r="F133" s="136">
        <f>Rates!G129</f>
        <v>22</v>
      </c>
      <c r="G133" s="136">
        <f>Rates!H129</f>
        <v>17</v>
      </c>
    </row>
    <row r="134" spans="2:7" x14ac:dyDescent="0.25">
      <c r="B134" s="98" t="str">
        <f>Rates!C130</f>
        <v>Nepal</v>
      </c>
      <c r="C134" s="98" t="str">
        <f>Rates!D130</f>
        <v>Partner Countries</v>
      </c>
      <c r="D134" s="136">
        <f>Rates!E130</f>
        <v>47</v>
      </c>
      <c r="E134" s="136">
        <f>Rates!F130</f>
        <v>33</v>
      </c>
      <c r="F134" s="136">
        <f>Rates!G130</f>
        <v>22</v>
      </c>
      <c r="G134" s="136">
        <f>Rates!H130</f>
        <v>17</v>
      </c>
    </row>
    <row r="135" spans="2:7" x14ac:dyDescent="0.25">
      <c r="B135" s="98" t="str">
        <f>Rates!C131</f>
        <v>Nicaragua</v>
      </c>
      <c r="C135" s="98" t="str">
        <f>Rates!D131</f>
        <v>Partner Countries</v>
      </c>
      <c r="D135" s="136">
        <f>Rates!E131</f>
        <v>47</v>
      </c>
      <c r="E135" s="136">
        <f>Rates!F131</f>
        <v>33</v>
      </c>
      <c r="F135" s="136">
        <f>Rates!G131</f>
        <v>22</v>
      </c>
      <c r="G135" s="136">
        <f>Rates!H131</f>
        <v>17</v>
      </c>
    </row>
    <row r="136" spans="2:7" x14ac:dyDescent="0.25">
      <c r="B136" s="98" t="str">
        <f>Rates!C132</f>
        <v>Niger</v>
      </c>
      <c r="C136" s="98" t="str">
        <f>Rates!D132</f>
        <v>Partner Countries</v>
      </c>
      <c r="D136" s="136">
        <f>Rates!E132</f>
        <v>47</v>
      </c>
      <c r="E136" s="136">
        <f>Rates!F132</f>
        <v>33</v>
      </c>
      <c r="F136" s="136">
        <f>Rates!G132</f>
        <v>22</v>
      </c>
      <c r="G136" s="136">
        <f>Rates!H132</f>
        <v>17</v>
      </c>
    </row>
    <row r="137" spans="2:7" x14ac:dyDescent="0.25">
      <c r="B137" s="98" t="str">
        <f>Rates!C133</f>
        <v>Nigeria</v>
      </c>
      <c r="C137" s="98" t="str">
        <f>Rates!D133</f>
        <v>Partner Countries</v>
      </c>
      <c r="D137" s="136">
        <f>Rates!E133</f>
        <v>108</v>
      </c>
      <c r="E137" s="136">
        <f>Rates!F133</f>
        <v>80</v>
      </c>
      <c r="F137" s="136">
        <f>Rates!G133</f>
        <v>57</v>
      </c>
      <c r="G137" s="136">
        <f>Rates!H133</f>
        <v>45</v>
      </c>
    </row>
    <row r="138" spans="2:7" x14ac:dyDescent="0.25">
      <c r="B138" s="98" t="str">
        <f>Rates!C134</f>
        <v>Niue</v>
      </c>
      <c r="C138" s="98" t="str">
        <f>Rates!D134</f>
        <v>Partner Countries</v>
      </c>
      <c r="D138" s="136">
        <f>Rates!E134</f>
        <v>47</v>
      </c>
      <c r="E138" s="136">
        <f>Rates!F134</f>
        <v>33</v>
      </c>
      <c r="F138" s="136">
        <f>Rates!G134</f>
        <v>22</v>
      </c>
      <c r="G138" s="136">
        <f>Rates!H134</f>
        <v>17</v>
      </c>
    </row>
    <row r="139" spans="2:7" x14ac:dyDescent="0.25">
      <c r="B139" s="98" t="str">
        <f>Rates!C135</f>
        <v>Pakistan</v>
      </c>
      <c r="C139" s="98" t="str">
        <f>Rates!D135</f>
        <v>Partner Countries</v>
      </c>
      <c r="D139" s="136">
        <f>Rates!E135</f>
        <v>47</v>
      </c>
      <c r="E139" s="136">
        <f>Rates!F135</f>
        <v>33</v>
      </c>
      <c r="F139" s="136">
        <f>Rates!G135</f>
        <v>22</v>
      </c>
      <c r="G139" s="136">
        <f>Rates!H135</f>
        <v>17</v>
      </c>
    </row>
    <row r="140" spans="2:7" x14ac:dyDescent="0.25">
      <c r="B140" s="98" t="str">
        <f>Rates!C136</f>
        <v>Palau</v>
      </c>
      <c r="C140" s="98" t="str">
        <f>Rates!D136</f>
        <v>Partner Countries</v>
      </c>
      <c r="D140" s="136">
        <f>Rates!E136</f>
        <v>47</v>
      </c>
      <c r="E140" s="136">
        <f>Rates!F136</f>
        <v>33</v>
      </c>
      <c r="F140" s="136">
        <f>Rates!G136</f>
        <v>22</v>
      </c>
      <c r="G140" s="136">
        <f>Rates!H136</f>
        <v>17</v>
      </c>
    </row>
    <row r="141" spans="2:7" x14ac:dyDescent="0.25">
      <c r="B141" s="98" t="str">
        <f>Rates!C137</f>
        <v>Palestine</v>
      </c>
      <c r="C141" s="98" t="str">
        <f>Rates!D137</f>
        <v>Partner Countries</v>
      </c>
      <c r="D141" s="136">
        <f>Rates!E137</f>
        <v>77</v>
      </c>
      <c r="E141" s="136">
        <f>Rates!F137</f>
        <v>57</v>
      </c>
      <c r="F141" s="136">
        <f>Rates!G137</f>
        <v>40</v>
      </c>
      <c r="G141" s="136">
        <f>Rates!H137</f>
        <v>32</v>
      </c>
    </row>
    <row r="142" spans="2:7" x14ac:dyDescent="0.25">
      <c r="B142" s="98" t="str">
        <f>Rates!C138</f>
        <v>Panama</v>
      </c>
      <c r="C142" s="98" t="str">
        <f>Rates!D138</f>
        <v>Partner Countries</v>
      </c>
      <c r="D142" s="136">
        <f>Rates!E138</f>
        <v>77</v>
      </c>
      <c r="E142" s="136">
        <f>Rates!F138</f>
        <v>57</v>
      </c>
      <c r="F142" s="136">
        <f>Rates!G138</f>
        <v>40</v>
      </c>
      <c r="G142" s="136">
        <f>Rates!H138</f>
        <v>32</v>
      </c>
    </row>
    <row r="143" spans="2:7" x14ac:dyDescent="0.25">
      <c r="B143" s="98" t="str">
        <f>Rates!C139</f>
        <v>Papua New Guinea</v>
      </c>
      <c r="C143" s="98" t="str">
        <f>Rates!D139</f>
        <v>Partner Countries</v>
      </c>
      <c r="D143" s="136">
        <f>Rates!E139</f>
        <v>77</v>
      </c>
      <c r="E143" s="136">
        <f>Rates!F139</f>
        <v>57</v>
      </c>
      <c r="F143" s="136">
        <f>Rates!G139</f>
        <v>40</v>
      </c>
      <c r="G143" s="136">
        <f>Rates!H139</f>
        <v>32</v>
      </c>
    </row>
    <row r="144" spans="2:7" x14ac:dyDescent="0.25">
      <c r="B144" s="98" t="str">
        <f>Rates!C140</f>
        <v>Paraguay</v>
      </c>
      <c r="C144" s="98" t="str">
        <f>Rates!D140</f>
        <v>Partner Countries</v>
      </c>
      <c r="D144" s="136">
        <f>Rates!E140</f>
        <v>77</v>
      </c>
      <c r="E144" s="136">
        <f>Rates!F140</f>
        <v>57</v>
      </c>
      <c r="F144" s="136">
        <f>Rates!G140</f>
        <v>40</v>
      </c>
      <c r="G144" s="136">
        <f>Rates!H140</f>
        <v>32</v>
      </c>
    </row>
    <row r="145" spans="2:7" x14ac:dyDescent="0.25">
      <c r="B145" s="98" t="str">
        <f>Rates!C141</f>
        <v>Peru</v>
      </c>
      <c r="C145" s="98" t="str">
        <f>Rates!D141</f>
        <v>Partner Countries</v>
      </c>
      <c r="D145" s="136">
        <f>Rates!E141</f>
        <v>108</v>
      </c>
      <c r="E145" s="136">
        <f>Rates!F141</f>
        <v>80</v>
      </c>
      <c r="F145" s="136">
        <f>Rates!G141</f>
        <v>57</v>
      </c>
      <c r="G145" s="136">
        <f>Rates!H141</f>
        <v>45</v>
      </c>
    </row>
    <row r="146" spans="2:7" x14ac:dyDescent="0.25">
      <c r="B146" s="98" t="str">
        <f>Rates!C142</f>
        <v>Philippines</v>
      </c>
      <c r="C146" s="98" t="str">
        <f>Rates!D142</f>
        <v>Partner Countries</v>
      </c>
      <c r="D146" s="136">
        <f>Rates!E142</f>
        <v>47</v>
      </c>
      <c r="E146" s="136">
        <f>Rates!F142</f>
        <v>33</v>
      </c>
      <c r="F146" s="136">
        <f>Rates!G142</f>
        <v>22</v>
      </c>
      <c r="G146" s="136">
        <f>Rates!H142</f>
        <v>17</v>
      </c>
    </row>
    <row r="147" spans="2:7" x14ac:dyDescent="0.25">
      <c r="B147" s="98" t="str">
        <f>Rates!C143</f>
        <v>Russia</v>
      </c>
      <c r="C147" s="98" t="str">
        <f>Rates!D143</f>
        <v>Partner Countries</v>
      </c>
      <c r="D147" s="136">
        <f>Rates!E143</f>
        <v>77</v>
      </c>
      <c r="E147" s="136">
        <f>Rates!F143</f>
        <v>57</v>
      </c>
      <c r="F147" s="136">
        <f>Rates!G143</f>
        <v>40</v>
      </c>
      <c r="G147" s="136">
        <f>Rates!H143</f>
        <v>32</v>
      </c>
    </row>
    <row r="148" spans="2:7" x14ac:dyDescent="0.25">
      <c r="B148" s="98" t="str">
        <f>Rates!C144</f>
        <v>Rwanda</v>
      </c>
      <c r="C148" s="98" t="str">
        <f>Rates!D144</f>
        <v>Partner Countries</v>
      </c>
      <c r="D148" s="136">
        <f>Rates!E144</f>
        <v>47</v>
      </c>
      <c r="E148" s="136">
        <f>Rates!F144</f>
        <v>33</v>
      </c>
      <c r="F148" s="136">
        <f>Rates!G144</f>
        <v>22</v>
      </c>
      <c r="G148" s="136">
        <f>Rates!H144</f>
        <v>17</v>
      </c>
    </row>
    <row r="149" spans="2:7" x14ac:dyDescent="0.25">
      <c r="B149" s="98" t="str">
        <f>Rates!C145</f>
        <v>Saint Kitts and Nevis</v>
      </c>
      <c r="C149" s="98" t="str">
        <f>Rates!D145</f>
        <v>Partner Countries</v>
      </c>
      <c r="D149" s="136">
        <f>Rates!E145</f>
        <v>108</v>
      </c>
      <c r="E149" s="136">
        <f>Rates!F145</f>
        <v>80</v>
      </c>
      <c r="F149" s="136">
        <f>Rates!G145</f>
        <v>57</v>
      </c>
      <c r="G149" s="136">
        <f>Rates!H145</f>
        <v>45</v>
      </c>
    </row>
    <row r="150" spans="2:7" x14ac:dyDescent="0.25">
      <c r="B150" s="98" t="str">
        <f>Rates!C146</f>
        <v>Saint Lucia</v>
      </c>
      <c r="C150" s="98" t="str">
        <f>Rates!D146</f>
        <v>Partner Countries</v>
      </c>
      <c r="D150" s="136">
        <f>Rates!E146</f>
        <v>108</v>
      </c>
      <c r="E150" s="136">
        <f>Rates!F146</f>
        <v>80</v>
      </c>
      <c r="F150" s="136">
        <f>Rates!G146</f>
        <v>57</v>
      </c>
      <c r="G150" s="136">
        <f>Rates!H146</f>
        <v>45</v>
      </c>
    </row>
    <row r="151" spans="2:7" x14ac:dyDescent="0.25">
      <c r="B151" s="98" t="str">
        <f>Rates!C147</f>
        <v>Saint Vincent and the Grenadines</v>
      </c>
      <c r="C151" s="98" t="str">
        <f>Rates!D147</f>
        <v>Partner Countries</v>
      </c>
      <c r="D151" s="136">
        <f>Rates!E147</f>
        <v>108</v>
      </c>
      <c r="E151" s="136">
        <f>Rates!F147</f>
        <v>80</v>
      </c>
      <c r="F151" s="136">
        <f>Rates!G147</f>
        <v>57</v>
      </c>
      <c r="G151" s="136">
        <f>Rates!H147</f>
        <v>45</v>
      </c>
    </row>
    <row r="152" spans="2:7" x14ac:dyDescent="0.25">
      <c r="B152" s="98" t="str">
        <f>Rates!C148</f>
        <v>Samoa</v>
      </c>
      <c r="C152" s="98" t="str">
        <f>Rates!D148</f>
        <v>Partner Countries</v>
      </c>
      <c r="D152" s="136">
        <f>Rates!E148</f>
        <v>47</v>
      </c>
      <c r="E152" s="136">
        <f>Rates!F148</f>
        <v>33</v>
      </c>
      <c r="F152" s="136">
        <f>Rates!G148</f>
        <v>22</v>
      </c>
      <c r="G152" s="136">
        <f>Rates!H148</f>
        <v>17</v>
      </c>
    </row>
    <row r="153" spans="2:7" x14ac:dyDescent="0.25">
      <c r="B153" s="98" t="str">
        <f>Rates!C149</f>
        <v>Sao Tome and Principe</v>
      </c>
      <c r="C153" s="98" t="str">
        <f>Rates!D149</f>
        <v>Partner Countries</v>
      </c>
      <c r="D153" s="136">
        <f>Rates!E149</f>
        <v>108</v>
      </c>
      <c r="E153" s="136">
        <f>Rates!F149</f>
        <v>80</v>
      </c>
      <c r="F153" s="136">
        <f>Rates!G149</f>
        <v>57</v>
      </c>
      <c r="G153" s="136">
        <f>Rates!H149</f>
        <v>45</v>
      </c>
    </row>
    <row r="154" spans="2:7" x14ac:dyDescent="0.25">
      <c r="B154" s="98" t="str">
        <f>Rates!C150</f>
        <v>Senegal</v>
      </c>
      <c r="C154" s="98" t="str">
        <f>Rates!D150</f>
        <v>Partner Countries</v>
      </c>
      <c r="D154" s="136">
        <f>Rates!E150</f>
        <v>77</v>
      </c>
      <c r="E154" s="136">
        <f>Rates!F150</f>
        <v>57</v>
      </c>
      <c r="F154" s="136">
        <f>Rates!G150</f>
        <v>40</v>
      </c>
      <c r="G154" s="136">
        <f>Rates!H150</f>
        <v>32</v>
      </c>
    </row>
    <row r="155" spans="2:7" x14ac:dyDescent="0.25">
      <c r="B155" s="98" t="str">
        <f>Rates!C151</f>
        <v>Serbia</v>
      </c>
      <c r="C155" s="98" t="str">
        <f>Rates!D151</f>
        <v>Partner Countries</v>
      </c>
      <c r="D155" s="136">
        <f>Rates!E151</f>
        <v>108</v>
      </c>
      <c r="E155" s="136">
        <f>Rates!F151</f>
        <v>80</v>
      </c>
      <c r="F155" s="136">
        <f>Rates!G151</f>
        <v>57</v>
      </c>
      <c r="G155" s="136">
        <f>Rates!H151</f>
        <v>45</v>
      </c>
    </row>
    <row r="156" spans="2:7" x14ac:dyDescent="0.25">
      <c r="B156" s="98" t="str">
        <f>Rates!C152</f>
        <v>Seychelles</v>
      </c>
      <c r="C156" s="98" t="str">
        <f>Rates!D152</f>
        <v>Partner Countries</v>
      </c>
      <c r="D156" s="136">
        <f>Rates!E152</f>
        <v>108</v>
      </c>
      <c r="E156" s="136">
        <f>Rates!F152</f>
        <v>80</v>
      </c>
      <c r="F156" s="136">
        <f>Rates!G152</f>
        <v>57</v>
      </c>
      <c r="G156" s="136">
        <f>Rates!H152</f>
        <v>45</v>
      </c>
    </row>
    <row r="157" spans="2:7" x14ac:dyDescent="0.25">
      <c r="B157" s="98" t="str">
        <f>Rates!C153</f>
        <v>Sierra Leone</v>
      </c>
      <c r="C157" s="98" t="str">
        <f>Rates!D153</f>
        <v>Partner Countries</v>
      </c>
      <c r="D157" s="136">
        <f>Rates!E153</f>
        <v>47</v>
      </c>
      <c r="E157" s="136">
        <f>Rates!F153</f>
        <v>33</v>
      </c>
      <c r="F157" s="136">
        <f>Rates!G153</f>
        <v>22</v>
      </c>
      <c r="G157" s="136">
        <f>Rates!H153</f>
        <v>17</v>
      </c>
    </row>
    <row r="158" spans="2:7" x14ac:dyDescent="0.25">
      <c r="B158" s="98" t="str">
        <f>Rates!C154</f>
        <v>Solomon Islands</v>
      </c>
      <c r="C158" s="98" t="str">
        <f>Rates!D154</f>
        <v>Partner Countries</v>
      </c>
      <c r="D158" s="136">
        <f>Rates!E154</f>
        <v>47</v>
      </c>
      <c r="E158" s="136">
        <f>Rates!F154</f>
        <v>33</v>
      </c>
      <c r="F158" s="136">
        <f>Rates!G154</f>
        <v>22</v>
      </c>
      <c r="G158" s="136">
        <f>Rates!H154</f>
        <v>17</v>
      </c>
    </row>
    <row r="159" spans="2:7" x14ac:dyDescent="0.25">
      <c r="B159" s="98" t="str">
        <f>Rates!C155</f>
        <v>Somalia</v>
      </c>
      <c r="C159" s="98" t="str">
        <f>Rates!D155</f>
        <v>Partner Countries</v>
      </c>
      <c r="D159" s="136">
        <f>Rates!E155</f>
        <v>47</v>
      </c>
      <c r="E159" s="136">
        <f>Rates!F155</f>
        <v>33</v>
      </c>
      <c r="F159" s="136">
        <f>Rates!G155</f>
        <v>22</v>
      </c>
      <c r="G159" s="136">
        <f>Rates!H155</f>
        <v>17</v>
      </c>
    </row>
    <row r="160" spans="2:7" x14ac:dyDescent="0.25">
      <c r="B160" s="98" t="str">
        <f>Rates!C156</f>
        <v>South Africa</v>
      </c>
      <c r="C160" s="98" t="str">
        <f>Rates!D156</f>
        <v>Partner Countries</v>
      </c>
      <c r="D160" s="136">
        <f>Rates!E156</f>
        <v>77</v>
      </c>
      <c r="E160" s="136">
        <f>Rates!F156</f>
        <v>57</v>
      </c>
      <c r="F160" s="136">
        <f>Rates!G156</f>
        <v>40</v>
      </c>
      <c r="G160" s="136">
        <f>Rates!H156</f>
        <v>32</v>
      </c>
    </row>
    <row r="161" spans="2:7" x14ac:dyDescent="0.25">
      <c r="B161" s="98" t="str">
        <f>Rates!C157</f>
        <v>South Sudan</v>
      </c>
      <c r="C161" s="98" t="str">
        <f>Rates!D157</f>
        <v>Partner Countries</v>
      </c>
      <c r="D161" s="136">
        <f>Rates!E157</f>
        <v>47</v>
      </c>
      <c r="E161" s="136">
        <f>Rates!F157</f>
        <v>33</v>
      </c>
      <c r="F161" s="136">
        <f>Rates!G157</f>
        <v>22</v>
      </c>
      <c r="G161" s="136">
        <f>Rates!H157</f>
        <v>17</v>
      </c>
    </row>
    <row r="162" spans="2:7" x14ac:dyDescent="0.25">
      <c r="B162" s="98" t="str">
        <f>Rates!C158</f>
        <v>Sri Lanka</v>
      </c>
      <c r="C162" s="98" t="str">
        <f>Rates!D158</f>
        <v>Partner Countries</v>
      </c>
      <c r="D162" s="136">
        <f>Rates!E158</f>
        <v>47</v>
      </c>
      <c r="E162" s="136">
        <f>Rates!F158</f>
        <v>33</v>
      </c>
      <c r="F162" s="136">
        <f>Rates!G158</f>
        <v>22</v>
      </c>
      <c r="G162" s="136">
        <f>Rates!H158</f>
        <v>17</v>
      </c>
    </row>
    <row r="163" spans="2:7" x14ac:dyDescent="0.25">
      <c r="B163" s="98" t="str">
        <f>Rates!C159</f>
        <v>Sudan</v>
      </c>
      <c r="C163" s="98" t="str">
        <f>Rates!D159</f>
        <v>Partner Countries</v>
      </c>
      <c r="D163" s="136">
        <f>Rates!E159</f>
        <v>47</v>
      </c>
      <c r="E163" s="136">
        <f>Rates!F159</f>
        <v>33</v>
      </c>
      <c r="F163" s="136">
        <f>Rates!G159</f>
        <v>22</v>
      </c>
      <c r="G163" s="136">
        <f>Rates!H159</f>
        <v>17</v>
      </c>
    </row>
    <row r="164" spans="2:7" x14ac:dyDescent="0.25">
      <c r="B164" s="98" t="str">
        <f>Rates!C160</f>
        <v>Suriname</v>
      </c>
      <c r="C164" s="98" t="str">
        <f>Rates!D160</f>
        <v>Partner Countries</v>
      </c>
      <c r="D164" s="136">
        <f>Rates!E160</f>
        <v>77</v>
      </c>
      <c r="E164" s="136">
        <f>Rates!F160</f>
        <v>57</v>
      </c>
      <c r="F164" s="136">
        <f>Rates!G160</f>
        <v>40</v>
      </c>
      <c r="G164" s="136">
        <f>Rates!H160</f>
        <v>32</v>
      </c>
    </row>
    <row r="165" spans="2:7" x14ac:dyDescent="0.25">
      <c r="B165" s="98" t="str">
        <f>Rates!C161</f>
        <v>Swaziland</v>
      </c>
      <c r="C165" s="98" t="str">
        <f>Rates!D161</f>
        <v>Partner Countries</v>
      </c>
      <c r="D165" s="136">
        <f>Rates!E161</f>
        <v>77</v>
      </c>
      <c r="E165" s="136">
        <f>Rates!F161</f>
        <v>57</v>
      </c>
      <c r="F165" s="136">
        <f>Rates!G161</f>
        <v>40</v>
      </c>
      <c r="G165" s="136">
        <f>Rates!H161</f>
        <v>32</v>
      </c>
    </row>
    <row r="166" spans="2:7" x14ac:dyDescent="0.25">
      <c r="B166" s="98" t="str">
        <f>Rates!C162</f>
        <v>Syria</v>
      </c>
      <c r="C166" s="98" t="str">
        <f>Rates!D162</f>
        <v>Partner Countries</v>
      </c>
      <c r="D166" s="136">
        <f>Rates!E162</f>
        <v>47</v>
      </c>
      <c r="E166" s="136">
        <f>Rates!F162</f>
        <v>33</v>
      </c>
      <c r="F166" s="136">
        <f>Rates!G162</f>
        <v>22</v>
      </c>
      <c r="G166" s="136">
        <f>Rates!H162</f>
        <v>17</v>
      </c>
    </row>
    <row r="167" spans="2:7" x14ac:dyDescent="0.25">
      <c r="B167" s="98" t="str">
        <f>Rates!C163</f>
        <v>Tajikistan</v>
      </c>
      <c r="C167" s="98" t="str">
        <f>Rates!D163</f>
        <v>Partner Countries</v>
      </c>
      <c r="D167" s="136">
        <f>Rates!E163</f>
        <v>47</v>
      </c>
      <c r="E167" s="136">
        <f>Rates!F163</f>
        <v>33</v>
      </c>
      <c r="F167" s="136">
        <f>Rates!G163</f>
        <v>22</v>
      </c>
      <c r="G167" s="136">
        <f>Rates!H163</f>
        <v>17</v>
      </c>
    </row>
    <row r="168" spans="2:7" x14ac:dyDescent="0.25">
      <c r="B168" s="98" t="str">
        <f>Rates!C164</f>
        <v>Tanzania</v>
      </c>
      <c r="C168" s="98" t="str">
        <f>Rates!D164</f>
        <v>Partner Countries</v>
      </c>
      <c r="D168" s="136">
        <f>Rates!E164</f>
        <v>47</v>
      </c>
      <c r="E168" s="136">
        <f>Rates!F164</f>
        <v>33</v>
      </c>
      <c r="F168" s="136">
        <f>Rates!G164</f>
        <v>22</v>
      </c>
      <c r="G168" s="136">
        <f>Rates!H164</f>
        <v>17</v>
      </c>
    </row>
    <row r="169" spans="2:7" x14ac:dyDescent="0.25">
      <c r="B169" s="98" t="str">
        <f>Rates!C165</f>
        <v>Thailand</v>
      </c>
      <c r="C169" s="98" t="str">
        <f>Rates!D165</f>
        <v>Partner Countries</v>
      </c>
      <c r="D169" s="136">
        <f>Rates!E165</f>
        <v>108</v>
      </c>
      <c r="E169" s="136">
        <f>Rates!F165</f>
        <v>80</v>
      </c>
      <c r="F169" s="136">
        <f>Rates!G165</f>
        <v>57</v>
      </c>
      <c r="G169" s="136">
        <f>Rates!H165</f>
        <v>45</v>
      </c>
    </row>
    <row r="170" spans="2:7" x14ac:dyDescent="0.25">
      <c r="B170" s="98" t="str">
        <f>Rates!C166</f>
        <v>Timor Leste - Republic of-</v>
      </c>
      <c r="C170" s="98" t="str">
        <f>Rates!D166</f>
        <v>Partner Countries</v>
      </c>
      <c r="D170" s="136">
        <f>Rates!E166</f>
        <v>47</v>
      </c>
      <c r="E170" s="136">
        <f>Rates!F166</f>
        <v>33</v>
      </c>
      <c r="F170" s="136">
        <f>Rates!G166</f>
        <v>22</v>
      </c>
      <c r="G170" s="136">
        <f>Rates!H166</f>
        <v>17</v>
      </c>
    </row>
    <row r="171" spans="2:7" x14ac:dyDescent="0.25">
      <c r="B171" s="98" t="str">
        <f>Rates!C167</f>
        <v>Togo</v>
      </c>
      <c r="C171" s="98" t="str">
        <f>Rates!D167</f>
        <v>Partner Countries</v>
      </c>
      <c r="D171" s="136">
        <f>Rates!E167</f>
        <v>47</v>
      </c>
      <c r="E171" s="136">
        <f>Rates!F167</f>
        <v>33</v>
      </c>
      <c r="F171" s="136">
        <f>Rates!G167</f>
        <v>22</v>
      </c>
      <c r="G171" s="136">
        <f>Rates!H167</f>
        <v>17</v>
      </c>
    </row>
    <row r="172" spans="2:7" x14ac:dyDescent="0.25">
      <c r="B172" s="98" t="str">
        <f>Rates!C168</f>
        <v>Tonga</v>
      </c>
      <c r="C172" s="98" t="str">
        <f>Rates!D168</f>
        <v>Partner Countries</v>
      </c>
      <c r="D172" s="136">
        <f>Rates!E168</f>
        <v>47</v>
      </c>
      <c r="E172" s="136">
        <f>Rates!F168</f>
        <v>33</v>
      </c>
      <c r="F172" s="136">
        <f>Rates!G168</f>
        <v>22</v>
      </c>
      <c r="G172" s="136">
        <f>Rates!H168</f>
        <v>17</v>
      </c>
    </row>
    <row r="173" spans="2:7" x14ac:dyDescent="0.25">
      <c r="B173" s="98" t="str">
        <f>Rates!C169</f>
        <v>Trinidad and Tobago</v>
      </c>
      <c r="C173" s="98" t="str">
        <f>Rates!D169</f>
        <v>Partner Countries</v>
      </c>
      <c r="D173" s="136">
        <f>Rates!E169</f>
        <v>77</v>
      </c>
      <c r="E173" s="136">
        <f>Rates!F169</f>
        <v>57</v>
      </c>
      <c r="F173" s="136">
        <f>Rates!G169</f>
        <v>40</v>
      </c>
      <c r="G173" s="136">
        <f>Rates!H169</f>
        <v>32</v>
      </c>
    </row>
    <row r="174" spans="2:7" x14ac:dyDescent="0.25">
      <c r="B174" s="98" t="str">
        <f>Rates!C170</f>
        <v>Tunisia</v>
      </c>
      <c r="C174" s="98" t="str">
        <f>Rates!D170</f>
        <v>Partner Countries</v>
      </c>
      <c r="D174" s="136">
        <f>Rates!E170</f>
        <v>47</v>
      </c>
      <c r="E174" s="136">
        <f>Rates!F170</f>
        <v>33</v>
      </c>
      <c r="F174" s="136">
        <f>Rates!G170</f>
        <v>22</v>
      </c>
      <c r="G174" s="136">
        <f>Rates!H170</f>
        <v>17</v>
      </c>
    </row>
    <row r="175" spans="2:7" x14ac:dyDescent="0.25">
      <c r="B175" s="98" t="str">
        <f>Rates!C171</f>
        <v>Turkmenistan</v>
      </c>
      <c r="C175" s="98" t="str">
        <f>Rates!D171</f>
        <v>Partner Countries</v>
      </c>
      <c r="D175" s="136">
        <f>Rates!E171</f>
        <v>47</v>
      </c>
      <c r="E175" s="136">
        <f>Rates!F171</f>
        <v>33</v>
      </c>
      <c r="F175" s="136">
        <f>Rates!G171</f>
        <v>22</v>
      </c>
      <c r="G175" s="136">
        <f>Rates!H171</f>
        <v>17</v>
      </c>
    </row>
    <row r="176" spans="2:7" x14ac:dyDescent="0.25">
      <c r="B176" s="98" t="str">
        <f>Rates!C172</f>
        <v>Tuvalu</v>
      </c>
      <c r="C176" s="98" t="str">
        <f>Rates!D172</f>
        <v>Partner Countries</v>
      </c>
      <c r="D176" s="136">
        <f>Rates!E172</f>
        <v>47</v>
      </c>
      <c r="E176" s="136">
        <f>Rates!F172</f>
        <v>33</v>
      </c>
      <c r="F176" s="136">
        <f>Rates!G172</f>
        <v>22</v>
      </c>
      <c r="G176" s="136">
        <f>Rates!H172</f>
        <v>17</v>
      </c>
    </row>
    <row r="177" spans="2:7" x14ac:dyDescent="0.25">
      <c r="B177" s="98" t="str">
        <f>Rates!C173</f>
        <v>Uganda</v>
      </c>
      <c r="C177" s="98" t="str">
        <f>Rates!D173</f>
        <v>Partner Countries</v>
      </c>
      <c r="D177" s="136">
        <f>Rates!E173</f>
        <v>47</v>
      </c>
      <c r="E177" s="136">
        <f>Rates!F173</f>
        <v>33</v>
      </c>
      <c r="F177" s="136">
        <f>Rates!G173</f>
        <v>22</v>
      </c>
      <c r="G177" s="136">
        <f>Rates!H173</f>
        <v>17</v>
      </c>
    </row>
    <row r="178" spans="2:7" x14ac:dyDescent="0.25">
      <c r="B178" s="98" t="str">
        <f>Rates!C174</f>
        <v>Ukraine</v>
      </c>
      <c r="C178" s="98" t="str">
        <f>Rates!D174</f>
        <v>Partner Countries</v>
      </c>
      <c r="D178" s="136">
        <f>Rates!E174</f>
        <v>108</v>
      </c>
      <c r="E178" s="136">
        <f>Rates!F174</f>
        <v>80</v>
      </c>
      <c r="F178" s="136">
        <f>Rates!G174</f>
        <v>57</v>
      </c>
      <c r="G178" s="136">
        <f>Rates!H174</f>
        <v>45</v>
      </c>
    </row>
    <row r="179" spans="2:7" x14ac:dyDescent="0.25">
      <c r="B179" s="98" t="str">
        <f>Rates!C175</f>
        <v>Uruguay</v>
      </c>
      <c r="C179" s="98" t="str">
        <f>Rates!D175</f>
        <v>Partner Countries</v>
      </c>
      <c r="D179" s="136">
        <f>Rates!E175</f>
        <v>108</v>
      </c>
      <c r="E179" s="136">
        <f>Rates!F175</f>
        <v>80</v>
      </c>
      <c r="F179" s="136">
        <f>Rates!G175</f>
        <v>57</v>
      </c>
      <c r="G179" s="136">
        <f>Rates!H175</f>
        <v>45</v>
      </c>
    </row>
    <row r="180" spans="2:7" x14ac:dyDescent="0.25">
      <c r="B180" s="98" t="str">
        <f>Rates!C176</f>
        <v>Uzbekistan</v>
      </c>
      <c r="C180" s="98" t="str">
        <f>Rates!D176</f>
        <v>Partner Countries</v>
      </c>
      <c r="D180" s="136">
        <f>Rates!E176</f>
        <v>47</v>
      </c>
      <c r="E180" s="136">
        <f>Rates!F176</f>
        <v>33</v>
      </c>
      <c r="F180" s="136">
        <f>Rates!G176</f>
        <v>22</v>
      </c>
      <c r="G180" s="136">
        <f>Rates!H176</f>
        <v>17</v>
      </c>
    </row>
    <row r="181" spans="2:7" x14ac:dyDescent="0.25">
      <c r="B181" s="98" t="str">
        <f>Rates!C177</f>
        <v>Vanuatu</v>
      </c>
      <c r="C181" s="98" t="str">
        <f>Rates!D177</f>
        <v>Partner Countries</v>
      </c>
      <c r="D181" s="136">
        <f>Rates!E177</f>
        <v>77</v>
      </c>
      <c r="E181" s="136">
        <f>Rates!F177</f>
        <v>57</v>
      </c>
      <c r="F181" s="136">
        <f>Rates!G177</f>
        <v>40</v>
      </c>
      <c r="G181" s="136">
        <f>Rates!H177</f>
        <v>32</v>
      </c>
    </row>
    <row r="182" spans="2:7" x14ac:dyDescent="0.25">
      <c r="B182" s="98" t="str">
        <f>Rates!C178</f>
        <v>Venezuela</v>
      </c>
      <c r="C182" s="98" t="str">
        <f>Rates!D178</f>
        <v>Partner Countries</v>
      </c>
      <c r="D182" s="136">
        <f>Rates!E178</f>
        <v>108</v>
      </c>
      <c r="E182" s="136">
        <f>Rates!F178</f>
        <v>80</v>
      </c>
      <c r="F182" s="136">
        <f>Rates!G178</f>
        <v>57</v>
      </c>
      <c r="G182" s="136">
        <f>Rates!H178</f>
        <v>45</v>
      </c>
    </row>
    <row r="183" spans="2:7" x14ac:dyDescent="0.25">
      <c r="B183" s="98" t="str">
        <f>Rates!C179</f>
        <v>Vietnam</v>
      </c>
      <c r="C183" s="98" t="str">
        <f>Rates!D179</f>
        <v>Partner Countries</v>
      </c>
      <c r="D183" s="136">
        <f>Rates!E179</f>
        <v>47</v>
      </c>
      <c r="E183" s="136">
        <f>Rates!F179</f>
        <v>33</v>
      </c>
      <c r="F183" s="136">
        <f>Rates!G179</f>
        <v>22</v>
      </c>
      <c r="G183" s="136">
        <f>Rates!H179</f>
        <v>17</v>
      </c>
    </row>
    <row r="184" spans="2:7" x14ac:dyDescent="0.25">
      <c r="B184" s="98" t="str">
        <f>Rates!C180</f>
        <v>Yemen</v>
      </c>
      <c r="C184" s="98" t="str">
        <f>Rates!D180</f>
        <v>Partner Countries</v>
      </c>
      <c r="D184" s="136">
        <f>Rates!E180</f>
        <v>47</v>
      </c>
      <c r="E184" s="136">
        <f>Rates!F180</f>
        <v>33</v>
      </c>
      <c r="F184" s="136">
        <f>Rates!G180</f>
        <v>22</v>
      </c>
      <c r="G184" s="136">
        <f>Rates!H180</f>
        <v>17</v>
      </c>
    </row>
    <row r="185" spans="2:7" x14ac:dyDescent="0.25">
      <c r="B185" s="98" t="str">
        <f>Rates!C181</f>
        <v>Zambia</v>
      </c>
      <c r="C185" s="98" t="str">
        <f>Rates!D181</f>
        <v>Partner Countries</v>
      </c>
      <c r="D185" s="136">
        <f>Rates!E181</f>
        <v>108</v>
      </c>
      <c r="E185" s="136">
        <f>Rates!F181</f>
        <v>80</v>
      </c>
      <c r="F185" s="136">
        <f>Rates!G181</f>
        <v>57</v>
      </c>
      <c r="G185" s="136">
        <f>Rates!H181</f>
        <v>45</v>
      </c>
    </row>
    <row r="186" spans="2:7" x14ac:dyDescent="0.25">
      <c r="B186" s="98" t="str">
        <f>Rates!C182</f>
        <v>Zimbabwe</v>
      </c>
      <c r="C186" s="98" t="str">
        <f>Rates!D182</f>
        <v>Partner Countries</v>
      </c>
      <c r="D186" s="136">
        <f>Rates!E182</f>
        <v>108</v>
      </c>
      <c r="E186" s="136">
        <f>Rates!F182</f>
        <v>80</v>
      </c>
      <c r="F186" s="136">
        <f>Rates!G182</f>
        <v>57</v>
      </c>
      <c r="G186" s="136">
        <f>Rates!H182</f>
        <v>45</v>
      </c>
    </row>
  </sheetData>
  <sheetProtection password="E359" sheet="1" objects="1" scenarios="1" selectLockedCells="1" selectUnlockedCells="1"/>
  <mergeCells count="18">
    <mergeCell ref="P7:Q7"/>
    <mergeCell ref="S7:U7"/>
    <mergeCell ref="B5:G6"/>
    <mergeCell ref="I5:J6"/>
    <mergeCell ref="L5:N6"/>
    <mergeCell ref="P5:Q6"/>
    <mergeCell ref="S5:U6"/>
    <mergeCell ref="W5:AB5"/>
    <mergeCell ref="W6:AB6"/>
    <mergeCell ref="B1:AB1"/>
    <mergeCell ref="B4:G4"/>
    <mergeCell ref="I4:J4"/>
    <mergeCell ref="L4:N4"/>
    <mergeCell ref="P4:Q4"/>
    <mergeCell ref="S4:U4"/>
    <mergeCell ref="W4:AB4"/>
    <mergeCell ref="C3:H3"/>
    <mergeCell ref="C2:H2"/>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FB2861-ECA0-4B0A-9CC6-B62988A7DC03}">
  <ds:schemaRefs>
    <ds:schemaRef ds:uri="http://schemas.microsoft.com/office/infopath/2007/PartnerControls"/>
    <ds:schemaRef ds:uri="http://www.w3.org/XML/1998/namespace"/>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purl.org/dc/terms/"/>
    <ds:schemaRef ds:uri="http://purl.org/dc/elements/1.1/"/>
  </ds:schemaRefs>
</ds:datastoreItem>
</file>

<file path=customXml/itemProps2.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34</vt:i4>
      </vt:variant>
    </vt:vector>
  </HeadingPairs>
  <TitlesOfParts>
    <vt:vector size="45" baseType="lpstr">
      <vt:lpstr>Overview</vt:lpstr>
      <vt:lpstr>1. Staff costs</vt:lpstr>
      <vt:lpstr>2-3. Travel Costs&amp;Costs of Stay</vt:lpstr>
      <vt:lpstr>4. Equipment Costs</vt:lpstr>
      <vt:lpstr>5. Subcontracting Costs</vt:lpstr>
      <vt:lpstr>B. Special Mob Strand - Student</vt:lpstr>
      <vt:lpstr>B. Special Mob Strand - Staff</vt:lpstr>
      <vt:lpstr>Co-financing</vt:lpstr>
      <vt:lpstr>Breakdown &amp; Project Funding</vt:lpstr>
      <vt:lpstr>Rates</vt:lpstr>
      <vt:lpstr>Unit Costs &amp; Funding Rule</vt:lpstr>
      <vt:lpstr>ActionType</vt:lpstr>
      <vt:lpstr>Category</vt:lpstr>
      <vt:lpstr>Category2</vt:lpstr>
      <vt:lpstr>CountryALL</vt:lpstr>
      <vt:lpstr>CountryEligEquip</vt:lpstr>
      <vt:lpstr>CountryType</vt:lpstr>
      <vt:lpstr>Duration</vt:lpstr>
      <vt:lpstr>EUCountry</vt:lpstr>
      <vt:lpstr>PartnerN°</vt:lpstr>
      <vt:lpstr>PartnerN°Ref</vt:lpstr>
      <vt:lpstr>Rates</vt:lpstr>
      <vt:lpstr>SMSCountry</vt:lpstr>
      <vt:lpstr>StaffSMSDays</vt:lpstr>
      <vt:lpstr>StudentSMSMonths</vt:lpstr>
      <vt:lpstr>TravelBands</vt:lpstr>
      <vt:lpstr>TravelCosts</vt:lpstr>
      <vt:lpstr>WorkPackage</vt:lpstr>
      <vt:lpstr>'2-3. Travel Costs&amp;Costs of Stay'!Заголовки_для_печати</vt:lpstr>
      <vt:lpstr>'4. Equipment Costs'!Заголовки_для_печати</vt:lpstr>
      <vt:lpstr>'5. Subcontracting Costs'!Заголовки_для_печати</vt:lpstr>
      <vt:lpstr>'B. Special Mob Strand - Staff'!Заголовки_для_печати</vt:lpstr>
      <vt:lpstr>'B. Special Mob Strand - Student'!Заголовки_для_печати</vt:lpstr>
      <vt:lpstr>'Breakdown &amp; Project Funding'!Заголовки_для_печати</vt:lpstr>
      <vt:lpstr>'Co-financing'!Заголовки_для_печати</vt:lpstr>
      <vt:lpstr>'1. Staff costs'!Область_печати</vt:lpstr>
      <vt:lpstr>'2-3. Travel Costs&amp;Costs of Stay'!Область_печати</vt:lpstr>
      <vt:lpstr>'4. Equipment Costs'!Область_печати</vt:lpstr>
      <vt:lpstr>'5. Subcontracting Costs'!Область_печати</vt:lpstr>
      <vt:lpstr>'B. Special Mob Strand - Staff'!Область_печати</vt:lpstr>
      <vt:lpstr>'B. Special Mob Strand - Student'!Область_печати</vt:lpstr>
      <vt:lpstr>'Breakdown &amp; Project Funding'!Область_печати</vt:lpstr>
      <vt:lpstr>'Co-financing'!Область_печати</vt:lpstr>
      <vt:lpstr>Overview!Область_печати</vt:lpstr>
      <vt:lpstr>'Unit Costs &amp; Funding Rule'!Область_печати</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Fiery Salamander</cp:lastModifiedBy>
  <cp:lastPrinted>2015-10-29T13:56:03Z</cp:lastPrinted>
  <dcterms:created xsi:type="dcterms:W3CDTF">2013-09-27T15:40:24Z</dcterms:created>
  <dcterms:modified xsi:type="dcterms:W3CDTF">2016-02-08T22:23:40Z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