
<file path=[Content_Types].xml><?xml version="1.0" encoding="utf-8"?>
<Types xmlns="http://schemas.openxmlformats.org/package/2006/content-types">
  <Default Extension="bin" ContentType="application/vnd.openxmlformats-officedocument.spreadsheetml.printerSettings"/>
  <Default Extension="png" ContentType="image/png"/>
  <Default Extension="jpeg" ContentType="image/jpe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drawings/drawing3.xml" ContentType="application/vnd.openxmlformats-officedocument.drawing+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drawings/drawing4.xml" ContentType="application/vnd.openxmlformats-officedocument.drawing+xml"/>
  <Override PartName="/xl/ctrlProps/ctrlProp6.xml" ContentType="application/vnd.ms-excel.controlproperties+xml"/>
  <Override PartName="/xl/ctrlProps/ctrlProp7.xml" ContentType="application/vnd.ms-excel.controlproperties+xml"/>
  <Override PartName="/xl/drawings/drawing5.xml" ContentType="application/vnd.openxmlformats-officedocument.drawing+xml"/>
  <Override PartName="/xl/ctrlProps/ctrlProp8.xml" ContentType="application/vnd.ms-excel.controlproperties+xml"/>
  <Override PartName="/xl/ctrlProps/ctrlProp9.xml" ContentType="application/vnd.ms-excel.controlproperties+xml"/>
  <Override PartName="/xl/drawings/drawing6.xml" ContentType="application/vnd.openxmlformats-officedocument.drawing+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drawings/drawing7.xml" ContentType="application/vnd.openxmlformats-officedocument.drawing+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drawings/drawing8.xml" ContentType="application/vnd.openxmlformats-officedocument.drawing+xml"/>
  <Override PartName="/xl/ctrlProps/ctrlProp16.xml" ContentType="application/vnd.ms-excel.controlproperties+xml"/>
  <Override PartName="/xl/ctrlProps/ctrlProp17.xml" ContentType="application/vnd.ms-excel.controlpropertie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showInkAnnotation="0" codeName="ThisWorkbook" defaultThemeVersion="124226"/>
  <workbookProtection workbookPassword="E359" lockStructure="1"/>
  <bookViews>
    <workbookView xWindow="2730" yWindow="1320" windowWidth="19440" windowHeight="11160" tabRatio="942"/>
  </bookViews>
  <sheets>
    <sheet name="Overview" sheetId="41" r:id="rId1"/>
    <sheet name="Translation" sheetId="25" state="hidden" r:id="rId2"/>
    <sheet name="1. Staff costs" sheetId="40" r:id="rId3"/>
    <sheet name="2-3. Travel Costs&amp;Costs of Stay" sheetId="39" r:id="rId4"/>
    <sheet name="4. Equipment Costs" sheetId="26" r:id="rId5"/>
    <sheet name="5. Subcontracting Costs" sheetId="70" r:id="rId6"/>
    <sheet name="B. Special Mob Strand - Student" sheetId="67" r:id="rId7"/>
    <sheet name="B. Special Mob Strand - Staff" sheetId="72" r:id="rId8"/>
    <sheet name="Co-financing" sheetId="71" r:id="rId9"/>
    <sheet name="Breakdown &amp; Project Funding" sheetId="55" r:id="rId10"/>
    <sheet name="Rates" sheetId="36" state="hidden" r:id="rId11"/>
    <sheet name="UNIT COSTS &amp; FUNDING RULES" sheetId="73" r:id="rId12"/>
  </sheets>
  <definedNames>
    <definedName name="_xlnm._FilterDatabase" localSheetId="11" hidden="1">'UNIT COSTS &amp; FUNDING RULES'!$A$7:$AC$7</definedName>
    <definedName name="CostCat" localSheetId="11">'UNIT COSTS &amp; FUNDING RULES'!#REF!</definedName>
    <definedName name="CostCat">Rates!$V$4:$W$4</definedName>
    <definedName name="CostDays" localSheetId="11">'UNIT COSTS &amp; FUNDING RULES'!#REF!</definedName>
    <definedName name="CostDays">Rates!$U$5:$U$369</definedName>
    <definedName name="CostRates" localSheetId="11">'UNIT COSTS &amp; FUNDING RULES'!#REF!</definedName>
    <definedName name="CostRates">Rates!$V$5:$W$369</definedName>
    <definedName name="Staff" localSheetId="11">'UNIT COSTS &amp; FUNDING RULES'!#REF!</definedName>
    <definedName name="Staff">Rates!$Y$5:$Y$369</definedName>
    <definedName name="Student" localSheetId="11">'UNIT COSTS &amp; FUNDING RULES'!#REF!</definedName>
    <definedName name="Student">Rates!$Z$5:$Z$64</definedName>
    <definedName name="SubCat" localSheetId="11">'UNIT COSTS &amp; FUNDING RULES'!$Z$7:$AC$7</definedName>
    <definedName name="SubCat">Rates!$P$4:$S$4</definedName>
    <definedName name="SubCountry" localSheetId="11">'UNIT COSTS &amp; FUNDING RULES'!$W$8:$W$61</definedName>
    <definedName name="SubCountry">Rates!$M$5:$M$58</definedName>
    <definedName name="SubCountryEU" localSheetId="11">'UNIT COSTS &amp; FUNDING RULES'!$W$8:$W$35</definedName>
    <definedName name="SubCountryEU">Rates!$M$5:$M$32</definedName>
    <definedName name="SubRates" localSheetId="11">'UNIT COSTS &amp; FUNDING RULES'!$Z$8:$AC$61</definedName>
    <definedName name="SubRates">Rates!$P$5:$S$58</definedName>
    <definedName name="Z_D7932BCF_3472_4742_BE90_75070A4D3346_.wvu.Cols" localSheetId="2" hidden="1">'1. Staff costs'!$X:$XFD</definedName>
    <definedName name="Z_D7932BCF_3472_4742_BE90_75070A4D3346_.wvu.Cols" localSheetId="3" hidden="1">'2-3. Travel Costs&amp;Costs of Stay'!$P:$XFD</definedName>
    <definedName name="Z_D7932BCF_3472_4742_BE90_75070A4D3346_.wvu.Cols" localSheetId="4" hidden="1">'4. Equipment Costs'!$I:$XFD</definedName>
    <definedName name="Z_D7932BCF_3472_4742_BE90_75070A4D3346_.wvu.Cols" localSheetId="5" hidden="1">'5. Subcontracting Costs'!$J:$XFD</definedName>
    <definedName name="Z_D7932BCF_3472_4742_BE90_75070A4D3346_.wvu.Cols" localSheetId="7" hidden="1">'B. Special Mob Strand - Staff'!$O:$XFD</definedName>
    <definedName name="Z_D7932BCF_3472_4742_BE90_75070A4D3346_.wvu.Cols" localSheetId="6" hidden="1">'B. Special Mob Strand - Student'!$O:$XFD</definedName>
    <definedName name="Z_D7932BCF_3472_4742_BE90_75070A4D3346_.wvu.Cols" localSheetId="9" hidden="1">'Breakdown &amp; Project Funding'!$J:$XFD</definedName>
    <definedName name="Z_D7932BCF_3472_4742_BE90_75070A4D3346_.wvu.Cols" localSheetId="8" hidden="1">'Co-financing'!$K:$XFD</definedName>
    <definedName name="Z_D7932BCF_3472_4742_BE90_75070A4D3346_.wvu.Rows" localSheetId="2" hidden="1">'1. Staff costs'!$110:$1048576,'1. Staff costs'!#REF!</definedName>
    <definedName name="Z_D7932BCF_3472_4742_BE90_75070A4D3346_.wvu.Rows" localSheetId="3" hidden="1">'2-3. Travel Costs&amp;Costs of Stay'!$232:$1048576,'2-3. Travel Costs&amp;Costs of Stay'!#REF!</definedName>
    <definedName name="Z_D7932BCF_3472_4742_BE90_75070A4D3346_.wvu.Rows" localSheetId="4" hidden="1">'4. Equipment Costs'!$71:$1048576,'4. Equipment Costs'!#REF!</definedName>
    <definedName name="Z_D7932BCF_3472_4742_BE90_75070A4D3346_.wvu.Rows" localSheetId="5" hidden="1">'5. Subcontracting Costs'!$15:$1048576,'5. Subcontracting Costs'!#REF!</definedName>
    <definedName name="Z_D7932BCF_3472_4742_BE90_75070A4D3346_.wvu.Rows" localSheetId="7" hidden="1">'B. Special Mob Strand - Staff'!$15:$1048576,'B. Special Mob Strand - Staff'!#REF!</definedName>
    <definedName name="Z_D7932BCF_3472_4742_BE90_75070A4D3346_.wvu.Rows" localSheetId="6" hidden="1">'B. Special Mob Strand - Student'!$15:$1048576,'B. Special Mob Strand - Student'!#REF!</definedName>
    <definedName name="Z_D7932BCF_3472_4742_BE90_75070A4D3346_.wvu.Rows" localSheetId="9" hidden="1">'Breakdown &amp; Project Funding'!$11:$1048576,'Breakdown &amp; Project Funding'!#REF!</definedName>
    <definedName name="Z_D7932BCF_3472_4742_BE90_75070A4D3346_.wvu.Rows" localSheetId="8" hidden="1">'Co-financing'!$51:$1048576,'Co-financing'!#REF!</definedName>
    <definedName name="_xlnm.Print_Titles" localSheetId="3">'2-3. Travel Costs&amp;Costs of Stay'!$11:$12</definedName>
    <definedName name="_xlnm.Print_Titles" localSheetId="4">'4. Equipment Costs'!$11:$12</definedName>
    <definedName name="_xlnm.Print_Titles" localSheetId="5">'5. Subcontracting Costs'!$11:$12</definedName>
    <definedName name="_xlnm.Print_Titles" localSheetId="7">'B. Special Mob Strand - Staff'!$11:$12</definedName>
    <definedName name="_xlnm.Print_Titles" localSheetId="6">'B. Special Mob Strand - Student'!$11:$12</definedName>
    <definedName name="_xlnm.Print_Titles" localSheetId="9">'Breakdown &amp; Project Funding'!$4:$4</definedName>
    <definedName name="_xlnm.Print_Titles" localSheetId="8">'Co-financing'!$11:$12</definedName>
    <definedName name="_xlnm.Print_Area" localSheetId="2">'1. Staff costs'!$A$1:$Y$110</definedName>
    <definedName name="_xlnm.Print_Area" localSheetId="3">'2-3. Travel Costs&amp;Costs of Stay'!$A$1:$P$232</definedName>
    <definedName name="_xlnm.Print_Area" localSheetId="4">'4. Equipment Costs'!$A$1:$K$71</definedName>
    <definedName name="_xlnm.Print_Area" localSheetId="5">'5. Subcontracting Costs'!$A$1:$J$15</definedName>
    <definedName name="_xlnm.Print_Area" localSheetId="7">'B. Special Mob Strand - Staff'!$A$1:$S$15</definedName>
    <definedName name="_xlnm.Print_Area" localSheetId="6">'B. Special Mob Strand - Student'!$A$1:$S$15</definedName>
    <definedName name="_xlnm.Print_Area" localSheetId="9">'Breakdown &amp; Project Funding'!$A$1:$J$82</definedName>
    <definedName name="_xlnm.Print_Area" localSheetId="8">'Co-financing'!$A$1:$K$55</definedName>
    <definedName name="_xlnm.Print_Area" localSheetId="0">Overview!$A$1:$M$85</definedName>
  </definedNames>
  <calcPr calcId="145621"/>
  <customWorkbookViews>
    <customWorkbookView name="test" guid="{D7932BCF-3472-4742-BE90-75070A4D3346}" maximized="1" windowWidth="1916" windowHeight="775" tabRatio="795" activeSheetId="24"/>
  </customWorkbookViews>
</workbook>
</file>

<file path=xl/calcChain.xml><?xml version="1.0" encoding="utf-8"?>
<calcChain xmlns="http://schemas.openxmlformats.org/spreadsheetml/2006/main">
  <c r="D50" i="71" l="1"/>
  <c r="C50" i="71"/>
  <c r="D49" i="71"/>
  <c r="C49" i="71"/>
  <c r="D48" i="71"/>
  <c r="C48" i="71"/>
  <c r="D47" i="71"/>
  <c r="C47" i="71"/>
  <c r="D46" i="71"/>
  <c r="C46" i="71"/>
  <c r="D45" i="71"/>
  <c r="C45" i="71"/>
  <c r="D44" i="71"/>
  <c r="C44" i="71"/>
  <c r="D43" i="71"/>
  <c r="C43" i="71"/>
  <c r="D42" i="71"/>
  <c r="C42" i="71"/>
  <c r="D41" i="71"/>
  <c r="C41" i="71"/>
  <c r="D40" i="71"/>
  <c r="C40" i="71"/>
  <c r="D39" i="71"/>
  <c r="C39" i="71"/>
  <c r="D38" i="71"/>
  <c r="C38" i="71"/>
  <c r="D37" i="71"/>
  <c r="C37" i="71"/>
  <c r="D36" i="71"/>
  <c r="C36" i="71"/>
  <c r="D35" i="71"/>
  <c r="C35" i="71"/>
  <c r="D34" i="71"/>
  <c r="C34" i="71"/>
  <c r="D33" i="71"/>
  <c r="C33" i="71"/>
  <c r="D32" i="71"/>
  <c r="C32" i="71"/>
  <c r="D31" i="71"/>
  <c r="C31" i="71"/>
  <c r="D30" i="71"/>
  <c r="C30" i="71"/>
  <c r="D29" i="71"/>
  <c r="C29" i="71"/>
  <c r="D28" i="71"/>
  <c r="C28" i="71"/>
  <c r="D27" i="71"/>
  <c r="C27" i="71"/>
  <c r="J28" i="71" l="1"/>
  <c r="I28" i="71" s="1"/>
  <c r="J40" i="71"/>
  <c r="I40" i="71" s="1"/>
  <c r="J44" i="71"/>
  <c r="I44" i="71" s="1"/>
  <c r="J48" i="71"/>
  <c r="I48" i="71" s="1"/>
  <c r="J34" i="71"/>
  <c r="I34" i="71" s="1"/>
  <c r="J38" i="71"/>
  <c r="I38" i="71" s="1"/>
  <c r="J42" i="71"/>
  <c r="I42" i="71" s="1"/>
  <c r="J46" i="71"/>
  <c r="I46" i="71" s="1"/>
  <c r="J50" i="71"/>
  <c r="I50" i="71" s="1"/>
  <c r="J27" i="71"/>
  <c r="I27" i="71" s="1"/>
  <c r="J31" i="71"/>
  <c r="I31" i="71" s="1"/>
  <c r="J39" i="71"/>
  <c r="I39" i="71" s="1"/>
  <c r="J43" i="71"/>
  <c r="I43" i="71" s="1"/>
  <c r="J47" i="71"/>
  <c r="I47" i="71" s="1"/>
  <c r="J29" i="71"/>
  <c r="I29" i="71" s="1"/>
  <c r="J41" i="71"/>
  <c r="I41" i="71" s="1"/>
  <c r="J45" i="71"/>
  <c r="I45" i="71" s="1"/>
  <c r="J49" i="71"/>
  <c r="I49" i="71" s="1"/>
  <c r="J33" i="71"/>
  <c r="I33" i="71" s="1"/>
  <c r="J37" i="71"/>
  <c r="I37" i="71" s="1"/>
  <c r="J32" i="71"/>
  <c r="I32" i="71" s="1"/>
  <c r="J36" i="71"/>
  <c r="I36" i="71" s="1"/>
  <c r="J35" i="71"/>
  <c r="I35" i="71" s="1"/>
  <c r="J30" i="71"/>
  <c r="I30" i="71" s="1"/>
  <c r="E82" i="40"/>
  <c r="D82" i="40"/>
  <c r="E81" i="40"/>
  <c r="D81" i="40"/>
  <c r="E49" i="26"/>
  <c r="J49" i="26" s="1"/>
  <c r="D49" i="26"/>
  <c r="E48" i="26"/>
  <c r="J48" i="26" s="1"/>
  <c r="D48" i="26"/>
  <c r="E47" i="26"/>
  <c r="J47" i="26" s="1"/>
  <c r="D47" i="26"/>
  <c r="E46" i="26"/>
  <c r="J46" i="26" s="1"/>
  <c r="D46" i="26"/>
  <c r="E45" i="26"/>
  <c r="J45" i="26" s="1"/>
  <c r="D45" i="26"/>
  <c r="E44" i="26"/>
  <c r="J44" i="26" s="1"/>
  <c r="D44" i="26"/>
  <c r="X81" i="40" l="1"/>
  <c r="O81" i="40" s="1"/>
  <c r="X82" i="40"/>
  <c r="G82" i="40" s="1"/>
  <c r="I49" i="26"/>
  <c r="H49" i="26" s="1"/>
  <c r="I48" i="26"/>
  <c r="H48" i="26" s="1"/>
  <c r="I47" i="26"/>
  <c r="H47" i="26" s="1"/>
  <c r="I46" i="26"/>
  <c r="H46" i="26" s="1"/>
  <c r="I45" i="26"/>
  <c r="H45" i="26" s="1"/>
  <c r="I44" i="26"/>
  <c r="H44" i="26" s="1"/>
  <c r="D26" i="71"/>
  <c r="C26" i="71"/>
  <c r="D25" i="71"/>
  <c r="C25" i="71"/>
  <c r="D24" i="71"/>
  <c r="C24" i="71"/>
  <c r="D23" i="71"/>
  <c r="C23" i="71"/>
  <c r="D22" i="71"/>
  <c r="C22" i="71"/>
  <c r="D21" i="71"/>
  <c r="C21" i="71"/>
  <c r="D20" i="71"/>
  <c r="C20" i="71"/>
  <c r="D19" i="71"/>
  <c r="C19" i="71"/>
  <c r="D18" i="71"/>
  <c r="C18" i="71"/>
  <c r="D17" i="71"/>
  <c r="C17" i="71"/>
  <c r="D16" i="71"/>
  <c r="C16" i="71"/>
  <c r="D15" i="71"/>
  <c r="C15" i="71"/>
  <c r="G81" i="40" l="1"/>
  <c r="H81" i="40"/>
  <c r="P82" i="40"/>
  <c r="T81" i="40"/>
  <c r="O82" i="40"/>
  <c r="K81" i="40"/>
  <c r="S82" i="40"/>
  <c r="P81" i="40"/>
  <c r="Q81" i="40" s="1"/>
  <c r="T82" i="40"/>
  <c r="S81" i="40"/>
  <c r="K82" i="40"/>
  <c r="L81" i="40"/>
  <c r="H82" i="40"/>
  <c r="I82" i="40" s="1"/>
  <c r="L82" i="40"/>
  <c r="J15" i="71"/>
  <c r="I15" i="71" s="1"/>
  <c r="J19" i="71"/>
  <c r="I19" i="71" s="1"/>
  <c r="J16" i="71"/>
  <c r="I16" i="71" s="1"/>
  <c r="J20" i="71"/>
  <c r="I20" i="71" s="1"/>
  <c r="J26" i="71"/>
  <c r="I26" i="71" s="1"/>
  <c r="J17" i="71"/>
  <c r="I17" i="71" s="1"/>
  <c r="J21" i="71"/>
  <c r="I21" i="71" s="1"/>
  <c r="J24" i="71"/>
  <c r="I24" i="71" s="1"/>
  <c r="J18" i="71"/>
  <c r="I18" i="71" s="1"/>
  <c r="J22" i="71"/>
  <c r="I22" i="71" s="1"/>
  <c r="J25" i="71"/>
  <c r="I25" i="71" s="1"/>
  <c r="J23" i="71"/>
  <c r="I23" i="71" s="1"/>
  <c r="E92" i="40"/>
  <c r="D92" i="40"/>
  <c r="E75" i="39"/>
  <c r="D75" i="39"/>
  <c r="E74" i="39"/>
  <c r="D74" i="39"/>
  <c r="E87" i="39"/>
  <c r="D87" i="39"/>
  <c r="E86" i="39"/>
  <c r="D86" i="39"/>
  <c r="E60" i="39"/>
  <c r="D60" i="39"/>
  <c r="E59" i="39"/>
  <c r="D59" i="39"/>
  <c r="E48" i="39"/>
  <c r="D48" i="39"/>
  <c r="E109" i="40"/>
  <c r="D109" i="40"/>
  <c r="E108" i="40"/>
  <c r="D108" i="40"/>
  <c r="E52" i="40"/>
  <c r="D52" i="40"/>
  <c r="E51" i="40"/>
  <c r="D51" i="40"/>
  <c r="E32" i="40"/>
  <c r="D32" i="40"/>
  <c r="E231" i="39"/>
  <c r="D231" i="39"/>
  <c r="E207" i="39"/>
  <c r="D207" i="39"/>
  <c r="E183" i="39"/>
  <c r="D183" i="39"/>
  <c r="E159" i="39"/>
  <c r="D159" i="39"/>
  <c r="E135" i="39"/>
  <c r="D135" i="39"/>
  <c r="E111" i="39"/>
  <c r="D111" i="39"/>
  <c r="E37" i="39"/>
  <c r="D37" i="39"/>
  <c r="Q82" i="40" l="1"/>
  <c r="I81" i="40"/>
  <c r="U81" i="40"/>
  <c r="U82" i="40"/>
  <c r="V81" i="40"/>
  <c r="M81" i="40"/>
  <c r="M82" i="40"/>
  <c r="V82" i="40"/>
  <c r="X108" i="40"/>
  <c r="L108" i="40" s="1"/>
  <c r="X52" i="40"/>
  <c r="L52" i="40" s="1"/>
  <c r="O159" i="39"/>
  <c r="X92" i="40"/>
  <c r="O92" i="40" s="1"/>
  <c r="X51" i="40"/>
  <c r="L51" i="40" s="1"/>
  <c r="W81" i="40"/>
  <c r="X32" i="40"/>
  <c r="P32" i="40" s="1"/>
  <c r="X109" i="40"/>
  <c r="P109" i="40" s="1"/>
  <c r="O111" i="39"/>
  <c r="L111" i="39" s="1"/>
  <c r="O207" i="39"/>
  <c r="M207" i="39" s="1"/>
  <c r="O59" i="39"/>
  <c r="L59" i="39" s="1"/>
  <c r="O87" i="39"/>
  <c r="L87" i="39" s="1"/>
  <c r="O135" i="39"/>
  <c r="L135" i="39" s="1"/>
  <c r="O231" i="39"/>
  <c r="L231" i="39" s="1"/>
  <c r="O60" i="39"/>
  <c r="M60" i="39" s="1"/>
  <c r="O74" i="39"/>
  <c r="M74" i="39" s="1"/>
  <c r="O75" i="39"/>
  <c r="M75" i="39" s="1"/>
  <c r="O37" i="39"/>
  <c r="M37" i="39" s="1"/>
  <c r="O183" i="39"/>
  <c r="M183" i="39" s="1"/>
  <c r="O48" i="39"/>
  <c r="L48" i="39" s="1"/>
  <c r="O86" i="39"/>
  <c r="M86" i="39" s="1"/>
  <c r="G108" i="40"/>
  <c r="P108" i="40"/>
  <c r="T52" i="40"/>
  <c r="H52" i="40"/>
  <c r="S52" i="40"/>
  <c r="M159" i="39"/>
  <c r="L159" i="39"/>
  <c r="D40" i="40"/>
  <c r="S108" i="40" l="1"/>
  <c r="M135" i="39"/>
  <c r="P51" i="40"/>
  <c r="O108" i="40"/>
  <c r="S51" i="40"/>
  <c r="H108" i="40"/>
  <c r="W82" i="40"/>
  <c r="P52" i="40"/>
  <c r="O52" i="40"/>
  <c r="G52" i="40"/>
  <c r="I52" i="40" s="1"/>
  <c r="T108" i="40"/>
  <c r="K108" i="40"/>
  <c r="H92" i="40"/>
  <c r="S92" i="40"/>
  <c r="K92" i="40"/>
  <c r="P92" i="40"/>
  <c r="T92" i="40"/>
  <c r="G92" i="40"/>
  <c r="K52" i="40"/>
  <c r="L92" i="40"/>
  <c r="M92" i="40" s="1"/>
  <c r="K51" i="40"/>
  <c r="M51" i="40" s="1"/>
  <c r="O51" i="40"/>
  <c r="Q51" i="40" s="1"/>
  <c r="G51" i="40"/>
  <c r="H51" i="40"/>
  <c r="T51" i="40"/>
  <c r="U51" i="40" s="1"/>
  <c r="M111" i="39"/>
  <c r="N111" i="39" s="1"/>
  <c r="L60" i="39"/>
  <c r="N60" i="39" s="1"/>
  <c r="M48" i="39"/>
  <c r="N48" i="39" s="1"/>
  <c r="L74" i="39"/>
  <c r="N74" i="39" s="1"/>
  <c r="H32" i="40"/>
  <c r="H109" i="40"/>
  <c r="T109" i="40"/>
  <c r="T32" i="40"/>
  <c r="G109" i="40"/>
  <c r="K109" i="40"/>
  <c r="O32" i="40"/>
  <c r="Q32" i="40" s="1"/>
  <c r="L109" i="40"/>
  <c r="K32" i="40"/>
  <c r="G32" i="40"/>
  <c r="O109" i="40"/>
  <c r="L32" i="40"/>
  <c r="S32" i="40"/>
  <c r="S109" i="40"/>
  <c r="M87" i="39"/>
  <c r="N87" i="39" s="1"/>
  <c r="M59" i="39"/>
  <c r="N59" i="39" s="1"/>
  <c r="L183" i="39"/>
  <c r="N183" i="39" s="1"/>
  <c r="M231" i="39"/>
  <c r="N231" i="39" s="1"/>
  <c r="L207" i="39"/>
  <c r="N207" i="39" s="1"/>
  <c r="L75" i="39"/>
  <c r="N75" i="39" s="1"/>
  <c r="L86" i="39"/>
  <c r="N86" i="39" s="1"/>
  <c r="L37" i="39"/>
  <c r="N37" i="39" s="1"/>
  <c r="Q92" i="40"/>
  <c r="Q108" i="40"/>
  <c r="I108" i="40"/>
  <c r="U52" i="40"/>
  <c r="N159" i="39"/>
  <c r="N135" i="39"/>
  <c r="E70" i="26"/>
  <c r="J70" i="26" s="1"/>
  <c r="D70" i="26"/>
  <c r="E65" i="26"/>
  <c r="J65" i="26" s="1"/>
  <c r="D65" i="26"/>
  <c r="E60" i="26"/>
  <c r="J60" i="26" s="1"/>
  <c r="D60" i="26"/>
  <c r="E54" i="26"/>
  <c r="J54" i="26" s="1"/>
  <c r="D54" i="26"/>
  <c r="E34" i="40"/>
  <c r="D34" i="40"/>
  <c r="E59" i="26"/>
  <c r="J59" i="26" s="1"/>
  <c r="D59" i="26"/>
  <c r="E69" i="26"/>
  <c r="J69" i="26" s="1"/>
  <c r="D69" i="26"/>
  <c r="E64" i="26"/>
  <c r="J64" i="26" s="1"/>
  <c r="D64" i="26"/>
  <c r="E58" i="26"/>
  <c r="J58" i="26" s="1"/>
  <c r="D58" i="26"/>
  <c r="E53" i="26"/>
  <c r="J53" i="26" s="1"/>
  <c r="D53" i="26"/>
  <c r="E43" i="26"/>
  <c r="J43" i="26" s="1"/>
  <c r="D43" i="26"/>
  <c r="E40" i="26"/>
  <c r="J40" i="26" s="1"/>
  <c r="D40" i="26"/>
  <c r="E37" i="26"/>
  <c r="J37" i="26" s="1"/>
  <c r="D37" i="26"/>
  <c r="E34" i="26"/>
  <c r="J34" i="26" s="1"/>
  <c r="D34" i="26"/>
  <c r="E31" i="26"/>
  <c r="J31" i="26" s="1"/>
  <c r="D31" i="26"/>
  <c r="E28" i="26"/>
  <c r="J28" i="26" s="1"/>
  <c r="D28" i="26"/>
  <c r="E25" i="26"/>
  <c r="J25" i="26" s="1"/>
  <c r="D25" i="26"/>
  <c r="E22" i="26"/>
  <c r="J22" i="26" s="1"/>
  <c r="D22" i="26"/>
  <c r="E19" i="26"/>
  <c r="J19" i="26" s="1"/>
  <c r="D19" i="26"/>
  <c r="E16" i="26"/>
  <c r="J16" i="26" s="1"/>
  <c r="D16" i="26"/>
  <c r="E68" i="26"/>
  <c r="J68" i="26" s="1"/>
  <c r="D68" i="26"/>
  <c r="E63" i="26"/>
  <c r="J63" i="26" s="1"/>
  <c r="D63" i="26"/>
  <c r="E57" i="26"/>
  <c r="J57" i="26" s="1"/>
  <c r="D57" i="26"/>
  <c r="E52" i="26"/>
  <c r="J52" i="26" s="1"/>
  <c r="D52" i="26"/>
  <c r="E67" i="26"/>
  <c r="J67" i="26" s="1"/>
  <c r="D67" i="26"/>
  <c r="E66" i="26"/>
  <c r="J66" i="26" s="1"/>
  <c r="D66" i="26"/>
  <c r="E62" i="26"/>
  <c r="J62" i="26" s="1"/>
  <c r="D62" i="26"/>
  <c r="E61" i="26"/>
  <c r="J61" i="26" s="1"/>
  <c r="D61" i="26"/>
  <c r="E39" i="26"/>
  <c r="J39" i="26" s="1"/>
  <c r="D39" i="26"/>
  <c r="E36" i="26"/>
  <c r="J36" i="26" s="1"/>
  <c r="D36" i="26"/>
  <c r="E33" i="26"/>
  <c r="J33" i="26" s="1"/>
  <c r="D33" i="26"/>
  <c r="E30" i="26"/>
  <c r="J30" i="26" s="1"/>
  <c r="D30" i="26"/>
  <c r="E24" i="26"/>
  <c r="J24" i="26" s="1"/>
  <c r="D24" i="26"/>
  <c r="E27" i="26"/>
  <c r="J27" i="26" s="1"/>
  <c r="D27" i="26"/>
  <c r="E21" i="26"/>
  <c r="J21" i="26" s="1"/>
  <c r="D21" i="26"/>
  <c r="E15" i="26"/>
  <c r="J15" i="26" s="1"/>
  <c r="D15" i="26"/>
  <c r="E18" i="26"/>
  <c r="J18" i="26" s="1"/>
  <c r="D18" i="26"/>
  <c r="E56" i="26"/>
  <c r="J56" i="26" s="1"/>
  <c r="D56" i="26"/>
  <c r="E55" i="26"/>
  <c r="J55" i="26" s="1"/>
  <c r="D55" i="26"/>
  <c r="E51" i="26"/>
  <c r="J51" i="26" s="1"/>
  <c r="D51" i="26"/>
  <c r="E50" i="26"/>
  <c r="J50" i="26" s="1"/>
  <c r="D50" i="26"/>
  <c r="E42" i="26"/>
  <c r="J42" i="26" s="1"/>
  <c r="D42" i="26"/>
  <c r="E41" i="26"/>
  <c r="J41" i="26" s="1"/>
  <c r="D41" i="26"/>
  <c r="E38" i="26"/>
  <c r="J38" i="26" s="1"/>
  <c r="D38" i="26"/>
  <c r="E35" i="26"/>
  <c r="J35" i="26" s="1"/>
  <c r="D35" i="26"/>
  <c r="E32" i="26"/>
  <c r="J32" i="26" s="1"/>
  <c r="D32" i="26"/>
  <c r="E29" i="26"/>
  <c r="J29" i="26" s="1"/>
  <c r="D29" i="26"/>
  <c r="E26" i="26"/>
  <c r="J26" i="26" s="1"/>
  <c r="D26" i="26"/>
  <c r="E23" i="26"/>
  <c r="J23" i="26" s="1"/>
  <c r="D23" i="26"/>
  <c r="E20" i="26"/>
  <c r="J20" i="26" s="1"/>
  <c r="D20" i="26"/>
  <c r="E17" i="26"/>
  <c r="J17" i="26" s="1"/>
  <c r="D17" i="26"/>
  <c r="Q52" i="40" l="1"/>
  <c r="V108" i="40"/>
  <c r="U108" i="40"/>
  <c r="V52" i="40"/>
  <c r="U92" i="40"/>
  <c r="V92" i="40"/>
  <c r="M108" i="40"/>
  <c r="W108" i="40" s="1"/>
  <c r="I92" i="40"/>
  <c r="I51" i="40"/>
  <c r="W51" i="40" s="1"/>
  <c r="M52" i="40"/>
  <c r="V51" i="40"/>
  <c r="U32" i="40"/>
  <c r="I32" i="40"/>
  <c r="M32" i="40"/>
  <c r="M109" i="40"/>
  <c r="U109" i="40"/>
  <c r="I109" i="40"/>
  <c r="V109" i="40"/>
  <c r="V32" i="40"/>
  <c r="Q109" i="40"/>
  <c r="X34" i="40"/>
  <c r="S34" i="40" s="1"/>
  <c r="I70" i="26"/>
  <c r="H70" i="26" s="1"/>
  <c r="I65" i="26"/>
  <c r="H65" i="26" s="1"/>
  <c r="I60" i="26"/>
  <c r="H60" i="26" s="1"/>
  <c r="I54" i="26"/>
  <c r="H54" i="26" s="1"/>
  <c r="I59" i="26"/>
  <c r="H59" i="26" s="1"/>
  <c r="I69" i="26"/>
  <c r="H69" i="26" s="1"/>
  <c r="I64" i="26"/>
  <c r="H64" i="26" s="1"/>
  <c r="I58" i="26"/>
  <c r="H58" i="26" s="1"/>
  <c r="I53" i="26"/>
  <c r="H53" i="26" s="1"/>
  <c r="I43" i="26"/>
  <c r="H43" i="26" s="1"/>
  <c r="I40" i="26"/>
  <c r="H40" i="26" s="1"/>
  <c r="I37" i="26"/>
  <c r="H37" i="26" s="1"/>
  <c r="I34" i="26"/>
  <c r="H34" i="26" s="1"/>
  <c r="I31" i="26"/>
  <c r="H31" i="26" s="1"/>
  <c r="I28" i="26"/>
  <c r="H28" i="26" s="1"/>
  <c r="I25" i="26"/>
  <c r="H25" i="26" s="1"/>
  <c r="I22" i="26"/>
  <c r="H22" i="26" s="1"/>
  <c r="I19" i="26"/>
  <c r="H19" i="26" s="1"/>
  <c r="I16" i="26"/>
  <c r="H16" i="26" s="1"/>
  <c r="I68" i="26"/>
  <c r="H68" i="26" s="1"/>
  <c r="I63" i="26"/>
  <c r="H63" i="26" s="1"/>
  <c r="I57" i="26"/>
  <c r="H57" i="26" s="1"/>
  <c r="I52" i="26"/>
  <c r="H52" i="26" s="1"/>
  <c r="I67" i="26"/>
  <c r="H67" i="26" s="1"/>
  <c r="I66" i="26"/>
  <c r="H66" i="26" s="1"/>
  <c r="I62" i="26"/>
  <c r="H62" i="26" s="1"/>
  <c r="I61" i="26"/>
  <c r="H61" i="26" s="1"/>
  <c r="I39" i="26"/>
  <c r="H39" i="26" s="1"/>
  <c r="I36" i="26"/>
  <c r="H36" i="26" s="1"/>
  <c r="I33" i="26"/>
  <c r="H33" i="26" s="1"/>
  <c r="I30" i="26"/>
  <c r="H30" i="26" s="1"/>
  <c r="I24" i="26"/>
  <c r="H24" i="26" s="1"/>
  <c r="I27" i="26"/>
  <c r="H27" i="26" s="1"/>
  <c r="I21" i="26"/>
  <c r="H21" i="26" s="1"/>
  <c r="I15" i="26"/>
  <c r="H15" i="26" s="1"/>
  <c r="I18" i="26"/>
  <c r="H18" i="26" s="1"/>
  <c r="I56" i="26"/>
  <c r="H56" i="26" s="1"/>
  <c r="I55" i="26"/>
  <c r="H55" i="26" s="1"/>
  <c r="I51" i="26"/>
  <c r="H51" i="26" s="1"/>
  <c r="I50" i="26"/>
  <c r="H50" i="26" s="1"/>
  <c r="I42" i="26"/>
  <c r="H42" i="26" s="1"/>
  <c r="I41" i="26"/>
  <c r="H41" i="26" s="1"/>
  <c r="I38" i="26"/>
  <c r="H38" i="26" s="1"/>
  <c r="I35" i="26"/>
  <c r="H35" i="26" s="1"/>
  <c r="I32" i="26"/>
  <c r="H32" i="26" s="1"/>
  <c r="I29" i="26"/>
  <c r="H29" i="26" s="1"/>
  <c r="I26" i="26"/>
  <c r="H26" i="26" s="1"/>
  <c r="I23" i="26"/>
  <c r="H23" i="26" s="1"/>
  <c r="I20" i="26"/>
  <c r="H20" i="26" s="1"/>
  <c r="I17" i="26"/>
  <c r="H17" i="26" s="1"/>
  <c r="E199" i="39"/>
  <c r="D199" i="39"/>
  <c r="E198" i="39"/>
  <c r="D198" i="39"/>
  <c r="E197" i="39"/>
  <c r="D197" i="39"/>
  <c r="E196" i="39"/>
  <c r="D196" i="39"/>
  <c r="E195" i="39"/>
  <c r="D195" i="39"/>
  <c r="E194" i="39"/>
  <c r="D194" i="39"/>
  <c r="E193" i="39"/>
  <c r="D193" i="39"/>
  <c r="E192" i="39"/>
  <c r="D192" i="39"/>
  <c r="E191" i="39"/>
  <c r="D191" i="39"/>
  <c r="E190" i="39"/>
  <c r="D190" i="39"/>
  <c r="E189" i="39"/>
  <c r="D189" i="39"/>
  <c r="E188" i="39"/>
  <c r="D188" i="39"/>
  <c r="E187" i="39"/>
  <c r="D187" i="39"/>
  <c r="D186" i="39"/>
  <c r="D185" i="39"/>
  <c r="E184" i="39"/>
  <c r="D184" i="39"/>
  <c r="E182" i="39"/>
  <c r="D182" i="39"/>
  <c r="E181" i="39"/>
  <c r="D181" i="39"/>
  <c r="E180" i="39"/>
  <c r="D180" i="39"/>
  <c r="E179" i="39"/>
  <c r="D179" i="39"/>
  <c r="E178" i="39"/>
  <c r="D178" i="39"/>
  <c r="E177" i="39"/>
  <c r="D177" i="39"/>
  <c r="E176" i="39"/>
  <c r="D176" i="39"/>
  <c r="E175" i="39"/>
  <c r="D175" i="39"/>
  <c r="E174" i="39"/>
  <c r="D174" i="39"/>
  <c r="E173" i="39"/>
  <c r="D173" i="39"/>
  <c r="E172" i="39"/>
  <c r="D172" i="39"/>
  <c r="E171" i="39"/>
  <c r="D171" i="39"/>
  <c r="E170" i="39"/>
  <c r="D170" i="39"/>
  <c r="E169" i="39"/>
  <c r="D169" i="39"/>
  <c r="E168" i="39"/>
  <c r="D168" i="39"/>
  <c r="E167" i="39"/>
  <c r="D167" i="39"/>
  <c r="E166" i="39"/>
  <c r="D166" i="39"/>
  <c r="E230" i="39"/>
  <c r="D230" i="39"/>
  <c r="E229" i="39"/>
  <c r="D229" i="39"/>
  <c r="E228" i="39"/>
  <c r="D228" i="39"/>
  <c r="E227" i="39"/>
  <c r="D227" i="39"/>
  <c r="E226" i="39"/>
  <c r="D226" i="39"/>
  <c r="E225" i="39"/>
  <c r="D225" i="39"/>
  <c r="E224" i="39"/>
  <c r="D224" i="39"/>
  <c r="E223" i="39"/>
  <c r="D223" i="39"/>
  <c r="E222" i="39"/>
  <c r="D222" i="39"/>
  <c r="E221" i="39"/>
  <c r="D221" i="39"/>
  <c r="E220" i="39"/>
  <c r="D220" i="39"/>
  <c r="E219" i="39"/>
  <c r="D219" i="39"/>
  <c r="E218" i="39"/>
  <c r="D218" i="39"/>
  <c r="E217" i="39"/>
  <c r="D217" i="39"/>
  <c r="E216" i="39"/>
  <c r="D216" i="39"/>
  <c r="E215" i="39"/>
  <c r="D215" i="39"/>
  <c r="E214" i="39"/>
  <c r="D214" i="39"/>
  <c r="E213" i="39"/>
  <c r="D213" i="39"/>
  <c r="E212" i="39"/>
  <c r="D212" i="39"/>
  <c r="E211" i="39"/>
  <c r="D211" i="39"/>
  <c r="E210" i="39"/>
  <c r="D210" i="39"/>
  <c r="D209" i="39"/>
  <c r="D208" i="39"/>
  <c r="E206" i="39"/>
  <c r="D206" i="39"/>
  <c r="E205" i="39"/>
  <c r="D205" i="39"/>
  <c r="E204" i="39"/>
  <c r="D204" i="39"/>
  <c r="E203" i="39"/>
  <c r="D203" i="39"/>
  <c r="E202" i="39"/>
  <c r="D202" i="39"/>
  <c r="E201" i="39"/>
  <c r="D201" i="39"/>
  <c r="E200" i="39"/>
  <c r="D200" i="39"/>
  <c r="E165" i="39"/>
  <c r="D165" i="39"/>
  <c r="E164" i="39"/>
  <c r="D164" i="39"/>
  <c r="E163" i="39"/>
  <c r="D163" i="39"/>
  <c r="D162" i="39"/>
  <c r="D161" i="39"/>
  <c r="E160" i="39"/>
  <c r="D160" i="39"/>
  <c r="E158" i="39"/>
  <c r="D158" i="39"/>
  <c r="E157" i="39"/>
  <c r="D157" i="39"/>
  <c r="E156" i="39"/>
  <c r="D156" i="39"/>
  <c r="E155" i="39"/>
  <c r="D155" i="39"/>
  <c r="E154" i="39"/>
  <c r="D154" i="39"/>
  <c r="E153" i="39"/>
  <c r="D153" i="39"/>
  <c r="E152" i="39"/>
  <c r="D152" i="39"/>
  <c r="E151" i="39"/>
  <c r="D151" i="39"/>
  <c r="E150" i="39"/>
  <c r="D150" i="39"/>
  <c r="E149" i="39"/>
  <c r="D149" i="39"/>
  <c r="E148" i="39"/>
  <c r="D148" i="39"/>
  <c r="E147" i="39"/>
  <c r="D147" i="39"/>
  <c r="E146" i="39"/>
  <c r="D146" i="39"/>
  <c r="E145" i="39"/>
  <c r="D145" i="39"/>
  <c r="E144" i="39"/>
  <c r="D144" i="39"/>
  <c r="E143" i="39"/>
  <c r="D143" i="39"/>
  <c r="E142" i="39"/>
  <c r="D142" i="39"/>
  <c r="E141" i="39"/>
  <c r="D141" i="39"/>
  <c r="E140" i="39"/>
  <c r="D140" i="39"/>
  <c r="E139" i="39"/>
  <c r="D139" i="39"/>
  <c r="E138" i="39"/>
  <c r="D138" i="39"/>
  <c r="D137" i="39"/>
  <c r="D136" i="39"/>
  <c r="E134" i="39"/>
  <c r="D134" i="39"/>
  <c r="E133" i="39"/>
  <c r="D133" i="39"/>
  <c r="E132" i="39"/>
  <c r="D132" i="39"/>
  <c r="E131" i="39"/>
  <c r="D131" i="39"/>
  <c r="E130" i="39"/>
  <c r="D130" i="39"/>
  <c r="E129" i="39"/>
  <c r="D129" i="39"/>
  <c r="E128" i="39"/>
  <c r="D128" i="39"/>
  <c r="E127" i="39"/>
  <c r="D127" i="39"/>
  <c r="E126" i="39"/>
  <c r="D126" i="39"/>
  <c r="E125" i="39"/>
  <c r="D125" i="39"/>
  <c r="E124" i="39"/>
  <c r="D124" i="39"/>
  <c r="E123" i="39"/>
  <c r="D123" i="39"/>
  <c r="E122" i="39"/>
  <c r="D122" i="39"/>
  <c r="E121" i="39"/>
  <c r="D121" i="39"/>
  <c r="E120" i="39"/>
  <c r="D120" i="39"/>
  <c r="E119" i="39"/>
  <c r="D119" i="39"/>
  <c r="E118" i="39"/>
  <c r="D118" i="39"/>
  <c r="E117" i="39"/>
  <c r="D117" i="39"/>
  <c r="E116" i="39"/>
  <c r="D116" i="39"/>
  <c r="E115" i="39"/>
  <c r="D115" i="39"/>
  <c r="D114" i="39"/>
  <c r="D113" i="39"/>
  <c r="E112" i="39"/>
  <c r="D112" i="39"/>
  <c r="E110" i="39"/>
  <c r="D110" i="39"/>
  <c r="E109" i="39"/>
  <c r="D109" i="39"/>
  <c r="E108" i="39"/>
  <c r="D108" i="39"/>
  <c r="E107" i="39"/>
  <c r="D107" i="39"/>
  <c r="E106" i="39"/>
  <c r="D106" i="39"/>
  <c r="E105" i="39"/>
  <c r="D105" i="39"/>
  <c r="E104" i="39"/>
  <c r="D104" i="39"/>
  <c r="E103" i="39"/>
  <c r="D103" i="39"/>
  <c r="E102" i="39"/>
  <c r="D102" i="39"/>
  <c r="E101" i="39"/>
  <c r="D101" i="39"/>
  <c r="E100" i="39"/>
  <c r="D100" i="39"/>
  <c r="E99" i="39"/>
  <c r="D99" i="39"/>
  <c r="E98" i="39"/>
  <c r="D98" i="39"/>
  <c r="E97" i="39"/>
  <c r="D97" i="39"/>
  <c r="E96" i="39"/>
  <c r="D96" i="39"/>
  <c r="E95" i="39"/>
  <c r="D95" i="39"/>
  <c r="E94" i="39"/>
  <c r="D94" i="39"/>
  <c r="E93" i="39"/>
  <c r="D93" i="39"/>
  <c r="E91" i="39"/>
  <c r="D91" i="39"/>
  <c r="E90" i="39"/>
  <c r="D90" i="39"/>
  <c r="D89" i="39"/>
  <c r="E88" i="39"/>
  <c r="D88" i="39"/>
  <c r="E85" i="39"/>
  <c r="D85" i="39"/>
  <c r="E84" i="39"/>
  <c r="D84" i="39"/>
  <c r="E83" i="39"/>
  <c r="D83" i="39"/>
  <c r="E92" i="39"/>
  <c r="D92" i="39"/>
  <c r="E82" i="39"/>
  <c r="D82" i="39"/>
  <c r="E81" i="39"/>
  <c r="D81" i="39"/>
  <c r="E80" i="39"/>
  <c r="D80" i="39"/>
  <c r="E79" i="39"/>
  <c r="D79" i="39"/>
  <c r="E78" i="39"/>
  <c r="D78" i="39"/>
  <c r="E77" i="39"/>
  <c r="D77" i="39"/>
  <c r="E76" i="39"/>
  <c r="D76" i="39"/>
  <c r="E73" i="39"/>
  <c r="D73" i="39"/>
  <c r="E72" i="39"/>
  <c r="D72" i="39"/>
  <c r="E71" i="39"/>
  <c r="D71" i="39"/>
  <c r="E70" i="39"/>
  <c r="D70" i="39"/>
  <c r="E69" i="39"/>
  <c r="D69" i="39"/>
  <c r="E68" i="39"/>
  <c r="D68" i="39"/>
  <c r="E67" i="39"/>
  <c r="D67" i="39"/>
  <c r="E66" i="39"/>
  <c r="D66" i="39"/>
  <c r="E65" i="39"/>
  <c r="D65" i="39"/>
  <c r="E64" i="39"/>
  <c r="D64" i="39"/>
  <c r="D63" i="39"/>
  <c r="D62" i="39"/>
  <c r="E61" i="39"/>
  <c r="D61" i="39"/>
  <c r="E58" i="39"/>
  <c r="D58" i="39"/>
  <c r="E57" i="39"/>
  <c r="D57" i="39"/>
  <c r="E56" i="39"/>
  <c r="D56" i="39"/>
  <c r="E55" i="39"/>
  <c r="D55" i="39"/>
  <c r="E54" i="39"/>
  <c r="D54" i="39"/>
  <c r="E53" i="39"/>
  <c r="D53" i="39"/>
  <c r="E52" i="39"/>
  <c r="D52" i="39"/>
  <c r="E51" i="39"/>
  <c r="D51" i="39"/>
  <c r="E50" i="39"/>
  <c r="D50" i="39"/>
  <c r="E49" i="39"/>
  <c r="D49" i="39"/>
  <c r="E47" i="39"/>
  <c r="D47" i="39"/>
  <c r="E46" i="39"/>
  <c r="D46" i="39"/>
  <c r="E45" i="39"/>
  <c r="D45" i="39"/>
  <c r="E44" i="39"/>
  <c r="D44" i="39"/>
  <c r="E43" i="39"/>
  <c r="D43" i="39"/>
  <c r="E42" i="39"/>
  <c r="D42" i="39"/>
  <c r="E41" i="39"/>
  <c r="D41" i="39"/>
  <c r="E40" i="39"/>
  <c r="D40" i="39"/>
  <c r="E39" i="39"/>
  <c r="D39" i="39"/>
  <c r="E38" i="39"/>
  <c r="D38" i="39"/>
  <c r="E36" i="39"/>
  <c r="D36" i="39"/>
  <c r="E35" i="39"/>
  <c r="D35" i="39"/>
  <c r="E34" i="39"/>
  <c r="D34" i="39"/>
  <c r="E33" i="39"/>
  <c r="D33" i="39"/>
  <c r="E32" i="39"/>
  <c r="D32" i="39"/>
  <c r="E31" i="39"/>
  <c r="D31" i="39"/>
  <c r="E30" i="39"/>
  <c r="D30" i="39"/>
  <c r="E29" i="39"/>
  <c r="D29" i="39"/>
  <c r="E28" i="39"/>
  <c r="D28" i="39"/>
  <c r="E27" i="39"/>
  <c r="D27" i="39"/>
  <c r="E26" i="39"/>
  <c r="D26" i="39"/>
  <c r="E25" i="39"/>
  <c r="D25" i="39"/>
  <c r="E24" i="39"/>
  <c r="D24" i="39"/>
  <c r="E23" i="39"/>
  <c r="D23" i="39"/>
  <c r="E22" i="39"/>
  <c r="D22" i="39"/>
  <c r="E21" i="39"/>
  <c r="D21" i="39"/>
  <c r="E20" i="39"/>
  <c r="D20" i="39"/>
  <c r="E19" i="39"/>
  <c r="D19" i="39"/>
  <c r="E18" i="39"/>
  <c r="D18" i="39"/>
  <c r="E17" i="39"/>
  <c r="D17" i="39"/>
  <c r="E16" i="39"/>
  <c r="D16" i="39"/>
  <c r="D15" i="39"/>
  <c r="E23" i="40"/>
  <c r="D23" i="40"/>
  <c r="E107" i="40"/>
  <c r="D107" i="40"/>
  <c r="E106" i="40"/>
  <c r="D106" i="40"/>
  <c r="E105" i="40"/>
  <c r="D105" i="40"/>
  <c r="E104" i="40"/>
  <c r="D104" i="40"/>
  <c r="E103" i="40"/>
  <c r="D103" i="40"/>
  <c r="E102" i="40"/>
  <c r="D102" i="40"/>
  <c r="E101" i="40"/>
  <c r="D101" i="40"/>
  <c r="E100" i="40"/>
  <c r="D100" i="40"/>
  <c r="E99" i="40"/>
  <c r="D99" i="40"/>
  <c r="E98" i="40"/>
  <c r="D98" i="40"/>
  <c r="E97" i="40"/>
  <c r="D97" i="40"/>
  <c r="E96" i="40"/>
  <c r="D96" i="40"/>
  <c r="D95" i="40"/>
  <c r="D94" i="40"/>
  <c r="E93" i="40"/>
  <c r="D93" i="40"/>
  <c r="E91" i="40"/>
  <c r="D91" i="40"/>
  <c r="E90" i="40"/>
  <c r="D90" i="40"/>
  <c r="E89" i="40"/>
  <c r="D89" i="40"/>
  <c r="E88" i="40"/>
  <c r="D88" i="40"/>
  <c r="E87" i="40"/>
  <c r="D87" i="40"/>
  <c r="E86" i="40"/>
  <c r="D86" i="40"/>
  <c r="E85" i="40"/>
  <c r="D85" i="40"/>
  <c r="E84" i="40"/>
  <c r="D84" i="40"/>
  <c r="E83" i="40"/>
  <c r="D83" i="40"/>
  <c r="E80" i="40"/>
  <c r="D80" i="40"/>
  <c r="E79" i="40"/>
  <c r="D79" i="40"/>
  <c r="E78" i="40"/>
  <c r="D78" i="40"/>
  <c r="E77" i="40"/>
  <c r="D77" i="40"/>
  <c r="E76" i="40"/>
  <c r="D76" i="40"/>
  <c r="E75" i="40"/>
  <c r="D75" i="40"/>
  <c r="E74" i="40"/>
  <c r="D74" i="40"/>
  <c r="D73" i="40"/>
  <c r="E72" i="40"/>
  <c r="D72" i="40"/>
  <c r="E71" i="40"/>
  <c r="D71" i="40"/>
  <c r="E70" i="40"/>
  <c r="D70" i="40"/>
  <c r="E69" i="40"/>
  <c r="D69" i="40"/>
  <c r="E68" i="40"/>
  <c r="D68" i="40"/>
  <c r="E67" i="40"/>
  <c r="D67" i="40"/>
  <c r="E66" i="40"/>
  <c r="D66" i="40"/>
  <c r="E65" i="40"/>
  <c r="D65" i="40"/>
  <c r="E64" i="40"/>
  <c r="D64" i="40"/>
  <c r="E63" i="40"/>
  <c r="D63" i="40"/>
  <c r="E62" i="40"/>
  <c r="D62" i="40"/>
  <c r="D61" i="40"/>
  <c r="E60" i="40"/>
  <c r="D60" i="40"/>
  <c r="E59" i="40"/>
  <c r="D59" i="40"/>
  <c r="E58" i="40"/>
  <c r="D58" i="40"/>
  <c r="E57" i="40"/>
  <c r="D57" i="40"/>
  <c r="D56" i="40"/>
  <c r="E55" i="40"/>
  <c r="D55" i="40"/>
  <c r="E54" i="40"/>
  <c r="D54" i="40"/>
  <c r="E53" i="40"/>
  <c r="D53" i="40"/>
  <c r="E27" i="40"/>
  <c r="D27" i="40"/>
  <c r="E19" i="40"/>
  <c r="D19" i="40"/>
  <c r="E16" i="40"/>
  <c r="D16" i="40"/>
  <c r="D15" i="40"/>
  <c r="E50" i="40"/>
  <c r="D50" i="40"/>
  <c r="E49" i="40"/>
  <c r="D49" i="40"/>
  <c r="E48" i="40"/>
  <c r="D48" i="40"/>
  <c r="E47" i="40"/>
  <c r="D47" i="40"/>
  <c r="E46" i="40"/>
  <c r="D46" i="40"/>
  <c r="E45" i="40"/>
  <c r="D45" i="40"/>
  <c r="E44" i="40"/>
  <c r="D44" i="40"/>
  <c r="E43" i="40"/>
  <c r="D43" i="40"/>
  <c r="E42" i="40"/>
  <c r="D42" i="40"/>
  <c r="E41" i="40"/>
  <c r="D41" i="40"/>
  <c r="E39" i="40"/>
  <c r="D39" i="40"/>
  <c r="E38" i="40"/>
  <c r="D38" i="40"/>
  <c r="E37" i="40"/>
  <c r="D37" i="40"/>
  <c r="E36" i="40"/>
  <c r="D36" i="40"/>
  <c r="E35" i="40"/>
  <c r="D35" i="40"/>
  <c r="D33" i="40"/>
  <c r="E31" i="40"/>
  <c r="D31" i="40"/>
  <c r="E30" i="40"/>
  <c r="D30" i="40"/>
  <c r="E29" i="40"/>
  <c r="D29" i="40"/>
  <c r="E28" i="40"/>
  <c r="D28" i="40"/>
  <c r="W52" i="40" l="1"/>
  <c r="W92" i="40"/>
  <c r="O164" i="39"/>
  <c r="O202" i="39"/>
  <c r="O206" i="39"/>
  <c r="W32" i="40"/>
  <c r="X35" i="40"/>
  <c r="X39" i="40"/>
  <c r="X44" i="40"/>
  <c r="X48" i="40"/>
  <c r="T48" i="40" s="1"/>
  <c r="X59" i="40"/>
  <c r="X36" i="40"/>
  <c r="X41" i="40"/>
  <c r="X45" i="40"/>
  <c r="X49" i="40"/>
  <c r="X60" i="40"/>
  <c r="X37" i="40"/>
  <c r="X42" i="40"/>
  <c r="G42" i="40" s="1"/>
  <c r="X46" i="40"/>
  <c r="X50" i="40"/>
  <c r="X38" i="40"/>
  <c r="X43" i="40"/>
  <c r="X47" i="40"/>
  <c r="W109" i="40"/>
  <c r="X96" i="40"/>
  <c r="H96" i="40" s="1"/>
  <c r="X100" i="40"/>
  <c r="K100" i="40" s="1"/>
  <c r="X104" i="40"/>
  <c r="H104" i="40" s="1"/>
  <c r="X23" i="40"/>
  <c r="X98" i="40"/>
  <c r="H98" i="40" s="1"/>
  <c r="X102" i="40"/>
  <c r="S102" i="40" s="1"/>
  <c r="X106" i="40"/>
  <c r="K106" i="40" s="1"/>
  <c r="X99" i="40"/>
  <c r="H99" i="40" s="1"/>
  <c r="X103" i="40"/>
  <c r="K103" i="40" s="1"/>
  <c r="O16" i="39"/>
  <c r="M16" i="39" s="1"/>
  <c r="O20" i="39"/>
  <c r="M20" i="39" s="1"/>
  <c r="O24" i="39"/>
  <c r="M24" i="39" s="1"/>
  <c r="O32" i="39"/>
  <c r="L32" i="39" s="1"/>
  <c r="O50" i="39"/>
  <c r="O54" i="39"/>
  <c r="O141" i="39"/>
  <c r="O145" i="39"/>
  <c r="O149" i="39"/>
  <c r="M149" i="39" s="1"/>
  <c r="O153" i="39"/>
  <c r="O157" i="39"/>
  <c r="O210" i="39"/>
  <c r="M210" i="39" s="1"/>
  <c r="O214" i="39"/>
  <c r="L214" i="39" s="1"/>
  <c r="O218" i="39"/>
  <c r="M218" i="39" s="1"/>
  <c r="O222" i="39"/>
  <c r="M222" i="39" s="1"/>
  <c r="O226" i="39"/>
  <c r="M226" i="39" s="1"/>
  <c r="O17" i="39"/>
  <c r="M17" i="39" s="1"/>
  <c r="O21" i="39"/>
  <c r="M21" i="39" s="1"/>
  <c r="O25" i="39"/>
  <c r="L25" i="39" s="1"/>
  <c r="O29" i="39"/>
  <c r="M29" i="39" s="1"/>
  <c r="O33" i="39"/>
  <c r="L33" i="39" s="1"/>
  <c r="O38" i="39"/>
  <c r="L38" i="39" s="1"/>
  <c r="O42" i="39"/>
  <c r="M42" i="39" s="1"/>
  <c r="O93" i="39"/>
  <c r="O97" i="39"/>
  <c r="M97" i="39" s="1"/>
  <c r="O101" i="39"/>
  <c r="X107" i="40"/>
  <c r="G107" i="40" s="1"/>
  <c r="O105" i="39"/>
  <c r="O109" i="39"/>
  <c r="O230" i="39"/>
  <c r="L230" i="39" s="1"/>
  <c r="O169" i="39"/>
  <c r="O173" i="39"/>
  <c r="O213" i="39"/>
  <c r="L213" i="39" s="1"/>
  <c r="O217" i="39"/>
  <c r="M217" i="39" s="1"/>
  <c r="O221" i="39"/>
  <c r="M221" i="39" s="1"/>
  <c r="O225" i="39"/>
  <c r="M225" i="39" s="1"/>
  <c r="O90" i="39"/>
  <c r="O229" i="39"/>
  <c r="M229" i="39" s="1"/>
  <c r="O168" i="39"/>
  <c r="O95" i="39"/>
  <c r="O99" i="39"/>
  <c r="M99" i="39" s="1"/>
  <c r="O103" i="39"/>
  <c r="O107" i="39"/>
  <c r="O112" i="39"/>
  <c r="O138" i="39"/>
  <c r="M138" i="39" s="1"/>
  <c r="O142" i="39"/>
  <c r="O146" i="39"/>
  <c r="O150" i="39"/>
  <c r="O211" i="39"/>
  <c r="M211" i="39" s="1"/>
  <c r="O215" i="39"/>
  <c r="M215" i="39" s="1"/>
  <c r="O154" i="39"/>
  <c r="O158" i="39"/>
  <c r="O219" i="39"/>
  <c r="M219" i="39" s="1"/>
  <c r="O223" i="39"/>
  <c r="L223" i="39" s="1"/>
  <c r="O172" i="39"/>
  <c r="O176" i="39"/>
  <c r="O177" i="39"/>
  <c r="M177" i="39" s="1"/>
  <c r="O227" i="39"/>
  <c r="M227" i="39" s="1"/>
  <c r="O36" i="39"/>
  <c r="L36" i="39" s="1"/>
  <c r="O180" i="39"/>
  <c r="O181" i="39"/>
  <c r="O166" i="39"/>
  <c r="O170" i="39"/>
  <c r="O174" i="39"/>
  <c r="O178" i="39"/>
  <c r="M178" i="39" s="1"/>
  <c r="O182" i="39"/>
  <c r="O187" i="39"/>
  <c r="M187" i="39" s="1"/>
  <c r="O191" i="39"/>
  <c r="O195" i="39"/>
  <c r="L195" i="39" s="1"/>
  <c r="O199" i="39"/>
  <c r="O41" i="39"/>
  <c r="O45" i="39"/>
  <c r="M45" i="39" s="1"/>
  <c r="O189" i="39"/>
  <c r="M189" i="39" s="1"/>
  <c r="O49" i="39"/>
  <c r="O53" i="39"/>
  <c r="O190" i="39"/>
  <c r="O139" i="39"/>
  <c r="M139" i="39" s="1"/>
  <c r="O193" i="39"/>
  <c r="M193" i="39" s="1"/>
  <c r="O143" i="39"/>
  <c r="O147" i="39"/>
  <c r="O197" i="39"/>
  <c r="L197" i="39" s="1"/>
  <c r="X57" i="40"/>
  <c r="G34" i="40"/>
  <c r="P34" i="40"/>
  <c r="T34" i="40"/>
  <c r="U34" i="40" s="1"/>
  <c r="O194" i="39"/>
  <c r="M194" i="39" s="1"/>
  <c r="O198" i="39"/>
  <c r="X31" i="40"/>
  <c r="G31" i="40" s="1"/>
  <c r="X27" i="40"/>
  <c r="T27" i="40" s="1"/>
  <c r="X65" i="40"/>
  <c r="H65" i="40" s="1"/>
  <c r="X69" i="40"/>
  <c r="K69" i="40" s="1"/>
  <c r="X77" i="40"/>
  <c r="O77" i="40" s="1"/>
  <c r="X83" i="40"/>
  <c r="T83" i="40" s="1"/>
  <c r="X87" i="40"/>
  <c r="T87" i="40" s="1"/>
  <c r="X91" i="40"/>
  <c r="O91" i="40" s="1"/>
  <c r="O116" i="39"/>
  <c r="O120" i="39"/>
  <c r="M120" i="39" s="1"/>
  <c r="O124" i="39"/>
  <c r="M124" i="39" s="1"/>
  <c r="O128" i="39"/>
  <c r="O132" i="39"/>
  <c r="M132" i="39" s="1"/>
  <c r="O163" i="39"/>
  <c r="M163" i="39" s="1"/>
  <c r="O201" i="39"/>
  <c r="M201" i="39" s="1"/>
  <c r="O205" i="39"/>
  <c r="L205" i="39" s="1"/>
  <c r="X28" i="40"/>
  <c r="H28" i="40" s="1"/>
  <c r="X53" i="40"/>
  <c r="S53" i="40" s="1"/>
  <c r="O133" i="39"/>
  <c r="M133" i="39" s="1"/>
  <c r="O57" i="39"/>
  <c r="M57" i="39" s="1"/>
  <c r="O151" i="39"/>
  <c r="O155" i="39"/>
  <c r="M155" i="39" s="1"/>
  <c r="O160" i="39"/>
  <c r="M160" i="39" s="1"/>
  <c r="X29" i="40"/>
  <c r="P29" i="40" s="1"/>
  <c r="X16" i="40"/>
  <c r="X54" i="40"/>
  <c r="G54" i="40" s="1"/>
  <c r="X63" i="40"/>
  <c r="S63" i="40" s="1"/>
  <c r="X67" i="40"/>
  <c r="O67" i="40" s="1"/>
  <c r="X71" i="40"/>
  <c r="O71" i="40" s="1"/>
  <c r="X75" i="40"/>
  <c r="O75" i="40" s="1"/>
  <c r="X79" i="40"/>
  <c r="G79" i="40" s="1"/>
  <c r="X85" i="40"/>
  <c r="O85" i="40" s="1"/>
  <c r="X89" i="40"/>
  <c r="P89" i="40" s="1"/>
  <c r="O118" i="39"/>
  <c r="M118" i="39" s="1"/>
  <c r="O122" i="39"/>
  <c r="O126" i="39"/>
  <c r="O130" i="39"/>
  <c r="M130" i="39" s="1"/>
  <c r="O134" i="39"/>
  <c r="L134" i="39" s="1"/>
  <c r="X30" i="40"/>
  <c r="T30" i="40" s="1"/>
  <c r="X19" i="40"/>
  <c r="X55" i="40"/>
  <c r="L55" i="40" s="1"/>
  <c r="X64" i="40"/>
  <c r="O64" i="40" s="1"/>
  <c r="X68" i="40"/>
  <c r="P68" i="40" s="1"/>
  <c r="X72" i="40"/>
  <c r="T72" i="40" s="1"/>
  <c r="X76" i="40"/>
  <c r="H76" i="40" s="1"/>
  <c r="X80" i="40"/>
  <c r="G80" i="40" s="1"/>
  <c r="X86" i="40"/>
  <c r="G86" i="40" s="1"/>
  <c r="X90" i="40"/>
  <c r="G90" i="40" s="1"/>
  <c r="O88" i="39"/>
  <c r="M88" i="39" s="1"/>
  <c r="O200" i="39"/>
  <c r="L200" i="39" s="1"/>
  <c r="O204" i="39"/>
  <c r="L204" i="39" s="1"/>
  <c r="K34" i="40"/>
  <c r="L34" i="40"/>
  <c r="O34" i="40"/>
  <c r="Q34" i="40" s="1"/>
  <c r="X58" i="40"/>
  <c r="K58" i="40" s="1"/>
  <c r="X62" i="40"/>
  <c r="T62" i="40" s="1"/>
  <c r="X66" i="40"/>
  <c r="O66" i="40" s="1"/>
  <c r="X70" i="40"/>
  <c r="K70" i="40" s="1"/>
  <c r="X74" i="40"/>
  <c r="O74" i="40" s="1"/>
  <c r="X78" i="40"/>
  <c r="T78" i="40" s="1"/>
  <c r="X84" i="40"/>
  <c r="K84" i="40" s="1"/>
  <c r="X88" i="40"/>
  <c r="G88" i="40" s="1"/>
  <c r="X93" i="40"/>
  <c r="G93" i="40" s="1"/>
  <c r="X97" i="40"/>
  <c r="O97" i="40" s="1"/>
  <c r="X101" i="40"/>
  <c r="G101" i="40" s="1"/>
  <c r="X105" i="40"/>
  <c r="P105" i="40" s="1"/>
  <c r="O19" i="39"/>
  <c r="M19" i="39" s="1"/>
  <c r="O23" i="39"/>
  <c r="M23" i="39" s="1"/>
  <c r="O27" i="39"/>
  <c r="M27" i="39" s="1"/>
  <c r="O31" i="39"/>
  <c r="L31" i="39" s="1"/>
  <c r="O35" i="39"/>
  <c r="M35" i="39" s="1"/>
  <c r="O40" i="39"/>
  <c r="M40" i="39" s="1"/>
  <c r="O44" i="39"/>
  <c r="L44" i="39" s="1"/>
  <c r="O47" i="39"/>
  <c r="L47" i="39" s="1"/>
  <c r="O52" i="39"/>
  <c r="L52" i="39" s="1"/>
  <c r="O56" i="39"/>
  <c r="M56" i="39" s="1"/>
  <c r="O66" i="39"/>
  <c r="M66" i="39" s="1"/>
  <c r="H34" i="40"/>
  <c r="O70" i="39"/>
  <c r="O76" i="39"/>
  <c r="M76" i="39" s="1"/>
  <c r="O80" i="39"/>
  <c r="L80" i="39" s="1"/>
  <c r="O83" i="39"/>
  <c r="M83" i="39" s="1"/>
  <c r="O67" i="39"/>
  <c r="O71" i="39"/>
  <c r="O77" i="39"/>
  <c r="M77" i="39" s="1"/>
  <c r="O81" i="39"/>
  <c r="M81" i="39" s="1"/>
  <c r="O84" i="39"/>
  <c r="M84" i="39" s="1"/>
  <c r="O58" i="39"/>
  <c r="M58" i="39" s="1"/>
  <c r="O64" i="39"/>
  <c r="M64" i="39" s="1"/>
  <c r="O68" i="39"/>
  <c r="L68" i="39" s="1"/>
  <c r="O72" i="39"/>
  <c r="O78" i="39"/>
  <c r="M78" i="39" s="1"/>
  <c r="O82" i="39"/>
  <c r="L82" i="39" s="1"/>
  <c r="O85" i="39"/>
  <c r="L85" i="39" s="1"/>
  <c r="O94" i="39"/>
  <c r="M94" i="39" s="1"/>
  <c r="O98" i="39"/>
  <c r="M98" i="39" s="1"/>
  <c r="O102" i="39"/>
  <c r="M102" i="39" s="1"/>
  <c r="O106" i="39"/>
  <c r="L106" i="39" s="1"/>
  <c r="O110" i="39"/>
  <c r="M110" i="39" s="1"/>
  <c r="O115" i="39"/>
  <c r="M115" i="39" s="1"/>
  <c r="O119" i="39"/>
  <c r="M119" i="39" s="1"/>
  <c r="O123" i="39"/>
  <c r="M123" i="39" s="1"/>
  <c r="O127" i="39"/>
  <c r="L127" i="39" s="1"/>
  <c r="O131" i="39"/>
  <c r="M131" i="39" s="1"/>
  <c r="O140" i="39"/>
  <c r="M140" i="39" s="1"/>
  <c r="O144" i="39"/>
  <c r="M144" i="39" s="1"/>
  <c r="O148" i="39"/>
  <c r="M148" i="39" s="1"/>
  <c r="O152" i="39"/>
  <c r="M152" i="39" s="1"/>
  <c r="O156" i="39"/>
  <c r="M156" i="39" s="1"/>
  <c r="O165" i="39"/>
  <c r="M165" i="39" s="1"/>
  <c r="O203" i="39"/>
  <c r="M203" i="39" s="1"/>
  <c r="O212" i="39"/>
  <c r="M212" i="39" s="1"/>
  <c r="O216" i="39"/>
  <c r="M216" i="39" s="1"/>
  <c r="O220" i="39"/>
  <c r="M220" i="39" s="1"/>
  <c r="O224" i="39"/>
  <c r="M224" i="39" s="1"/>
  <c r="O228" i="39"/>
  <c r="M228" i="39" s="1"/>
  <c r="O167" i="39"/>
  <c r="M167" i="39" s="1"/>
  <c r="O171" i="39"/>
  <c r="M171" i="39" s="1"/>
  <c r="O175" i="39"/>
  <c r="M175" i="39" s="1"/>
  <c r="O179" i="39"/>
  <c r="M179" i="39" s="1"/>
  <c r="O184" i="39"/>
  <c r="M184" i="39" s="1"/>
  <c r="O188" i="39"/>
  <c r="M188" i="39" s="1"/>
  <c r="O192" i="39"/>
  <c r="M192" i="39" s="1"/>
  <c r="O196" i="39"/>
  <c r="M196" i="39" s="1"/>
  <c r="M199" i="39"/>
  <c r="L199" i="39"/>
  <c r="M198" i="39"/>
  <c r="L198" i="39"/>
  <c r="M195" i="39"/>
  <c r="L193" i="39"/>
  <c r="M191" i="39"/>
  <c r="L191" i="39"/>
  <c r="M190" i="39"/>
  <c r="L190" i="39"/>
  <c r="M182" i="39"/>
  <c r="L182" i="39"/>
  <c r="M181" i="39"/>
  <c r="L181" i="39"/>
  <c r="M180" i="39"/>
  <c r="L180" i="39"/>
  <c r="M176" i="39"/>
  <c r="L176" i="39"/>
  <c r="M174" i="39"/>
  <c r="L174" i="39"/>
  <c r="M173" i="39"/>
  <c r="L173" i="39"/>
  <c r="M172" i="39"/>
  <c r="L172" i="39"/>
  <c r="M170" i="39"/>
  <c r="L170" i="39"/>
  <c r="M169" i="39"/>
  <c r="L169" i="39"/>
  <c r="M168" i="39"/>
  <c r="L168" i="39"/>
  <c r="M166" i="39"/>
  <c r="L166" i="39"/>
  <c r="M206" i="39"/>
  <c r="L206" i="39"/>
  <c r="M202" i="39"/>
  <c r="L202" i="39"/>
  <c r="M164" i="39"/>
  <c r="L164" i="39"/>
  <c r="M158" i="39"/>
  <c r="L158" i="39"/>
  <c r="M157" i="39"/>
  <c r="L157" i="39"/>
  <c r="L154" i="39"/>
  <c r="M154" i="39"/>
  <c r="M153" i="39"/>
  <c r="L153" i="39"/>
  <c r="M151" i="39"/>
  <c r="L151" i="39"/>
  <c r="M150" i="39"/>
  <c r="L150" i="39"/>
  <c r="M147" i="39"/>
  <c r="L147" i="39"/>
  <c r="M146" i="39"/>
  <c r="L146" i="39"/>
  <c r="M145" i="39"/>
  <c r="L145" i="39"/>
  <c r="M143" i="39"/>
  <c r="L143" i="39"/>
  <c r="M142" i="39"/>
  <c r="L142" i="39"/>
  <c r="M141" i="39"/>
  <c r="L141" i="39"/>
  <c r="O91" i="39"/>
  <c r="M91" i="39" s="1"/>
  <c r="O96" i="39"/>
  <c r="M96" i="39" s="1"/>
  <c r="O100" i="39"/>
  <c r="M100" i="39" s="1"/>
  <c r="O104" i="39"/>
  <c r="M104" i="39" s="1"/>
  <c r="O108" i="39"/>
  <c r="M108" i="39" s="1"/>
  <c r="O117" i="39"/>
  <c r="L117" i="39" s="1"/>
  <c r="O121" i="39"/>
  <c r="M121" i="39" s="1"/>
  <c r="O125" i="39"/>
  <c r="M125" i="39" s="1"/>
  <c r="O129" i="39"/>
  <c r="L129" i="39" s="1"/>
  <c r="M128" i="39"/>
  <c r="L128" i="39"/>
  <c r="M126" i="39"/>
  <c r="L126" i="39"/>
  <c r="M122" i="39"/>
  <c r="L122" i="39"/>
  <c r="M116" i="39"/>
  <c r="L116" i="39"/>
  <c r="M112" i="39"/>
  <c r="L112" i="39"/>
  <c r="M109" i="39"/>
  <c r="L109" i="39"/>
  <c r="M107" i="39"/>
  <c r="L107" i="39"/>
  <c r="M105" i="39"/>
  <c r="L105" i="39"/>
  <c r="M103" i="39"/>
  <c r="L103" i="39"/>
  <c r="M101" i="39"/>
  <c r="L101" i="39"/>
  <c r="M95" i="39"/>
  <c r="L95" i="39"/>
  <c r="O28" i="39"/>
  <c r="M28" i="39" s="1"/>
  <c r="M93" i="39"/>
  <c r="L93" i="39"/>
  <c r="O18" i="39"/>
  <c r="M18" i="39" s="1"/>
  <c r="O22" i="39"/>
  <c r="M22" i="39" s="1"/>
  <c r="O26" i="39"/>
  <c r="L26" i="39" s="1"/>
  <c r="O30" i="39"/>
  <c r="L30" i="39" s="1"/>
  <c r="O34" i="39"/>
  <c r="M34" i="39" s="1"/>
  <c r="O39" i="39"/>
  <c r="M39" i="39" s="1"/>
  <c r="O43" i="39"/>
  <c r="M43" i="39" s="1"/>
  <c r="O46" i="39"/>
  <c r="M46" i="39" s="1"/>
  <c r="O51" i="39"/>
  <c r="M51" i="39" s="1"/>
  <c r="O55" i="39"/>
  <c r="M55" i="39" s="1"/>
  <c r="O61" i="39"/>
  <c r="M61" i="39" s="1"/>
  <c r="O65" i="39"/>
  <c r="M65" i="39" s="1"/>
  <c r="O69" i="39"/>
  <c r="M69" i="39" s="1"/>
  <c r="O73" i="39"/>
  <c r="M73" i="39" s="1"/>
  <c r="O79" i="39"/>
  <c r="M79" i="39" s="1"/>
  <c r="O92" i="39"/>
  <c r="M92" i="39" s="1"/>
  <c r="M90" i="39"/>
  <c r="L90" i="39"/>
  <c r="M72" i="39"/>
  <c r="L72" i="39"/>
  <c r="M71" i="39"/>
  <c r="L71" i="39"/>
  <c r="M70" i="39"/>
  <c r="L70" i="39"/>
  <c r="M67" i="39"/>
  <c r="L67" i="39"/>
  <c r="M54" i="39"/>
  <c r="L54" i="39"/>
  <c r="L53" i="39"/>
  <c r="M53" i="39"/>
  <c r="M50" i="39"/>
  <c r="L50" i="39"/>
  <c r="L49" i="39"/>
  <c r="M49" i="39"/>
  <c r="M41" i="39"/>
  <c r="L41" i="39"/>
  <c r="O23" i="40"/>
  <c r="L23" i="40"/>
  <c r="K23" i="40"/>
  <c r="T23" i="40"/>
  <c r="S23" i="40"/>
  <c r="H23" i="40"/>
  <c r="G23" i="40"/>
  <c r="P23" i="40"/>
  <c r="L60" i="40"/>
  <c r="H60" i="40"/>
  <c r="K60" i="40"/>
  <c r="T60" i="40"/>
  <c r="S60" i="40"/>
  <c r="G60" i="40"/>
  <c r="O60" i="40"/>
  <c r="P60" i="40"/>
  <c r="O59" i="40"/>
  <c r="L59" i="40"/>
  <c r="S59" i="40"/>
  <c r="K59" i="40"/>
  <c r="H59" i="40"/>
  <c r="T59" i="40"/>
  <c r="G59" i="40"/>
  <c r="P59" i="40"/>
  <c r="L57" i="40"/>
  <c r="S57" i="40"/>
  <c r="K57" i="40"/>
  <c r="T57" i="40"/>
  <c r="H57" i="40"/>
  <c r="O57" i="40"/>
  <c r="G57" i="40"/>
  <c r="P57" i="40"/>
  <c r="O19" i="40"/>
  <c r="L19" i="40"/>
  <c r="H19" i="40"/>
  <c r="K19" i="40"/>
  <c r="S19" i="40"/>
  <c r="T19" i="40"/>
  <c r="G19" i="40"/>
  <c r="P19" i="40"/>
  <c r="L16" i="40"/>
  <c r="H16" i="40"/>
  <c r="K16" i="40"/>
  <c r="T16" i="40"/>
  <c r="S16" i="40"/>
  <c r="G16" i="40"/>
  <c r="P16" i="40"/>
  <c r="O16" i="40"/>
  <c r="O50" i="40"/>
  <c r="L50" i="40"/>
  <c r="K50" i="40"/>
  <c r="H50" i="40"/>
  <c r="T50" i="40"/>
  <c r="S50" i="40"/>
  <c r="G50" i="40"/>
  <c r="P50" i="40"/>
  <c r="O49" i="40"/>
  <c r="P49" i="40"/>
  <c r="L49" i="40"/>
  <c r="G49" i="40"/>
  <c r="K49" i="40"/>
  <c r="T49" i="40"/>
  <c r="S49" i="40"/>
  <c r="H49" i="40"/>
  <c r="O47" i="40"/>
  <c r="L47" i="40"/>
  <c r="K47" i="40"/>
  <c r="T47" i="40"/>
  <c r="S47" i="40"/>
  <c r="H47" i="40"/>
  <c r="G47" i="40"/>
  <c r="P47" i="40"/>
  <c r="O46" i="40"/>
  <c r="K46" i="40"/>
  <c r="S46" i="40"/>
  <c r="H46" i="40"/>
  <c r="T46" i="40"/>
  <c r="G46" i="40"/>
  <c r="L46" i="40"/>
  <c r="P46" i="40"/>
  <c r="O45" i="40"/>
  <c r="L45" i="40"/>
  <c r="S45" i="40"/>
  <c r="K45" i="40"/>
  <c r="H45" i="40"/>
  <c r="T45" i="40"/>
  <c r="G45" i="40"/>
  <c r="P45" i="40"/>
  <c r="O44" i="40"/>
  <c r="L44" i="40"/>
  <c r="S44" i="40"/>
  <c r="K44" i="40"/>
  <c r="H44" i="40"/>
  <c r="T44" i="40"/>
  <c r="G44" i="40"/>
  <c r="P44" i="40"/>
  <c r="O43" i="40"/>
  <c r="L43" i="40"/>
  <c r="K43" i="40"/>
  <c r="S43" i="40"/>
  <c r="T43" i="40"/>
  <c r="H43" i="40"/>
  <c r="G43" i="40"/>
  <c r="P43" i="40"/>
  <c r="K42" i="40"/>
  <c r="L41" i="40"/>
  <c r="P41" i="40"/>
  <c r="K41" i="40"/>
  <c r="T41" i="40"/>
  <c r="S41" i="40"/>
  <c r="H41" i="40"/>
  <c r="O41" i="40"/>
  <c r="G41" i="40"/>
  <c r="O39" i="40"/>
  <c r="K39" i="40"/>
  <c r="L39" i="40"/>
  <c r="P39" i="40"/>
  <c r="T39" i="40"/>
  <c r="S39" i="40"/>
  <c r="H39" i="40"/>
  <c r="G39" i="40"/>
  <c r="O38" i="40"/>
  <c r="L38" i="40"/>
  <c r="K38" i="40"/>
  <c r="G38" i="40"/>
  <c r="P38" i="40"/>
  <c r="T38" i="40"/>
  <c r="S38" i="40"/>
  <c r="H38" i="40"/>
  <c r="O37" i="40"/>
  <c r="K37" i="40"/>
  <c r="H37" i="40"/>
  <c r="P37" i="40"/>
  <c r="L37" i="40"/>
  <c r="S37" i="40"/>
  <c r="G37" i="40"/>
  <c r="T37" i="40"/>
  <c r="O36" i="40"/>
  <c r="L36" i="40"/>
  <c r="S36" i="40"/>
  <c r="P36" i="40"/>
  <c r="K36" i="40"/>
  <c r="H36" i="40"/>
  <c r="T36" i="40"/>
  <c r="G36" i="40"/>
  <c r="O35" i="40"/>
  <c r="L35" i="40"/>
  <c r="T35" i="40"/>
  <c r="H35" i="40"/>
  <c r="G35" i="40"/>
  <c r="K35" i="40"/>
  <c r="S35" i="40"/>
  <c r="P35" i="40"/>
  <c r="E26" i="40"/>
  <c r="D26" i="40"/>
  <c r="E25" i="40"/>
  <c r="D25" i="40"/>
  <c r="E24" i="40"/>
  <c r="D24" i="40"/>
  <c r="E22" i="40"/>
  <c r="D22" i="40"/>
  <c r="E21" i="40"/>
  <c r="D21" i="40"/>
  <c r="E20" i="40"/>
  <c r="D20" i="40"/>
  <c r="E18" i="40"/>
  <c r="D18" i="40"/>
  <c r="E17" i="40"/>
  <c r="D17" i="40"/>
  <c r="L66" i="39" l="1"/>
  <c r="L97" i="39"/>
  <c r="K48" i="40"/>
  <c r="K27" i="40"/>
  <c r="M68" i="39"/>
  <c r="L149" i="39"/>
  <c r="N149" i="39" s="1"/>
  <c r="S48" i="40"/>
  <c r="T53" i="40"/>
  <c r="U53" i="40" s="1"/>
  <c r="S42" i="40"/>
  <c r="T42" i="40"/>
  <c r="L42" i="39"/>
  <c r="L45" i="39"/>
  <c r="M38" i="39"/>
  <c r="L88" i="39"/>
  <c r="X21" i="40"/>
  <c r="H42" i="40"/>
  <c r="I42" i="40" s="1"/>
  <c r="L48" i="40"/>
  <c r="L27" i="40"/>
  <c r="M27" i="40" s="1"/>
  <c r="L53" i="40"/>
  <c r="L42" i="40"/>
  <c r="L99" i="39"/>
  <c r="L118" i="39"/>
  <c r="N118" i="39" s="1"/>
  <c r="O53" i="40"/>
  <c r="P48" i="40"/>
  <c r="Q48" i="40" s="1"/>
  <c r="P27" i="40"/>
  <c r="P53" i="40"/>
  <c r="L120" i="39"/>
  <c r="O48" i="40"/>
  <c r="O27" i="40"/>
  <c r="O42" i="40"/>
  <c r="P42" i="40"/>
  <c r="G48" i="40"/>
  <c r="I48" i="40" s="1"/>
  <c r="G27" i="40"/>
  <c r="G53" i="40"/>
  <c r="L177" i="39"/>
  <c r="H48" i="40"/>
  <c r="H27" i="40"/>
  <c r="H53" i="40"/>
  <c r="S27" i="40"/>
  <c r="K53" i="40"/>
  <c r="M197" i="39"/>
  <c r="N197" i="39" s="1"/>
  <c r="L178" i="39"/>
  <c r="N178" i="39" s="1"/>
  <c r="K65" i="40"/>
  <c r="P65" i="40"/>
  <c r="G65" i="40"/>
  <c r="S65" i="40"/>
  <c r="L65" i="40"/>
  <c r="T65" i="40"/>
  <c r="O65" i="40"/>
  <c r="G85" i="40"/>
  <c r="S85" i="40"/>
  <c r="T85" i="40"/>
  <c r="H85" i="40"/>
  <c r="K85" i="40"/>
  <c r="L85" i="40"/>
  <c r="P85" i="40"/>
  <c r="Q85" i="40" s="1"/>
  <c r="M230" i="39"/>
  <c r="N230" i="39" s="1"/>
  <c r="L229" i="39"/>
  <c r="N229" i="39" s="1"/>
  <c r="L227" i="39"/>
  <c r="L226" i="39"/>
  <c r="N226" i="39" s="1"/>
  <c r="L225" i="39"/>
  <c r="M223" i="39"/>
  <c r="N223" i="39" s="1"/>
  <c r="L222" i="39"/>
  <c r="L221" i="39"/>
  <c r="N221" i="39" s="1"/>
  <c r="L219" i="39"/>
  <c r="N219" i="39" s="1"/>
  <c r="L218" i="39"/>
  <c r="N218" i="39" s="1"/>
  <c r="L217" i="39"/>
  <c r="L215" i="39"/>
  <c r="M214" i="39"/>
  <c r="M213" i="39"/>
  <c r="N213" i="39" s="1"/>
  <c r="L210" i="39"/>
  <c r="N210" i="39" s="1"/>
  <c r="L106" i="40"/>
  <c r="M106" i="40" s="1"/>
  <c r="P58" i="40"/>
  <c r="G58" i="40"/>
  <c r="H58" i="40"/>
  <c r="T58" i="40"/>
  <c r="L58" i="40"/>
  <c r="O58" i="40"/>
  <c r="G68" i="40"/>
  <c r="S68" i="40"/>
  <c r="T68" i="40"/>
  <c r="H68" i="40"/>
  <c r="K68" i="40"/>
  <c r="L68" i="40"/>
  <c r="O68" i="40"/>
  <c r="P67" i="40"/>
  <c r="Q67" i="40" s="1"/>
  <c r="P66" i="40"/>
  <c r="P63" i="40"/>
  <c r="T63" i="40"/>
  <c r="U63" i="40" s="1"/>
  <c r="K63" i="40"/>
  <c r="L63" i="40"/>
  <c r="O63" i="40"/>
  <c r="H63" i="40"/>
  <c r="G63" i="40"/>
  <c r="H62" i="40"/>
  <c r="K62" i="40"/>
  <c r="S62" i="40"/>
  <c r="U62" i="40" s="1"/>
  <c r="L62" i="40"/>
  <c r="O62" i="40"/>
  <c r="P62" i="40"/>
  <c r="G62" i="40"/>
  <c r="L138" i="39"/>
  <c r="N138" i="39" s="1"/>
  <c r="L139" i="39"/>
  <c r="T86" i="40"/>
  <c r="P86" i="40"/>
  <c r="H86" i="40"/>
  <c r="I86" i="40" s="1"/>
  <c r="P84" i="40"/>
  <c r="S84" i="40"/>
  <c r="H84" i="40"/>
  <c r="O84" i="40"/>
  <c r="O106" i="40"/>
  <c r="G106" i="40"/>
  <c r="S106" i="40"/>
  <c r="P106" i="40"/>
  <c r="T106" i="40"/>
  <c r="H106" i="40"/>
  <c r="S104" i="40"/>
  <c r="L104" i="40"/>
  <c r="O104" i="40"/>
  <c r="P104" i="40"/>
  <c r="G104" i="40"/>
  <c r="T104" i="40"/>
  <c r="K104" i="40"/>
  <c r="L103" i="40"/>
  <c r="M103" i="40" s="1"/>
  <c r="T103" i="40"/>
  <c r="O103" i="40"/>
  <c r="P103" i="40"/>
  <c r="G103" i="40"/>
  <c r="S103" i="40"/>
  <c r="H103" i="40"/>
  <c r="L102" i="40"/>
  <c r="O102" i="40"/>
  <c r="P102" i="40"/>
  <c r="G102" i="40"/>
  <c r="T102" i="40"/>
  <c r="H102" i="40"/>
  <c r="K102" i="40"/>
  <c r="T100" i="40"/>
  <c r="H100" i="40"/>
  <c r="L100" i="40"/>
  <c r="M100" i="40" s="1"/>
  <c r="G100" i="40"/>
  <c r="O100" i="40"/>
  <c r="P100" i="40"/>
  <c r="S100" i="40"/>
  <c r="L99" i="40"/>
  <c r="K99" i="40"/>
  <c r="O99" i="40"/>
  <c r="P99" i="40"/>
  <c r="G99" i="40"/>
  <c r="S99" i="40"/>
  <c r="T99" i="40"/>
  <c r="L98" i="40"/>
  <c r="O98" i="40"/>
  <c r="P98" i="40"/>
  <c r="G98" i="40"/>
  <c r="S98" i="40"/>
  <c r="T98" i="40"/>
  <c r="K98" i="40"/>
  <c r="L96" i="40"/>
  <c r="O96" i="40"/>
  <c r="K96" i="40"/>
  <c r="P96" i="40"/>
  <c r="G96" i="40"/>
  <c r="I96" i="40" s="1"/>
  <c r="S96" i="40"/>
  <c r="T96" i="40"/>
  <c r="K76" i="40"/>
  <c r="T76" i="40"/>
  <c r="L76" i="40"/>
  <c r="P76" i="40"/>
  <c r="G76" i="40"/>
  <c r="I76" i="40" s="1"/>
  <c r="O76" i="40"/>
  <c r="S76" i="40"/>
  <c r="S78" i="40"/>
  <c r="O78" i="40"/>
  <c r="K78" i="40"/>
  <c r="P78" i="40"/>
  <c r="L78" i="40"/>
  <c r="G78" i="40"/>
  <c r="H78" i="40"/>
  <c r="P77" i="40"/>
  <c r="K86" i="40"/>
  <c r="S58" i="40"/>
  <c r="U58" i="40" s="1"/>
  <c r="T84" i="40"/>
  <c r="L86" i="40"/>
  <c r="P69" i="40"/>
  <c r="G69" i="40"/>
  <c r="S69" i="40"/>
  <c r="T69" i="40"/>
  <c r="L69" i="40"/>
  <c r="M69" i="40" s="1"/>
  <c r="H69" i="40"/>
  <c r="O69" i="40"/>
  <c r="H107" i="40"/>
  <c r="I107" i="40" s="1"/>
  <c r="T107" i="40"/>
  <c r="K107" i="40"/>
  <c r="S107" i="40"/>
  <c r="L107" i="40"/>
  <c r="O107" i="40"/>
  <c r="P107" i="40"/>
  <c r="M33" i="39"/>
  <c r="N33" i="39" s="1"/>
  <c r="M32" i="39"/>
  <c r="N32" i="39" s="1"/>
  <c r="L29" i="39"/>
  <c r="N29" i="39" s="1"/>
  <c r="M25" i="39"/>
  <c r="N25" i="39" s="1"/>
  <c r="L24" i="39"/>
  <c r="N24" i="39" s="1"/>
  <c r="L21" i="39"/>
  <c r="N21" i="39" s="1"/>
  <c r="L20" i="39"/>
  <c r="N20" i="39" s="1"/>
  <c r="L17" i="39"/>
  <c r="N17" i="39" s="1"/>
  <c r="L16" i="39"/>
  <c r="N16" i="39" s="1"/>
  <c r="H93" i="40"/>
  <c r="I93" i="40" s="1"/>
  <c r="P93" i="40"/>
  <c r="S93" i="40"/>
  <c r="G55" i="40"/>
  <c r="O55" i="40"/>
  <c r="P55" i="40"/>
  <c r="T55" i="40"/>
  <c r="H55" i="40"/>
  <c r="K55" i="40"/>
  <c r="M55" i="40" s="1"/>
  <c r="S55" i="40"/>
  <c r="S90" i="40"/>
  <c r="T90" i="40"/>
  <c r="H90" i="40"/>
  <c r="I90" i="40" s="1"/>
  <c r="K90" i="40"/>
  <c r="L90" i="40"/>
  <c r="O90" i="40"/>
  <c r="P90" i="40"/>
  <c r="G89" i="40"/>
  <c r="S89" i="40"/>
  <c r="T89" i="40"/>
  <c r="K89" i="40"/>
  <c r="H89" i="40"/>
  <c r="L89" i="40"/>
  <c r="O89" i="40"/>
  <c r="S88" i="40"/>
  <c r="L88" i="40"/>
  <c r="L83" i="40"/>
  <c r="O83" i="40"/>
  <c r="P83" i="40"/>
  <c r="K83" i="40"/>
  <c r="G83" i="40"/>
  <c r="H83" i="40"/>
  <c r="S83" i="40"/>
  <c r="L93" i="40"/>
  <c r="P88" i="40"/>
  <c r="S86" i="40"/>
  <c r="T93" i="40"/>
  <c r="K97" i="40"/>
  <c r="L97" i="40"/>
  <c r="G97" i="40"/>
  <c r="P97" i="40"/>
  <c r="Q97" i="40" s="1"/>
  <c r="S97" i="40"/>
  <c r="T97" i="40"/>
  <c r="H97" i="40"/>
  <c r="M36" i="39"/>
  <c r="N36" i="39" s="1"/>
  <c r="M31" i="39"/>
  <c r="N31" i="39" s="1"/>
  <c r="L27" i="39"/>
  <c r="N27" i="39" s="1"/>
  <c r="L23" i="39"/>
  <c r="N23" i="39" s="1"/>
  <c r="L81" i="39"/>
  <c r="N81" i="39" s="1"/>
  <c r="L163" i="39"/>
  <c r="N163" i="39" s="1"/>
  <c r="L187" i="39"/>
  <c r="N187" i="39" s="1"/>
  <c r="L211" i="39"/>
  <c r="N211" i="39" s="1"/>
  <c r="T79" i="40"/>
  <c r="H79" i="40"/>
  <c r="S79" i="40"/>
  <c r="K79" i="40"/>
  <c r="L79" i="40"/>
  <c r="O79" i="40"/>
  <c r="P79" i="40"/>
  <c r="H54" i="40"/>
  <c r="I54" i="40" s="1"/>
  <c r="O54" i="40"/>
  <c r="L54" i="40"/>
  <c r="P54" i="40"/>
  <c r="T54" i="40"/>
  <c r="S54" i="40"/>
  <c r="K54" i="40"/>
  <c r="G91" i="40"/>
  <c r="P91" i="40"/>
  <c r="Q91" i="40" s="1"/>
  <c r="S91" i="40"/>
  <c r="T91" i="40"/>
  <c r="H91" i="40"/>
  <c r="K91" i="40"/>
  <c r="L91" i="40"/>
  <c r="L84" i="40"/>
  <c r="M84" i="40" s="1"/>
  <c r="S87" i="40"/>
  <c r="U87" i="40" s="1"/>
  <c r="P74" i="40"/>
  <c r="P75" i="40"/>
  <c r="G74" i="40"/>
  <c r="G75" i="40"/>
  <c r="K87" i="40"/>
  <c r="T74" i="40"/>
  <c r="S75" i="40"/>
  <c r="H87" i="40"/>
  <c r="S74" i="40"/>
  <c r="T75" i="40"/>
  <c r="L87" i="40"/>
  <c r="K74" i="40"/>
  <c r="H75" i="40"/>
  <c r="O87" i="40"/>
  <c r="H74" i="40"/>
  <c r="K75" i="40"/>
  <c r="P87" i="40"/>
  <c r="L74" i="40"/>
  <c r="L75" i="40"/>
  <c r="G87" i="40"/>
  <c r="P71" i="40"/>
  <c r="Q71" i="40" s="1"/>
  <c r="S71" i="40"/>
  <c r="K71" i="40"/>
  <c r="G71" i="40"/>
  <c r="H71" i="40"/>
  <c r="T71" i="40"/>
  <c r="L71" i="40"/>
  <c r="G70" i="40"/>
  <c r="L70" i="40"/>
  <c r="M70" i="40" s="1"/>
  <c r="O70" i="40"/>
  <c r="P70" i="40"/>
  <c r="S70" i="40"/>
  <c r="T70" i="40"/>
  <c r="H70" i="40"/>
  <c r="G84" i="40"/>
  <c r="M47" i="39"/>
  <c r="N47" i="39" s="1"/>
  <c r="L160" i="39"/>
  <c r="M205" i="39"/>
  <c r="N205" i="39" s="1"/>
  <c r="L64" i="39"/>
  <c r="N64" i="39" s="1"/>
  <c r="L19" i="39"/>
  <c r="N19" i="39" s="1"/>
  <c r="L189" i="39"/>
  <c r="T28" i="40"/>
  <c r="K28" i="40"/>
  <c r="P28" i="40"/>
  <c r="S28" i="40"/>
  <c r="O28" i="40"/>
  <c r="G28" i="40"/>
  <c r="L28" i="40"/>
  <c r="P64" i="40"/>
  <c r="Q64" i="40" s="1"/>
  <c r="S101" i="40"/>
  <c r="T88" i="40"/>
  <c r="H88" i="40"/>
  <c r="I88" i="40" s="1"/>
  <c r="G64" i="40"/>
  <c r="H66" i="40"/>
  <c r="G67" i="40"/>
  <c r="G77" i="40"/>
  <c r="T101" i="40"/>
  <c r="S64" i="40"/>
  <c r="S66" i="40"/>
  <c r="S67" i="40"/>
  <c r="S77" i="40"/>
  <c r="H101" i="40"/>
  <c r="I101" i="40" s="1"/>
  <c r="T64" i="40"/>
  <c r="T66" i="40"/>
  <c r="T67" i="40"/>
  <c r="T77" i="40"/>
  <c r="K101" i="40"/>
  <c r="K64" i="40"/>
  <c r="G66" i="40"/>
  <c r="H67" i="40"/>
  <c r="H77" i="40"/>
  <c r="L101" i="40"/>
  <c r="H64" i="40"/>
  <c r="L66" i="40"/>
  <c r="K67" i="40"/>
  <c r="K77" i="40"/>
  <c r="O101" i="40"/>
  <c r="L40" i="39"/>
  <c r="N40" i="39" s="1"/>
  <c r="L64" i="40"/>
  <c r="K66" i="40"/>
  <c r="L67" i="40"/>
  <c r="P101" i="40"/>
  <c r="L77" i="40"/>
  <c r="P30" i="40"/>
  <c r="H30" i="40"/>
  <c r="K30" i="40"/>
  <c r="O30" i="40"/>
  <c r="G30" i="40"/>
  <c r="S30" i="40"/>
  <c r="U30" i="40" s="1"/>
  <c r="L30" i="40"/>
  <c r="L155" i="39"/>
  <c r="M134" i="39"/>
  <c r="N134" i="39" s="1"/>
  <c r="L130" i="39"/>
  <c r="N130" i="39" s="1"/>
  <c r="L133" i="39"/>
  <c r="N133" i="39" s="1"/>
  <c r="L132" i="39"/>
  <c r="N132" i="39" s="1"/>
  <c r="L35" i="39"/>
  <c r="N35" i="39" s="1"/>
  <c r="L124" i="39"/>
  <c r="N124" i="39" s="1"/>
  <c r="L165" i="39"/>
  <c r="N165" i="39" s="1"/>
  <c r="L188" i="39"/>
  <c r="N188" i="39" s="1"/>
  <c r="G105" i="40"/>
  <c r="M44" i="39"/>
  <c r="N44" i="39" s="1"/>
  <c r="H105" i="40"/>
  <c r="S105" i="40"/>
  <c r="T105" i="40"/>
  <c r="K105" i="40"/>
  <c r="L105" i="40"/>
  <c r="O105" i="40"/>
  <c r="Q105" i="40" s="1"/>
  <c r="M80" i="39"/>
  <c r="N80" i="39" s="1"/>
  <c r="K29" i="40"/>
  <c r="G29" i="40"/>
  <c r="S29" i="40"/>
  <c r="H29" i="40"/>
  <c r="T29" i="40"/>
  <c r="L29" i="40"/>
  <c r="O29" i="40"/>
  <c r="H80" i="40"/>
  <c r="I80" i="40" s="1"/>
  <c r="T80" i="40"/>
  <c r="K80" i="40"/>
  <c r="L80" i="40"/>
  <c r="S80" i="40"/>
  <c r="O80" i="40"/>
  <c r="P80" i="40"/>
  <c r="S72" i="40"/>
  <c r="U72" i="40" s="1"/>
  <c r="H72" i="40"/>
  <c r="L72" i="40"/>
  <c r="O72" i="40"/>
  <c r="P72" i="40"/>
  <c r="K72" i="40"/>
  <c r="G72" i="40"/>
  <c r="T31" i="40"/>
  <c r="K31" i="40"/>
  <c r="S31" i="40"/>
  <c r="L31" i="40"/>
  <c r="O31" i="40"/>
  <c r="P31" i="40"/>
  <c r="H31" i="40"/>
  <c r="I31" i="40" s="1"/>
  <c r="K88" i="40"/>
  <c r="K93" i="40"/>
  <c r="M34" i="40"/>
  <c r="O86" i="40"/>
  <c r="V86" i="40" s="1"/>
  <c r="O88" i="40"/>
  <c r="O93" i="40"/>
  <c r="M52" i="39"/>
  <c r="N52" i="39" s="1"/>
  <c r="L56" i="39"/>
  <c r="N56" i="39" s="1"/>
  <c r="L57" i="39"/>
  <c r="N57" i="39" s="1"/>
  <c r="L58" i="39"/>
  <c r="N58" i="39" s="1"/>
  <c r="V34" i="40"/>
  <c r="L77" i="39"/>
  <c r="N77" i="39" s="1"/>
  <c r="L76" i="39"/>
  <c r="N76" i="39" s="1"/>
  <c r="L201" i="39"/>
  <c r="N201" i="39" s="1"/>
  <c r="M200" i="39"/>
  <c r="N200" i="39" s="1"/>
  <c r="M204" i="39"/>
  <c r="N204" i="39" s="1"/>
  <c r="L194" i="39"/>
  <c r="N194" i="39" s="1"/>
  <c r="L78" i="39"/>
  <c r="N78" i="39" s="1"/>
  <c r="L83" i="39"/>
  <c r="N83" i="39" s="1"/>
  <c r="M82" i="39"/>
  <c r="N82" i="39" s="1"/>
  <c r="M85" i="39"/>
  <c r="N85" i="39" s="1"/>
  <c r="L84" i="39"/>
  <c r="N84" i="39" s="1"/>
  <c r="I34" i="40"/>
  <c r="W34" i="40" s="1"/>
  <c r="L119" i="39"/>
  <c r="N119" i="39" s="1"/>
  <c r="L110" i="39"/>
  <c r="N110" i="39" s="1"/>
  <c r="L94" i="39"/>
  <c r="N94" i="39" s="1"/>
  <c r="V23" i="40"/>
  <c r="L192" i="39"/>
  <c r="N192" i="39" s="1"/>
  <c r="M127" i="39"/>
  <c r="N127" i="39" s="1"/>
  <c r="L123" i="39"/>
  <c r="N123" i="39" s="1"/>
  <c r="L115" i="39"/>
  <c r="N115" i="39" s="1"/>
  <c r="L220" i="39"/>
  <c r="N220" i="39" s="1"/>
  <c r="L224" i="39"/>
  <c r="N224" i="39" s="1"/>
  <c r="L228" i="39"/>
  <c r="N228" i="39" s="1"/>
  <c r="L216" i="39"/>
  <c r="N216" i="39" s="1"/>
  <c r="L212" i="39"/>
  <c r="N212" i="39" s="1"/>
  <c r="L203" i="39"/>
  <c r="N203" i="39" s="1"/>
  <c r="L196" i="39"/>
  <c r="N196" i="39" s="1"/>
  <c r="L184" i="39"/>
  <c r="N184" i="39" s="1"/>
  <c r="L175" i="39"/>
  <c r="N175" i="39" s="1"/>
  <c r="L179" i="39"/>
  <c r="N179" i="39" s="1"/>
  <c r="L156" i="39"/>
  <c r="N156" i="39" s="1"/>
  <c r="L171" i="39"/>
  <c r="N171" i="39" s="1"/>
  <c r="L167" i="39"/>
  <c r="N167" i="39" s="1"/>
  <c r="L140" i="39"/>
  <c r="N140" i="39" s="1"/>
  <c r="L144" i="39"/>
  <c r="N144" i="39" s="1"/>
  <c r="L148" i="39"/>
  <c r="N148" i="39" s="1"/>
  <c r="L152" i="39"/>
  <c r="N152" i="39" s="1"/>
  <c r="L131" i="39"/>
  <c r="N131" i="39" s="1"/>
  <c r="M106" i="39"/>
  <c r="N106" i="39" s="1"/>
  <c r="L102" i="39"/>
  <c r="N102" i="39" s="1"/>
  <c r="L98" i="39"/>
  <c r="N98" i="39" s="1"/>
  <c r="N189" i="39"/>
  <c r="N190" i="39"/>
  <c r="N198" i="39"/>
  <c r="N191" i="39"/>
  <c r="N195" i="39"/>
  <c r="N199" i="39"/>
  <c r="N193" i="39"/>
  <c r="N177" i="39"/>
  <c r="N182" i="39"/>
  <c r="N181" i="39"/>
  <c r="N170" i="39"/>
  <c r="N174" i="39"/>
  <c r="N172" i="39"/>
  <c r="N176" i="39"/>
  <c r="N180" i="39"/>
  <c r="N173" i="39"/>
  <c r="N169" i="39"/>
  <c r="N166" i="39"/>
  <c r="N168" i="39"/>
  <c r="N222" i="39"/>
  <c r="N225" i="39"/>
  <c r="N227" i="39"/>
  <c r="L28" i="39"/>
  <c r="N28" i="39" s="1"/>
  <c r="N217" i="39"/>
  <c r="N215" i="39"/>
  <c r="N214" i="39"/>
  <c r="N206" i="39"/>
  <c r="N202" i="39"/>
  <c r="N164" i="39"/>
  <c r="N160" i="39"/>
  <c r="M117" i="39"/>
  <c r="N117" i="39" s="1"/>
  <c r="N158" i="39"/>
  <c r="N157" i="39"/>
  <c r="N155" i="39"/>
  <c r="N154" i="39"/>
  <c r="N153" i="39"/>
  <c r="N151" i="39"/>
  <c r="N150" i="39"/>
  <c r="N147" i="39"/>
  <c r="N146" i="39"/>
  <c r="N145" i="39"/>
  <c r="N143" i="39"/>
  <c r="N142" i="39"/>
  <c r="N141" i="39"/>
  <c r="N139" i="39"/>
  <c r="L46" i="39"/>
  <c r="N46" i="39" s="1"/>
  <c r="L18" i="39"/>
  <c r="N18" i="39" s="1"/>
  <c r="L22" i="39"/>
  <c r="N22" i="39" s="1"/>
  <c r="L108" i="39"/>
  <c r="N108" i="39" s="1"/>
  <c r="L104" i="39"/>
  <c r="N104" i="39" s="1"/>
  <c r="L100" i="39"/>
  <c r="N100" i="39" s="1"/>
  <c r="L96" i="39"/>
  <c r="N96" i="39" s="1"/>
  <c r="L91" i="39"/>
  <c r="N91" i="39" s="1"/>
  <c r="L125" i="39"/>
  <c r="N125" i="39" s="1"/>
  <c r="L121" i="39"/>
  <c r="N121" i="39" s="1"/>
  <c r="M129" i="39"/>
  <c r="N129" i="39" s="1"/>
  <c r="N126" i="39"/>
  <c r="N128" i="39"/>
  <c r="M26" i="39"/>
  <c r="N26" i="39" s="1"/>
  <c r="L34" i="39"/>
  <c r="N34" i="39" s="1"/>
  <c r="L51" i="39"/>
  <c r="N51" i="39" s="1"/>
  <c r="N122" i="39"/>
  <c r="L65" i="39"/>
  <c r="N65" i="39" s="1"/>
  <c r="M30" i="39"/>
  <c r="N30" i="39" s="1"/>
  <c r="N120" i="39"/>
  <c r="N116" i="39"/>
  <c r="N112" i="39"/>
  <c r="N109" i="39"/>
  <c r="N107" i="39"/>
  <c r="N103" i="39"/>
  <c r="N105" i="39"/>
  <c r="L43" i="39"/>
  <c r="N43" i="39" s="1"/>
  <c r="N97" i="39"/>
  <c r="N101" i="39"/>
  <c r="N99" i="39"/>
  <c r="L69" i="39"/>
  <c r="N69" i="39" s="1"/>
  <c r="N95" i="39"/>
  <c r="L39" i="39"/>
  <c r="N39" i="39" s="1"/>
  <c r="L55" i="39"/>
  <c r="N55" i="39" s="1"/>
  <c r="L61" i="39"/>
  <c r="N61" i="39" s="1"/>
  <c r="L73" i="39"/>
  <c r="N73" i="39" s="1"/>
  <c r="L79" i="39"/>
  <c r="N79" i="39" s="1"/>
  <c r="L92" i="39"/>
  <c r="N92" i="39" s="1"/>
  <c r="N93" i="39"/>
  <c r="N90" i="39"/>
  <c r="N88" i="39"/>
  <c r="N70" i="39"/>
  <c r="N71" i="39"/>
  <c r="N72" i="39"/>
  <c r="N67" i="39"/>
  <c r="N68" i="39"/>
  <c r="N66" i="39"/>
  <c r="N54" i="39"/>
  <c r="N53" i="39"/>
  <c r="N50" i="39"/>
  <c r="N49" i="39"/>
  <c r="N45" i="39"/>
  <c r="N42" i="39"/>
  <c r="N41" i="39"/>
  <c r="N38" i="39"/>
  <c r="I23" i="40"/>
  <c r="U23" i="40"/>
  <c r="M23" i="40"/>
  <c r="Q23" i="40"/>
  <c r="U102" i="40"/>
  <c r="I100" i="40"/>
  <c r="I99" i="40"/>
  <c r="U98" i="40"/>
  <c r="I98" i="40"/>
  <c r="Q89" i="40"/>
  <c r="U85" i="40"/>
  <c r="U84" i="40"/>
  <c r="I79" i="40"/>
  <c r="V57" i="40"/>
  <c r="V59" i="40"/>
  <c r="U78" i="40"/>
  <c r="V60" i="40"/>
  <c r="Q77" i="40"/>
  <c r="Q75" i="40"/>
  <c r="Q74" i="40"/>
  <c r="I68" i="40"/>
  <c r="Q68" i="40"/>
  <c r="Q66" i="40"/>
  <c r="M65" i="40"/>
  <c r="I65" i="40"/>
  <c r="V50" i="40"/>
  <c r="V45" i="40"/>
  <c r="V44" i="40"/>
  <c r="V47" i="40"/>
  <c r="V46" i="40"/>
  <c r="V49" i="40"/>
  <c r="I60" i="40"/>
  <c r="V43" i="40"/>
  <c r="V41" i="40"/>
  <c r="Q60" i="40"/>
  <c r="U60" i="40"/>
  <c r="M60" i="40"/>
  <c r="Q59" i="40"/>
  <c r="I59" i="40"/>
  <c r="M59" i="40"/>
  <c r="U59" i="40"/>
  <c r="I57" i="40"/>
  <c r="M58" i="40"/>
  <c r="V38" i="40"/>
  <c r="Q57" i="40"/>
  <c r="M57" i="40"/>
  <c r="U57" i="40"/>
  <c r="I55" i="40"/>
  <c r="V16" i="40"/>
  <c r="V36" i="40"/>
  <c r="V37" i="40"/>
  <c r="V35" i="40"/>
  <c r="V39" i="40"/>
  <c r="U27" i="40"/>
  <c r="V19" i="40"/>
  <c r="M19" i="40"/>
  <c r="U19" i="40"/>
  <c r="I19" i="40"/>
  <c r="Q19" i="40"/>
  <c r="U16" i="40"/>
  <c r="Q16" i="40"/>
  <c r="I16" i="40"/>
  <c r="M16" i="40"/>
  <c r="X18" i="40"/>
  <c r="H18" i="40" s="1"/>
  <c r="X17" i="40"/>
  <c r="L17" i="40" s="1"/>
  <c r="U50" i="40"/>
  <c r="Q49" i="40"/>
  <c r="M47" i="40"/>
  <c r="U48" i="40"/>
  <c r="I50" i="40"/>
  <c r="Q50" i="40"/>
  <c r="M50" i="40"/>
  <c r="I47" i="40"/>
  <c r="U49" i="40"/>
  <c r="M49" i="40"/>
  <c r="I49" i="40"/>
  <c r="U46" i="40"/>
  <c r="Q47" i="40"/>
  <c r="U47" i="40"/>
  <c r="I46" i="40"/>
  <c r="Q46" i="40"/>
  <c r="M46" i="40"/>
  <c r="U44" i="40"/>
  <c r="U45" i="40"/>
  <c r="I35" i="40"/>
  <c r="M45" i="40"/>
  <c r="I45" i="40"/>
  <c r="Q45" i="40"/>
  <c r="U43" i="40"/>
  <c r="M44" i="40"/>
  <c r="I43" i="40"/>
  <c r="I44" i="40"/>
  <c r="Q44" i="40"/>
  <c r="M43" i="40"/>
  <c r="Q43" i="40"/>
  <c r="I39" i="40"/>
  <c r="M42" i="40"/>
  <c r="M38" i="40"/>
  <c r="M41" i="40"/>
  <c r="I41" i="40"/>
  <c r="Q41" i="40"/>
  <c r="U41" i="40"/>
  <c r="U39" i="40"/>
  <c r="Q39" i="40"/>
  <c r="M39" i="40"/>
  <c r="I38" i="40"/>
  <c r="U38" i="40"/>
  <c r="Q38" i="40"/>
  <c r="X22" i="40"/>
  <c r="H22" i="40" s="1"/>
  <c r="X20" i="40"/>
  <c r="H20" i="40" s="1"/>
  <c r="U37" i="40"/>
  <c r="M37" i="40"/>
  <c r="I37" i="40"/>
  <c r="Q37" i="40"/>
  <c r="M36" i="40"/>
  <c r="U36" i="40"/>
  <c r="I36" i="40"/>
  <c r="Q36" i="40"/>
  <c r="U35" i="40"/>
  <c r="M35" i="40"/>
  <c r="Q35" i="40"/>
  <c r="Q29" i="40"/>
  <c r="X24" i="40"/>
  <c r="L24" i="40" s="1"/>
  <c r="X26" i="40"/>
  <c r="U28" i="40"/>
  <c r="X25" i="40"/>
  <c r="T25" i="40" s="1"/>
  <c r="O21" i="40"/>
  <c r="L21" i="40"/>
  <c r="T21" i="40"/>
  <c r="S21" i="40"/>
  <c r="G21" i="40"/>
  <c r="K21" i="40"/>
  <c r="H21" i="40"/>
  <c r="P21" i="40"/>
  <c r="E31" i="41"/>
  <c r="E32" i="41"/>
  <c r="E33" i="41"/>
  <c r="E34" i="41"/>
  <c r="E35" i="41"/>
  <c r="E36" i="41"/>
  <c r="E37" i="41"/>
  <c r="E38" i="41"/>
  <c r="E39" i="41"/>
  <c r="E40" i="41"/>
  <c r="E41" i="41"/>
  <c r="E42" i="41"/>
  <c r="E43" i="41"/>
  <c r="E44" i="41"/>
  <c r="E45" i="41"/>
  <c r="E46" i="41"/>
  <c r="E47" i="41"/>
  <c r="E48" i="41"/>
  <c r="E49" i="41"/>
  <c r="E50" i="41"/>
  <c r="E51" i="41"/>
  <c r="E52" i="41"/>
  <c r="E53" i="41"/>
  <c r="E54" i="41"/>
  <c r="E55" i="41"/>
  <c r="E56" i="41"/>
  <c r="E57" i="41"/>
  <c r="E58" i="41"/>
  <c r="E59" i="41"/>
  <c r="E60" i="41"/>
  <c r="E61" i="41"/>
  <c r="E62" i="41"/>
  <c r="E63" i="41"/>
  <c r="E64" i="41"/>
  <c r="E65" i="41"/>
  <c r="E66" i="41"/>
  <c r="E67" i="41"/>
  <c r="E68" i="41"/>
  <c r="E69" i="41"/>
  <c r="E70" i="41"/>
  <c r="E71" i="41"/>
  <c r="E72" i="41"/>
  <c r="E73" i="41"/>
  <c r="E74" i="41"/>
  <c r="E75" i="41"/>
  <c r="E76" i="41"/>
  <c r="E77" i="41"/>
  <c r="E78" i="41"/>
  <c r="E79" i="41"/>
  <c r="E80" i="41"/>
  <c r="E81" i="41"/>
  <c r="E82" i="41"/>
  <c r="E83" i="41"/>
  <c r="E84" i="41"/>
  <c r="E30" i="41"/>
  <c r="I87" i="40" l="1"/>
  <c r="U103" i="40"/>
  <c r="Q27" i="40"/>
  <c r="I74" i="40"/>
  <c r="I27" i="40"/>
  <c r="M48" i="40"/>
  <c r="W48" i="40" s="1"/>
  <c r="U64" i="40"/>
  <c r="V28" i="40"/>
  <c r="U75" i="40"/>
  <c r="M78" i="40"/>
  <c r="V104" i="40"/>
  <c r="U42" i="40"/>
  <c r="V48" i="40"/>
  <c r="Q63" i="40"/>
  <c r="U86" i="40"/>
  <c r="V53" i="40"/>
  <c r="I104" i="40"/>
  <c r="M53" i="40"/>
  <c r="U88" i="40"/>
  <c r="V27" i="40"/>
  <c r="M88" i="40"/>
  <c r="I28" i="40"/>
  <c r="M75" i="40"/>
  <c r="V91" i="40"/>
  <c r="V89" i="40"/>
  <c r="V69" i="40"/>
  <c r="M63" i="40"/>
  <c r="Q53" i="40"/>
  <c r="I66" i="40"/>
  <c r="U89" i="40"/>
  <c r="M83" i="40"/>
  <c r="I85" i="40"/>
  <c r="W85" i="40" s="1"/>
  <c r="V64" i="40"/>
  <c r="Q28" i="40"/>
  <c r="V74" i="40"/>
  <c r="V75" i="40"/>
  <c r="V79" i="40"/>
  <c r="I83" i="40"/>
  <c r="I69" i="40"/>
  <c r="Q100" i="40"/>
  <c r="W100" i="40" s="1"/>
  <c r="Q84" i="40"/>
  <c r="V63" i="40"/>
  <c r="V85" i="40"/>
  <c r="V65" i="40"/>
  <c r="I53" i="40"/>
  <c r="Q42" i="40"/>
  <c r="I64" i="40"/>
  <c r="I75" i="40"/>
  <c r="V42" i="40"/>
  <c r="M85" i="40"/>
  <c r="I63" i="40"/>
  <c r="M77" i="40"/>
  <c r="Q98" i="40"/>
  <c r="M99" i="40"/>
  <c r="U104" i="40"/>
  <c r="M98" i="40"/>
  <c r="U100" i="40"/>
  <c r="I91" i="40"/>
  <c r="Q58" i="40"/>
  <c r="U91" i="40"/>
  <c r="Q87" i="40"/>
  <c r="V76" i="40"/>
  <c r="Q70" i="40"/>
  <c r="I102" i="40"/>
  <c r="U101" i="40"/>
  <c r="I97" i="40"/>
  <c r="E137" i="39"/>
  <c r="O137" i="39" s="1"/>
  <c r="E95" i="40"/>
  <c r="X95" i="40" s="1"/>
  <c r="E186" i="39"/>
  <c r="O186" i="39" s="1"/>
  <c r="E162" i="39"/>
  <c r="O162" i="39" s="1"/>
  <c r="E209" i="39"/>
  <c r="O209" i="39" s="1"/>
  <c r="E114" i="39"/>
  <c r="O114" i="39" s="1"/>
  <c r="E15" i="39"/>
  <c r="O15" i="39" s="1"/>
  <c r="E63" i="39"/>
  <c r="O63" i="39" s="1"/>
  <c r="E73" i="40"/>
  <c r="X73" i="40" s="1"/>
  <c r="M76" i="40"/>
  <c r="M96" i="40"/>
  <c r="U99" i="40"/>
  <c r="M54" i="40"/>
  <c r="U77" i="40"/>
  <c r="Q83" i="40"/>
  <c r="U69" i="40"/>
  <c r="M102" i="40"/>
  <c r="U106" i="40"/>
  <c r="Q62" i="40"/>
  <c r="M68" i="40"/>
  <c r="M62" i="40"/>
  <c r="U65" i="40"/>
  <c r="I62" i="40"/>
  <c r="E40" i="40"/>
  <c r="X40" i="40" s="1"/>
  <c r="E185" i="39"/>
  <c r="O185" i="39" s="1"/>
  <c r="M86" i="40"/>
  <c r="Q103" i="40"/>
  <c r="M67" i="40"/>
  <c r="I70" i="40"/>
  <c r="M74" i="40"/>
  <c r="U76" i="40"/>
  <c r="U67" i="40"/>
  <c r="U74" i="40"/>
  <c r="M89" i="40"/>
  <c r="M90" i="40"/>
  <c r="I84" i="40"/>
  <c r="V77" i="40"/>
  <c r="V84" i="40"/>
  <c r="V67" i="40"/>
  <c r="Q65" i="40"/>
  <c r="V58" i="40"/>
  <c r="U107" i="40"/>
  <c r="V96" i="40"/>
  <c r="V103" i="40"/>
  <c r="Q104" i="40"/>
  <c r="V106" i="40"/>
  <c r="V97" i="40"/>
  <c r="V99" i="40"/>
  <c r="M104" i="40"/>
  <c r="I103" i="40"/>
  <c r="Q102" i="40"/>
  <c r="V70" i="40"/>
  <c r="M66" i="40"/>
  <c r="U66" i="40"/>
  <c r="I71" i="40"/>
  <c r="I67" i="40"/>
  <c r="M64" i="40"/>
  <c r="W64" i="40" s="1"/>
  <c r="V62" i="40"/>
  <c r="V68" i="40"/>
  <c r="Q106" i="40"/>
  <c r="V102" i="40"/>
  <c r="V101" i="40"/>
  <c r="V100" i="40"/>
  <c r="Q99" i="40"/>
  <c r="V98" i="40"/>
  <c r="M97" i="40"/>
  <c r="Q96" i="40"/>
  <c r="I58" i="40"/>
  <c r="U68" i="40"/>
  <c r="V66" i="40"/>
  <c r="U96" i="40"/>
  <c r="Q86" i="40"/>
  <c r="Q107" i="40"/>
  <c r="I106" i="40"/>
  <c r="Q101" i="40"/>
  <c r="V78" i="40"/>
  <c r="Q78" i="40"/>
  <c r="Q76" i="40"/>
  <c r="I78" i="40"/>
  <c r="I77" i="40"/>
  <c r="V107" i="40"/>
  <c r="U55" i="40"/>
  <c r="Q79" i="40"/>
  <c r="U71" i="40"/>
  <c r="Q69" i="40"/>
  <c r="M101" i="40"/>
  <c r="M79" i="40"/>
  <c r="U90" i="40"/>
  <c r="M87" i="40"/>
  <c r="I89" i="40"/>
  <c r="V83" i="40"/>
  <c r="U93" i="40"/>
  <c r="Q93" i="40"/>
  <c r="U83" i="40"/>
  <c r="M91" i="40"/>
  <c r="W91" i="40" s="1"/>
  <c r="Q90" i="40"/>
  <c r="M107" i="40"/>
  <c r="Q55" i="40"/>
  <c r="V55" i="40"/>
  <c r="M93" i="40"/>
  <c r="V90" i="40"/>
  <c r="V87" i="40"/>
  <c r="U79" i="40"/>
  <c r="V72" i="40"/>
  <c r="U105" i="40"/>
  <c r="U70" i="40"/>
  <c r="I105" i="40"/>
  <c r="U97" i="40"/>
  <c r="V54" i="40"/>
  <c r="Q54" i="40"/>
  <c r="U54" i="40"/>
  <c r="I72" i="40"/>
  <c r="M28" i="40"/>
  <c r="V71" i="40"/>
  <c r="M31" i="40"/>
  <c r="M71" i="40"/>
  <c r="V105" i="40"/>
  <c r="V88" i="40"/>
  <c r="M30" i="40"/>
  <c r="V31" i="40"/>
  <c r="U31" i="40"/>
  <c r="Q30" i="40"/>
  <c r="V30" i="40"/>
  <c r="I30" i="40"/>
  <c r="Q88" i="40"/>
  <c r="Q80" i="40"/>
  <c r="M29" i="40"/>
  <c r="M105" i="40"/>
  <c r="V29" i="40"/>
  <c r="Q31" i="40"/>
  <c r="Q72" i="40"/>
  <c r="M72" i="40"/>
  <c r="V80" i="40"/>
  <c r="U80" i="40"/>
  <c r="I29" i="40"/>
  <c r="U29" i="40"/>
  <c r="M80" i="40"/>
  <c r="V93" i="40"/>
  <c r="E208" i="39"/>
  <c r="O208" i="39" s="1"/>
  <c r="E161" i="39"/>
  <c r="O161" i="39" s="1"/>
  <c r="E136" i="39"/>
  <c r="O136" i="39" s="1"/>
  <c r="E89" i="39"/>
  <c r="O89" i="39" s="1"/>
  <c r="E62" i="39"/>
  <c r="O62" i="39" s="1"/>
  <c r="E61" i="40"/>
  <c r="X61" i="40" s="1"/>
  <c r="E15" i="40"/>
  <c r="X15" i="40" s="1"/>
  <c r="E113" i="39"/>
  <c r="O113" i="39" s="1"/>
  <c r="E56" i="40"/>
  <c r="X56" i="40" s="1"/>
  <c r="E33" i="40"/>
  <c r="X33" i="40" s="1"/>
  <c r="E94" i="40"/>
  <c r="X94" i="40" s="1"/>
  <c r="W23" i="40"/>
  <c r="W60" i="40"/>
  <c r="W59" i="40"/>
  <c r="W57" i="40"/>
  <c r="W55" i="40"/>
  <c r="W45" i="40"/>
  <c r="W46" i="40"/>
  <c r="W47" i="40"/>
  <c r="W49" i="40"/>
  <c r="W50" i="40"/>
  <c r="W43" i="40"/>
  <c r="W44" i="40"/>
  <c r="W41" i="40"/>
  <c r="W36" i="40"/>
  <c r="W27" i="40"/>
  <c r="W37" i="40"/>
  <c r="W39" i="40"/>
  <c r="W38" i="40"/>
  <c r="W35" i="40"/>
  <c r="W16" i="40"/>
  <c r="W19" i="40"/>
  <c r="V21" i="40"/>
  <c r="S18" i="40"/>
  <c r="T18" i="40"/>
  <c r="K18" i="40"/>
  <c r="L18" i="40"/>
  <c r="P18" i="40"/>
  <c r="O18" i="40"/>
  <c r="G18" i="40"/>
  <c r="I18" i="40" s="1"/>
  <c r="P17" i="40"/>
  <c r="K17" i="40"/>
  <c r="S17" i="40"/>
  <c r="O17" i="40"/>
  <c r="G17" i="40"/>
  <c r="T17" i="40"/>
  <c r="H17" i="40"/>
  <c r="S22" i="40"/>
  <c r="T22" i="40"/>
  <c r="P20" i="40"/>
  <c r="K22" i="40"/>
  <c r="S20" i="40"/>
  <c r="L22" i="40"/>
  <c r="P22" i="40"/>
  <c r="T20" i="40"/>
  <c r="K20" i="40"/>
  <c r="O22" i="40"/>
  <c r="O20" i="40"/>
  <c r="L20" i="40"/>
  <c r="G22" i="40"/>
  <c r="I22" i="40" s="1"/>
  <c r="G20" i="40"/>
  <c r="I20" i="40" s="1"/>
  <c r="P26" i="40"/>
  <c r="P24" i="40"/>
  <c r="O24" i="40"/>
  <c r="H26" i="40"/>
  <c r="S24" i="40"/>
  <c r="G26" i="40"/>
  <c r="T26" i="40"/>
  <c r="T24" i="40"/>
  <c r="K26" i="40"/>
  <c r="G24" i="40"/>
  <c r="S26" i="40"/>
  <c r="O26" i="40"/>
  <c r="H24" i="40"/>
  <c r="K24" i="40"/>
  <c r="M24" i="40" s="1"/>
  <c r="L26" i="40"/>
  <c r="L25" i="40"/>
  <c r="P25" i="40"/>
  <c r="K25" i="40"/>
  <c r="S25" i="40"/>
  <c r="U25" i="40" s="1"/>
  <c r="G25" i="40"/>
  <c r="O25" i="40"/>
  <c r="H25" i="40"/>
  <c r="I21" i="40"/>
  <c r="M21" i="40"/>
  <c r="U21" i="40"/>
  <c r="Q21" i="40"/>
  <c r="E12" i="41"/>
  <c r="E11" i="41"/>
  <c r="R14" i="67"/>
  <c r="R13" i="67"/>
  <c r="R14" i="72"/>
  <c r="R13" i="72"/>
  <c r="D14" i="72"/>
  <c r="Q14" i="72" s="1"/>
  <c r="D13" i="72"/>
  <c r="Q13" i="72" s="1"/>
  <c r="D14" i="67"/>
  <c r="P14" i="67" s="1"/>
  <c r="C14" i="67"/>
  <c r="C14" i="72"/>
  <c r="C13" i="72"/>
  <c r="D13" i="67"/>
  <c r="Q13" i="67" s="1"/>
  <c r="C13" i="67"/>
  <c r="E14" i="40"/>
  <c r="D14" i="40"/>
  <c r="D14" i="71"/>
  <c r="D13" i="71"/>
  <c r="C14" i="71"/>
  <c r="C13" i="71"/>
  <c r="E14" i="39"/>
  <c r="E13" i="39"/>
  <c r="D14" i="39"/>
  <c r="D13" i="39"/>
  <c r="E14" i="70"/>
  <c r="D14" i="70"/>
  <c r="D13" i="40"/>
  <c r="E13" i="40"/>
  <c r="E13" i="70"/>
  <c r="D13" i="70"/>
  <c r="D14" i="26"/>
  <c r="D13" i="26"/>
  <c r="E13" i="26"/>
  <c r="J13" i="26" s="1"/>
  <c r="W75" i="40" l="1"/>
  <c r="W74" i="40"/>
  <c r="W63" i="40"/>
  <c r="W65" i="40"/>
  <c r="W58" i="40"/>
  <c r="W53" i="40"/>
  <c r="W84" i="40"/>
  <c r="W42" i="40"/>
  <c r="W98" i="40"/>
  <c r="W87" i="40"/>
  <c r="W90" i="40"/>
  <c r="W88" i="40"/>
  <c r="W89" i="40"/>
  <c r="W28" i="40"/>
  <c r="W77" i="40"/>
  <c r="W86" i="40"/>
  <c r="W66" i="40"/>
  <c r="W79" i="40"/>
  <c r="W83" i="40"/>
  <c r="W76" i="40"/>
  <c r="W69" i="40"/>
  <c r="W78" i="40"/>
  <c r="W68" i="40"/>
  <c r="W62" i="40"/>
  <c r="W70" i="40"/>
  <c r="W99" i="40"/>
  <c r="L63" i="39"/>
  <c r="M63" i="39"/>
  <c r="M15" i="39"/>
  <c r="L15" i="39"/>
  <c r="M114" i="39"/>
  <c r="L114" i="39"/>
  <c r="W102" i="40"/>
  <c r="L209" i="39"/>
  <c r="M209" i="39"/>
  <c r="W103" i="40"/>
  <c r="M162" i="39"/>
  <c r="L162" i="39"/>
  <c r="L186" i="39"/>
  <c r="M186" i="39"/>
  <c r="K95" i="40"/>
  <c r="G95" i="40"/>
  <c r="S95" i="40"/>
  <c r="T95" i="40"/>
  <c r="L95" i="40"/>
  <c r="H95" i="40"/>
  <c r="O95" i="40"/>
  <c r="P95" i="40"/>
  <c r="P73" i="40"/>
  <c r="L73" i="40"/>
  <c r="S73" i="40"/>
  <c r="T73" i="40"/>
  <c r="H73" i="40"/>
  <c r="K73" i="40"/>
  <c r="O73" i="40"/>
  <c r="G73" i="40"/>
  <c r="L137" i="39"/>
  <c r="M137" i="39"/>
  <c r="W67" i="40"/>
  <c r="M185" i="39"/>
  <c r="L185" i="39"/>
  <c r="S40" i="40"/>
  <c r="H40" i="40"/>
  <c r="G40" i="40"/>
  <c r="P40" i="40"/>
  <c r="O40" i="40"/>
  <c r="L40" i="40"/>
  <c r="K40" i="40"/>
  <c r="T40" i="40"/>
  <c r="W104" i="40"/>
  <c r="W107" i="40"/>
  <c r="W96" i="40"/>
  <c r="W97" i="40"/>
  <c r="W101" i="40"/>
  <c r="W71" i="40"/>
  <c r="W106" i="40"/>
  <c r="W105" i="40"/>
  <c r="W54" i="40"/>
  <c r="W93" i="40"/>
  <c r="W80" i="40"/>
  <c r="W72" i="40"/>
  <c r="W30" i="40"/>
  <c r="W31" i="40"/>
  <c r="W29" i="40"/>
  <c r="S61" i="40"/>
  <c r="T61" i="40"/>
  <c r="G61" i="40"/>
  <c r="P61" i="40"/>
  <c r="O61" i="40"/>
  <c r="L61" i="40"/>
  <c r="H61" i="40"/>
  <c r="K61" i="40"/>
  <c r="M62" i="39"/>
  <c r="L62" i="39"/>
  <c r="M89" i="39"/>
  <c r="L89" i="39"/>
  <c r="H94" i="40"/>
  <c r="G94" i="40"/>
  <c r="O94" i="40"/>
  <c r="P94" i="40"/>
  <c r="L94" i="40"/>
  <c r="S94" i="40"/>
  <c r="K94" i="40"/>
  <c r="T94" i="40"/>
  <c r="M136" i="39"/>
  <c r="L136" i="39"/>
  <c r="T33" i="40"/>
  <c r="S33" i="40"/>
  <c r="G33" i="40"/>
  <c r="O33" i="40"/>
  <c r="L33" i="40"/>
  <c r="K33" i="40"/>
  <c r="H33" i="40"/>
  <c r="P33" i="40"/>
  <c r="M161" i="39"/>
  <c r="L161" i="39"/>
  <c r="T56" i="40"/>
  <c r="G56" i="40"/>
  <c r="P56" i="40"/>
  <c r="O56" i="40"/>
  <c r="L56" i="40"/>
  <c r="S56" i="40"/>
  <c r="K56" i="40"/>
  <c r="H56" i="40"/>
  <c r="M208" i="39"/>
  <c r="L208" i="39"/>
  <c r="M113" i="39"/>
  <c r="L113" i="39"/>
  <c r="T15" i="40"/>
  <c r="S15" i="40"/>
  <c r="H15" i="40"/>
  <c r="O15" i="40"/>
  <c r="P15" i="40"/>
  <c r="L15" i="40"/>
  <c r="G15" i="40"/>
  <c r="K15" i="40"/>
  <c r="V24" i="40"/>
  <c r="U17" i="40"/>
  <c r="V26" i="40"/>
  <c r="V25" i="40"/>
  <c r="W21" i="40"/>
  <c r="V22" i="40"/>
  <c r="V20" i="40"/>
  <c r="V18" i="40"/>
  <c r="U18" i="40"/>
  <c r="I17" i="40"/>
  <c r="M18" i="40"/>
  <c r="Q18" i="40"/>
  <c r="Q17" i="40"/>
  <c r="V17" i="40"/>
  <c r="M17" i="40"/>
  <c r="M20" i="40"/>
  <c r="M22" i="40"/>
  <c r="Q20" i="40"/>
  <c r="U22" i="40"/>
  <c r="U20" i="40"/>
  <c r="Q22" i="40"/>
  <c r="I26" i="40"/>
  <c r="M25" i="40"/>
  <c r="I24" i="40"/>
  <c r="U24" i="40"/>
  <c r="Q24" i="40"/>
  <c r="Q26" i="40"/>
  <c r="U26" i="40"/>
  <c r="M26" i="40"/>
  <c r="I25" i="40"/>
  <c r="Q25" i="40"/>
  <c r="X14" i="40"/>
  <c r="J14" i="71"/>
  <c r="I13" i="70"/>
  <c r="I14" i="70"/>
  <c r="E14" i="26"/>
  <c r="J14" i="26" s="1"/>
  <c r="X13" i="40"/>
  <c r="O13" i="39"/>
  <c r="J13" i="71"/>
  <c r="I13" i="26"/>
  <c r="O14" i="39"/>
  <c r="Q14" i="67"/>
  <c r="P13" i="67"/>
  <c r="P13" i="72"/>
  <c r="P14" i="72"/>
  <c r="E14" i="67"/>
  <c r="O14" i="67" s="1"/>
  <c r="K31" i="41"/>
  <c r="K32" i="41"/>
  <c r="K33" i="41"/>
  <c r="K34" i="41"/>
  <c r="K35" i="41"/>
  <c r="K36" i="41"/>
  <c r="K37" i="41"/>
  <c r="K38" i="41"/>
  <c r="K39" i="41"/>
  <c r="K40" i="41"/>
  <c r="K41" i="41"/>
  <c r="K42" i="41"/>
  <c r="K43" i="41"/>
  <c r="K44" i="41"/>
  <c r="K45" i="41"/>
  <c r="K46" i="41"/>
  <c r="K47" i="41"/>
  <c r="K48" i="41"/>
  <c r="K49" i="41"/>
  <c r="K50" i="41"/>
  <c r="K51" i="41"/>
  <c r="K52" i="41"/>
  <c r="K53" i="41"/>
  <c r="K54" i="41"/>
  <c r="K55" i="41"/>
  <c r="K56" i="41"/>
  <c r="K57" i="41"/>
  <c r="K58" i="41"/>
  <c r="K59" i="41"/>
  <c r="K60" i="41"/>
  <c r="K61" i="41"/>
  <c r="K62" i="41"/>
  <c r="K63" i="41"/>
  <c r="K64" i="41"/>
  <c r="K65" i="41"/>
  <c r="K66" i="41"/>
  <c r="K67" i="41"/>
  <c r="K68" i="41"/>
  <c r="K69" i="41"/>
  <c r="K70" i="41"/>
  <c r="K71" i="41"/>
  <c r="K72" i="41"/>
  <c r="K73" i="41"/>
  <c r="K74" i="41"/>
  <c r="K75" i="41"/>
  <c r="K76" i="41"/>
  <c r="K77" i="41"/>
  <c r="K78" i="41"/>
  <c r="K79" i="41"/>
  <c r="K80" i="41"/>
  <c r="K81" i="41"/>
  <c r="K82" i="41"/>
  <c r="K83" i="41"/>
  <c r="K84" i="41"/>
  <c r="F33" i="41"/>
  <c r="F34" i="41"/>
  <c r="F37" i="41"/>
  <c r="F38" i="41"/>
  <c r="F40" i="41"/>
  <c r="F42" i="41"/>
  <c r="F43" i="41"/>
  <c r="F47" i="41"/>
  <c r="F48" i="41"/>
  <c r="F49" i="41"/>
  <c r="F50" i="41"/>
  <c r="F51" i="41"/>
  <c r="F52" i="41"/>
  <c r="F53" i="41"/>
  <c r="F54" i="41"/>
  <c r="F55" i="41"/>
  <c r="F56" i="41"/>
  <c r="F57" i="41"/>
  <c r="F58" i="41"/>
  <c r="F59" i="41"/>
  <c r="F60" i="41"/>
  <c r="F61" i="41"/>
  <c r="F62" i="41"/>
  <c r="F63" i="41"/>
  <c r="F64" i="41"/>
  <c r="F65" i="41"/>
  <c r="F66" i="41"/>
  <c r="F67" i="41"/>
  <c r="F68" i="41"/>
  <c r="F69" i="41"/>
  <c r="F70" i="41"/>
  <c r="F71" i="41"/>
  <c r="F72" i="41"/>
  <c r="F73" i="41"/>
  <c r="F74" i="41"/>
  <c r="F75" i="41"/>
  <c r="F76" i="41"/>
  <c r="F77" i="41"/>
  <c r="F78" i="41"/>
  <c r="F79" i="41"/>
  <c r="F80" i="41"/>
  <c r="F81" i="41"/>
  <c r="F82" i="41"/>
  <c r="F83" i="41"/>
  <c r="F84" i="41"/>
  <c r="Q73" i="40" l="1"/>
  <c r="U95" i="40"/>
  <c r="N63" i="39"/>
  <c r="N137" i="39"/>
  <c r="U73" i="40"/>
  <c r="M95" i="40"/>
  <c r="I95" i="40"/>
  <c r="V95" i="40"/>
  <c r="N209" i="39"/>
  <c r="I73" i="40"/>
  <c r="Q95" i="40"/>
  <c r="N186" i="39"/>
  <c r="N114" i="39"/>
  <c r="V73" i="40"/>
  <c r="M73" i="40"/>
  <c r="N162" i="39"/>
  <c r="N15" i="39"/>
  <c r="M40" i="40"/>
  <c r="Q40" i="40"/>
  <c r="I40" i="40"/>
  <c r="V40" i="40"/>
  <c r="U40" i="40"/>
  <c r="N185" i="39"/>
  <c r="V94" i="40"/>
  <c r="Q94" i="40"/>
  <c r="N136" i="39"/>
  <c r="N208" i="39"/>
  <c r="U15" i="40"/>
  <c r="M56" i="40"/>
  <c r="M15" i="40"/>
  <c r="N113" i="39"/>
  <c r="M33" i="40"/>
  <c r="Q33" i="40"/>
  <c r="U94" i="40"/>
  <c r="Q15" i="40"/>
  <c r="U33" i="40"/>
  <c r="Q56" i="40"/>
  <c r="I94" i="40"/>
  <c r="I56" i="40"/>
  <c r="N89" i="39"/>
  <c r="Q61" i="40"/>
  <c r="V56" i="40"/>
  <c r="M94" i="40"/>
  <c r="V15" i="40"/>
  <c r="N161" i="39"/>
  <c r="I33" i="40"/>
  <c r="N62" i="39"/>
  <c r="I61" i="40"/>
  <c r="I15" i="40"/>
  <c r="U56" i="40"/>
  <c r="V33" i="40"/>
  <c r="V61" i="40"/>
  <c r="U61" i="40"/>
  <c r="M61" i="40"/>
  <c r="F41" i="41"/>
  <c r="F36" i="41"/>
  <c r="W22" i="40"/>
  <c r="W25" i="40"/>
  <c r="W18" i="40"/>
  <c r="W20" i="40"/>
  <c r="W24" i="40"/>
  <c r="W26" i="40"/>
  <c r="W17" i="40"/>
  <c r="F45" i="41"/>
  <c r="F39" i="41"/>
  <c r="F44" i="41"/>
  <c r="F46" i="41"/>
  <c r="I14" i="26"/>
  <c r="E22" i="41"/>
  <c r="F32" i="41" l="1"/>
  <c r="W73" i="40"/>
  <c r="W95" i="40"/>
  <c r="W40" i="40"/>
  <c r="W33" i="40"/>
  <c r="W94" i="40"/>
  <c r="W56" i="40"/>
  <c r="W15" i="40"/>
  <c r="F31" i="41"/>
  <c r="W61" i="40"/>
  <c r="E14" i="72"/>
  <c r="O14" i="72" s="1"/>
  <c r="L14" i="39" l="1"/>
  <c r="L14" i="72"/>
  <c r="M14" i="72"/>
  <c r="M14" i="39" l="1"/>
  <c r="H13" i="70"/>
  <c r="H14" i="26"/>
  <c r="H14" i="70"/>
  <c r="I14" i="71"/>
  <c r="E21" i="41" l="1"/>
  <c r="E20" i="41"/>
  <c r="E17" i="41"/>
  <c r="H28" i="55" l="1"/>
  <c r="H29" i="55"/>
  <c r="H30" i="55"/>
  <c r="H31" i="55"/>
  <c r="H32" i="55"/>
  <c r="H33" i="55"/>
  <c r="H34" i="55"/>
  <c r="H35" i="55"/>
  <c r="H36" i="55"/>
  <c r="H37" i="55"/>
  <c r="H38" i="55"/>
  <c r="H39" i="55"/>
  <c r="H40" i="55"/>
  <c r="H41" i="55"/>
  <c r="H42" i="55"/>
  <c r="H43" i="55"/>
  <c r="H44" i="55"/>
  <c r="H45" i="55"/>
  <c r="H46" i="55"/>
  <c r="H47" i="55"/>
  <c r="H48" i="55"/>
  <c r="H49" i="55"/>
  <c r="H50" i="55"/>
  <c r="H51" i="55"/>
  <c r="H52" i="55"/>
  <c r="H53" i="55"/>
  <c r="H54" i="55"/>
  <c r="H55" i="55"/>
  <c r="H56" i="55"/>
  <c r="H57" i="55"/>
  <c r="H58" i="55"/>
  <c r="H59" i="55"/>
  <c r="H60" i="55"/>
  <c r="H61" i="55"/>
  <c r="H62" i="55"/>
  <c r="H63" i="55"/>
  <c r="H64" i="55"/>
  <c r="H65" i="55"/>
  <c r="H66" i="55"/>
  <c r="H67" i="55"/>
  <c r="H68" i="55"/>
  <c r="H69" i="55"/>
  <c r="H70" i="55"/>
  <c r="H71" i="55"/>
  <c r="H72" i="55"/>
  <c r="H73" i="55"/>
  <c r="H74" i="55"/>
  <c r="H75" i="55"/>
  <c r="H76" i="55"/>
  <c r="H77" i="55"/>
  <c r="H78" i="55"/>
  <c r="H79" i="55"/>
  <c r="H80" i="55"/>
  <c r="H13" i="26" l="1"/>
  <c r="E13" i="67" l="1"/>
  <c r="O13" i="67" s="1"/>
  <c r="E13" i="72"/>
  <c r="O13" i="72" s="1"/>
  <c r="G14" i="40"/>
  <c r="P14" i="40"/>
  <c r="T14" i="40"/>
  <c r="H14" i="40"/>
  <c r="L14" i="40"/>
  <c r="K14" i="40"/>
  <c r="O14" i="40"/>
  <c r="S14" i="40"/>
  <c r="M13" i="72" l="1"/>
  <c r="L14" i="67"/>
  <c r="L13" i="67"/>
  <c r="U14" i="40"/>
  <c r="V14" i="40"/>
  <c r="I14" i="40"/>
  <c r="F35" i="41" s="1"/>
  <c r="M14" i="40"/>
  <c r="Q14" i="40"/>
  <c r="L13" i="72" l="1"/>
  <c r="M13" i="67"/>
  <c r="M14" i="67"/>
  <c r="N14" i="67" s="1"/>
  <c r="W14" i="40"/>
  <c r="G6" i="55" l="1"/>
  <c r="G7" i="55"/>
  <c r="G8" i="55"/>
  <c r="G9" i="55"/>
  <c r="G5" i="55"/>
  <c r="K30" i="41" l="1"/>
  <c r="N14" i="72"/>
  <c r="H27" i="55" s="1"/>
  <c r="W6" i="36"/>
  <c r="W7" i="36"/>
  <c r="W8" i="36"/>
  <c r="W9" i="36"/>
  <c r="W10" i="36"/>
  <c r="W11" i="36"/>
  <c r="W12" i="36"/>
  <c r="W13" i="36"/>
  <c r="W14" i="36"/>
  <c r="W15" i="36"/>
  <c r="W16" i="36"/>
  <c r="W17" i="36"/>
  <c r="W18" i="36"/>
  <c r="W23" i="36" s="1"/>
  <c r="W5" i="36"/>
  <c r="V6" i="36"/>
  <c r="V7" i="36"/>
  <c r="V8" i="36"/>
  <c r="V9" i="36"/>
  <c r="V10" i="36"/>
  <c r="V11" i="36"/>
  <c r="V12" i="36"/>
  <c r="V13" i="36"/>
  <c r="V14" i="36"/>
  <c r="V15" i="36"/>
  <c r="V16" i="36"/>
  <c r="V17" i="36"/>
  <c r="V18" i="36"/>
  <c r="V20" i="36" s="1"/>
  <c r="V5" i="36"/>
  <c r="C6" i="72" l="1"/>
  <c r="C4" i="72"/>
  <c r="N13" i="72"/>
  <c r="C4" i="70"/>
  <c r="V63" i="36"/>
  <c r="V55" i="36"/>
  <c r="V47" i="36"/>
  <c r="V39" i="36"/>
  <c r="V31" i="36"/>
  <c r="V23" i="36"/>
  <c r="V58" i="36"/>
  <c r="V50" i="36"/>
  <c r="V42" i="36"/>
  <c r="V34" i="36"/>
  <c r="V26" i="36"/>
  <c r="W43" i="36"/>
  <c r="V62" i="36"/>
  <c r="V54" i="36"/>
  <c r="V46" i="36"/>
  <c r="V38" i="36"/>
  <c r="V30" i="36"/>
  <c r="V22" i="36"/>
  <c r="W35" i="36"/>
  <c r="W51" i="36"/>
  <c r="V59" i="36"/>
  <c r="V51" i="36"/>
  <c r="V43" i="36"/>
  <c r="V35" i="36"/>
  <c r="V27" i="36"/>
  <c r="W59" i="36"/>
  <c r="W27" i="36"/>
  <c r="W26" i="36"/>
  <c r="V19" i="36"/>
  <c r="V61" i="36"/>
  <c r="V57" i="36"/>
  <c r="V53" i="36"/>
  <c r="V49" i="36"/>
  <c r="V45" i="36"/>
  <c r="V41" i="36"/>
  <c r="V37" i="36"/>
  <c r="V33" i="36"/>
  <c r="V29" i="36"/>
  <c r="V25" i="36"/>
  <c r="V21" i="36"/>
  <c r="W63" i="36"/>
  <c r="W55" i="36"/>
  <c r="W47" i="36"/>
  <c r="W39" i="36"/>
  <c r="W31" i="36"/>
  <c r="W20" i="36"/>
  <c r="W24" i="36"/>
  <c r="W28" i="36"/>
  <c r="W32" i="36"/>
  <c r="W36" i="36"/>
  <c r="W40" i="36"/>
  <c r="W44" i="36"/>
  <c r="W48" i="36"/>
  <c r="W52" i="36"/>
  <c r="W56" i="36"/>
  <c r="W60" i="36"/>
  <c r="W64" i="36"/>
  <c r="W21" i="36"/>
  <c r="W25" i="36"/>
  <c r="W29" i="36"/>
  <c r="W33" i="36"/>
  <c r="W37" i="36"/>
  <c r="W41" i="36"/>
  <c r="W45" i="36"/>
  <c r="W49" i="36"/>
  <c r="W53" i="36"/>
  <c r="W57" i="36"/>
  <c r="W61" i="36"/>
  <c r="W58" i="36"/>
  <c r="W50" i="36"/>
  <c r="W42" i="36"/>
  <c r="W34" i="36"/>
  <c r="V64" i="36"/>
  <c r="V60" i="36"/>
  <c r="V56" i="36"/>
  <c r="V52" i="36"/>
  <c r="V48" i="36"/>
  <c r="V44" i="36"/>
  <c r="V40" i="36"/>
  <c r="V36" i="36"/>
  <c r="V32" i="36"/>
  <c r="V28" i="36"/>
  <c r="V24" i="36"/>
  <c r="W62" i="36"/>
  <c r="W54" i="36"/>
  <c r="W46" i="36"/>
  <c r="W38" i="36"/>
  <c r="W30" i="36"/>
  <c r="W22" i="36"/>
  <c r="W19" i="36"/>
  <c r="J84" i="41" l="1"/>
  <c r="J83" i="41"/>
  <c r="J82" i="41"/>
  <c r="J81" i="41"/>
  <c r="J80" i="41"/>
  <c r="J79" i="41"/>
  <c r="J78" i="41"/>
  <c r="J77" i="41"/>
  <c r="J76" i="41"/>
  <c r="J75" i="41"/>
  <c r="J74" i="41"/>
  <c r="J73" i="41"/>
  <c r="J72" i="41"/>
  <c r="J71" i="41"/>
  <c r="J70" i="41"/>
  <c r="J69" i="41"/>
  <c r="J68" i="41"/>
  <c r="J67" i="41"/>
  <c r="J66" i="41"/>
  <c r="J65" i="41"/>
  <c r="J64" i="41"/>
  <c r="J63" i="41"/>
  <c r="J62" i="41"/>
  <c r="J61" i="41"/>
  <c r="J60" i="41"/>
  <c r="J59" i="41"/>
  <c r="J58" i="41"/>
  <c r="J57" i="41"/>
  <c r="J56" i="41"/>
  <c r="J55" i="41"/>
  <c r="J54" i="41"/>
  <c r="J53" i="41"/>
  <c r="J52" i="41"/>
  <c r="J51" i="41"/>
  <c r="J50" i="41"/>
  <c r="J49" i="41"/>
  <c r="J48" i="41"/>
  <c r="J47" i="41"/>
  <c r="J46" i="41"/>
  <c r="J45" i="41"/>
  <c r="J44" i="41"/>
  <c r="J43" i="41"/>
  <c r="J42" i="41"/>
  <c r="J41" i="41"/>
  <c r="J40" i="41"/>
  <c r="J39" i="41"/>
  <c r="J38" i="41"/>
  <c r="J37" i="41"/>
  <c r="J36" i="41"/>
  <c r="J35" i="41"/>
  <c r="J34" i="41"/>
  <c r="J33" i="41"/>
  <c r="J32" i="41"/>
  <c r="J31" i="41"/>
  <c r="D21" i="41"/>
  <c r="J30" i="41"/>
  <c r="C8" i="72"/>
  <c r="V69" i="36"/>
  <c r="V73" i="36"/>
  <c r="V77" i="36"/>
  <c r="V81" i="36"/>
  <c r="V85" i="36"/>
  <c r="V89" i="36"/>
  <c r="V93" i="36"/>
  <c r="V97" i="36"/>
  <c r="V101" i="36"/>
  <c r="V105" i="36"/>
  <c r="V109" i="36"/>
  <c r="V113" i="36"/>
  <c r="V117" i="36"/>
  <c r="V121" i="36"/>
  <c r="V125" i="36"/>
  <c r="V129" i="36"/>
  <c r="V133" i="36"/>
  <c r="V137" i="36"/>
  <c r="V141" i="36"/>
  <c r="V145" i="36"/>
  <c r="V149" i="36"/>
  <c r="V153" i="36"/>
  <c r="V157" i="36"/>
  <c r="V161" i="36"/>
  <c r="V165" i="36"/>
  <c r="V169" i="36"/>
  <c r="V173" i="36"/>
  <c r="V177" i="36"/>
  <c r="V181" i="36"/>
  <c r="V185" i="36"/>
  <c r="V189" i="36"/>
  <c r="V193" i="36"/>
  <c r="V197" i="36"/>
  <c r="V201" i="36"/>
  <c r="V205" i="36"/>
  <c r="V209" i="36"/>
  <c r="V213" i="36"/>
  <c r="V217" i="36"/>
  <c r="V221" i="36"/>
  <c r="V225" i="36"/>
  <c r="V229" i="36"/>
  <c r="V233" i="36"/>
  <c r="V237" i="36"/>
  <c r="V241" i="36"/>
  <c r="V245" i="36"/>
  <c r="V249" i="36"/>
  <c r="V253" i="36"/>
  <c r="V257" i="36"/>
  <c r="V261" i="36"/>
  <c r="V265" i="36"/>
  <c r="V269" i="36"/>
  <c r="V273" i="36"/>
  <c r="V277" i="36"/>
  <c r="V281" i="36"/>
  <c r="V285" i="36"/>
  <c r="V289" i="36"/>
  <c r="V293" i="36"/>
  <c r="V297" i="36"/>
  <c r="V301" i="36"/>
  <c r="V305" i="36"/>
  <c r="V309" i="36"/>
  <c r="V313" i="36"/>
  <c r="V317" i="36"/>
  <c r="V321" i="36"/>
  <c r="V325" i="36"/>
  <c r="V329" i="36"/>
  <c r="V333" i="36"/>
  <c r="V337" i="36"/>
  <c r="V341" i="36"/>
  <c r="V345" i="36"/>
  <c r="V349" i="36"/>
  <c r="V353" i="36"/>
  <c r="V357" i="36"/>
  <c r="V66" i="36"/>
  <c r="V70" i="36"/>
  <c r="V74" i="36"/>
  <c r="V78" i="36"/>
  <c r="V82" i="36"/>
  <c r="V86" i="36"/>
  <c r="V90" i="36"/>
  <c r="V94" i="36"/>
  <c r="V98" i="36"/>
  <c r="V102" i="36"/>
  <c r="V106" i="36"/>
  <c r="V110" i="36"/>
  <c r="V114" i="36"/>
  <c r="V118" i="36"/>
  <c r="V122" i="36"/>
  <c r="V126" i="36"/>
  <c r="V130" i="36"/>
  <c r="V134" i="36"/>
  <c r="V138" i="36"/>
  <c r="V142" i="36"/>
  <c r="V146" i="36"/>
  <c r="V150" i="36"/>
  <c r="V154" i="36"/>
  <c r="V158" i="36"/>
  <c r="V162" i="36"/>
  <c r="V166" i="36"/>
  <c r="V170" i="36"/>
  <c r="V174" i="36"/>
  <c r="V178" i="36"/>
  <c r="V182" i="36"/>
  <c r="V186" i="36"/>
  <c r="V190" i="36"/>
  <c r="V194" i="36"/>
  <c r="V198" i="36"/>
  <c r="V202" i="36"/>
  <c r="V206" i="36"/>
  <c r="V210" i="36"/>
  <c r="V214" i="36"/>
  <c r="V218" i="36"/>
  <c r="V222" i="36"/>
  <c r="V226" i="36"/>
  <c r="V230" i="36"/>
  <c r="V234" i="36"/>
  <c r="V238" i="36"/>
  <c r="V242" i="36"/>
  <c r="V246" i="36"/>
  <c r="V250" i="36"/>
  <c r="V254" i="36"/>
  <c r="V258" i="36"/>
  <c r="V262" i="36"/>
  <c r="V266" i="36"/>
  <c r="V270" i="36"/>
  <c r="V274" i="36"/>
  <c r="V278" i="36"/>
  <c r="V282" i="36"/>
  <c r="V286" i="36"/>
  <c r="V290" i="36"/>
  <c r="V294" i="36"/>
  <c r="V298" i="36"/>
  <c r="V302" i="36"/>
  <c r="V306" i="36"/>
  <c r="V310" i="36"/>
  <c r="V314" i="36"/>
  <c r="V318" i="36"/>
  <c r="V322" i="36"/>
  <c r="V326" i="36"/>
  <c r="V330" i="36"/>
  <c r="V334" i="36"/>
  <c r="V338" i="36"/>
  <c r="V342" i="36"/>
  <c r="V346" i="36"/>
  <c r="V350" i="36"/>
  <c r="V354" i="36"/>
  <c r="V358" i="36"/>
  <c r="V71" i="36"/>
  <c r="V79" i="36"/>
  <c r="V87" i="36"/>
  <c r="V95" i="36"/>
  <c r="V103" i="36"/>
  <c r="V111" i="36"/>
  <c r="V119" i="36"/>
  <c r="V127" i="36"/>
  <c r="V135" i="36"/>
  <c r="V143" i="36"/>
  <c r="V151" i="36"/>
  <c r="V159" i="36"/>
  <c r="V167" i="36"/>
  <c r="V175" i="36"/>
  <c r="V183" i="36"/>
  <c r="V191" i="36"/>
  <c r="V199" i="36"/>
  <c r="V207" i="36"/>
  <c r="V215" i="36"/>
  <c r="V223" i="36"/>
  <c r="V231" i="36"/>
  <c r="V239" i="36"/>
  <c r="V247" i="36"/>
  <c r="V255" i="36"/>
  <c r="V263" i="36"/>
  <c r="V271" i="36"/>
  <c r="V279" i="36"/>
  <c r="V287" i="36"/>
  <c r="V295" i="36"/>
  <c r="V303" i="36"/>
  <c r="V311" i="36"/>
  <c r="V319" i="36"/>
  <c r="V327" i="36"/>
  <c r="V335" i="36"/>
  <c r="V343" i="36"/>
  <c r="V351" i="36"/>
  <c r="V359" i="36"/>
  <c r="V363" i="36"/>
  <c r="V367" i="36"/>
  <c r="V67" i="36"/>
  <c r="V75" i="36"/>
  <c r="V83" i="36"/>
  <c r="V99" i="36"/>
  <c r="V115" i="36"/>
  <c r="V131" i="36"/>
  <c r="V147" i="36"/>
  <c r="V163" i="36"/>
  <c r="V179" i="36"/>
  <c r="V195" i="36"/>
  <c r="V211" i="36"/>
  <c r="V227" i="36"/>
  <c r="V243" i="36"/>
  <c r="V259" i="36"/>
  <c r="V275" i="36"/>
  <c r="V291" i="36"/>
  <c r="V307" i="36"/>
  <c r="V323" i="36"/>
  <c r="V339" i="36"/>
  <c r="V347" i="36"/>
  <c r="V361" i="36"/>
  <c r="V369" i="36"/>
  <c r="V68" i="36"/>
  <c r="V84" i="36"/>
  <c r="V108" i="36"/>
  <c r="V124" i="36"/>
  <c r="V140" i="36"/>
  <c r="V148" i="36"/>
  <c r="V164" i="36"/>
  <c r="V180" i="36"/>
  <c r="V196" i="36"/>
  <c r="V212" i="36"/>
  <c r="V72" i="36"/>
  <c r="V80" i="36"/>
  <c r="V88" i="36"/>
  <c r="V96" i="36"/>
  <c r="V104" i="36"/>
  <c r="V112" i="36"/>
  <c r="V120" i="36"/>
  <c r="V128" i="36"/>
  <c r="V136" i="36"/>
  <c r="V144" i="36"/>
  <c r="V152" i="36"/>
  <c r="V160" i="36"/>
  <c r="V168" i="36"/>
  <c r="V176" i="36"/>
  <c r="V184" i="36"/>
  <c r="V192" i="36"/>
  <c r="V200" i="36"/>
  <c r="V208" i="36"/>
  <c r="V216" i="36"/>
  <c r="V224" i="36"/>
  <c r="V232" i="36"/>
  <c r="V240" i="36"/>
  <c r="V248" i="36"/>
  <c r="V256" i="36"/>
  <c r="V264" i="36"/>
  <c r="V272" i="36"/>
  <c r="V280" i="36"/>
  <c r="V288" i="36"/>
  <c r="V296" i="36"/>
  <c r="V304" i="36"/>
  <c r="V312" i="36"/>
  <c r="V320" i="36"/>
  <c r="V328" i="36"/>
  <c r="V336" i="36"/>
  <c r="V344" i="36"/>
  <c r="V352" i="36"/>
  <c r="V360" i="36"/>
  <c r="V364" i="36"/>
  <c r="V368" i="36"/>
  <c r="V91" i="36"/>
  <c r="V107" i="36"/>
  <c r="V123" i="36"/>
  <c r="V139" i="36"/>
  <c r="V155" i="36"/>
  <c r="V171" i="36"/>
  <c r="V187" i="36"/>
  <c r="V203" i="36"/>
  <c r="V219" i="36"/>
  <c r="V235" i="36"/>
  <c r="V251" i="36"/>
  <c r="V267" i="36"/>
  <c r="V283" i="36"/>
  <c r="V299" i="36"/>
  <c r="V315" i="36"/>
  <c r="V331" i="36"/>
  <c r="V355" i="36"/>
  <c r="V365" i="36"/>
  <c r="V76" i="36"/>
  <c r="V92" i="36"/>
  <c r="V100" i="36"/>
  <c r="V116" i="36"/>
  <c r="V132" i="36"/>
  <c r="V156" i="36"/>
  <c r="V172" i="36"/>
  <c r="V188" i="36"/>
  <c r="V204" i="36"/>
  <c r="V244" i="36"/>
  <c r="V276" i="36"/>
  <c r="V308" i="36"/>
  <c r="V340" i="36"/>
  <c r="V366" i="36"/>
  <c r="V362" i="36"/>
  <c r="V220" i="36"/>
  <c r="V252" i="36"/>
  <c r="V284" i="36"/>
  <c r="V316" i="36"/>
  <c r="V348" i="36"/>
  <c r="V65" i="36"/>
  <c r="V228" i="36"/>
  <c r="V260" i="36"/>
  <c r="V292" i="36"/>
  <c r="V324" i="36"/>
  <c r="V356" i="36"/>
  <c r="V236" i="36"/>
  <c r="V268" i="36"/>
  <c r="V300" i="36"/>
  <c r="V332" i="36"/>
  <c r="C6" i="67" l="1"/>
  <c r="C4" i="67"/>
  <c r="N13" i="67"/>
  <c r="H26" i="55" l="1"/>
  <c r="H81" i="55" s="1"/>
  <c r="C8" i="67"/>
  <c r="D24" i="41" l="1"/>
  <c r="H10" i="55"/>
  <c r="N14" i="39" l="1"/>
  <c r="F6" i="55"/>
  <c r="F7" i="55"/>
  <c r="F8" i="55"/>
  <c r="F9" i="55"/>
  <c r="E6" i="55"/>
  <c r="E7" i="55"/>
  <c r="E9" i="55"/>
  <c r="D6" i="55"/>
  <c r="D7" i="55"/>
  <c r="D9" i="55"/>
  <c r="G10" i="55" l="1"/>
  <c r="H17" i="55"/>
  <c r="H18" i="55"/>
  <c r="E13" i="41"/>
  <c r="G17" i="55" l="1"/>
  <c r="G18" i="55"/>
  <c r="G19" i="55" l="1"/>
  <c r="D8" i="55" l="1"/>
  <c r="E8" i="55"/>
  <c r="H19" i="55" l="1"/>
  <c r="C4" i="26" l="1"/>
  <c r="F5" i="55"/>
  <c r="I84" i="41" l="1"/>
  <c r="I83" i="41"/>
  <c r="I82" i="41"/>
  <c r="I81" i="41"/>
  <c r="I80" i="41"/>
  <c r="I79" i="41"/>
  <c r="I78" i="41"/>
  <c r="I77" i="41"/>
  <c r="I76" i="41"/>
  <c r="I75" i="41"/>
  <c r="I74" i="41"/>
  <c r="I73" i="41"/>
  <c r="I72" i="41"/>
  <c r="I71" i="41"/>
  <c r="I70" i="41"/>
  <c r="I69" i="41"/>
  <c r="I68" i="41"/>
  <c r="I67" i="41"/>
  <c r="I66" i="41"/>
  <c r="I65" i="41"/>
  <c r="I64" i="41"/>
  <c r="I63" i="41"/>
  <c r="I62" i="41"/>
  <c r="I61" i="41"/>
  <c r="I60" i="41"/>
  <c r="I59" i="41"/>
  <c r="I58" i="41"/>
  <c r="I57" i="41"/>
  <c r="I56" i="41"/>
  <c r="I55" i="41"/>
  <c r="I54" i="41"/>
  <c r="I53" i="41"/>
  <c r="I52" i="41"/>
  <c r="I51" i="41"/>
  <c r="I50" i="41"/>
  <c r="I49" i="41"/>
  <c r="I48" i="41"/>
  <c r="I47" i="41"/>
  <c r="I46" i="41"/>
  <c r="I45" i="41"/>
  <c r="I44" i="41"/>
  <c r="I43" i="41"/>
  <c r="I42" i="41"/>
  <c r="I41" i="41"/>
  <c r="I40" i="41"/>
  <c r="I39" i="41"/>
  <c r="I38" i="41"/>
  <c r="I37" i="41"/>
  <c r="I36" i="41"/>
  <c r="I35" i="41"/>
  <c r="I34" i="41"/>
  <c r="I33" i="41"/>
  <c r="I32" i="41"/>
  <c r="I31" i="41"/>
  <c r="D20" i="41"/>
  <c r="I30" i="41"/>
  <c r="F10" i="55"/>
  <c r="F18" i="55" l="1"/>
  <c r="F17" i="55"/>
  <c r="C6" i="55"/>
  <c r="I6" i="55" s="1"/>
  <c r="C7" i="55"/>
  <c r="I7" i="55" s="1"/>
  <c r="F19" i="55" l="1"/>
  <c r="C9" i="55"/>
  <c r="I9" i="55" s="1"/>
  <c r="H13" i="40" l="1"/>
  <c r="K13" i="40"/>
  <c r="G13" i="40"/>
  <c r="O13" i="40"/>
  <c r="P13" i="40"/>
  <c r="S13" i="40"/>
  <c r="T13" i="40"/>
  <c r="L13" i="40"/>
  <c r="D8" i="40" l="1"/>
  <c r="U13" i="40"/>
  <c r="E8" i="40" s="1"/>
  <c r="V13" i="40"/>
  <c r="D7" i="40"/>
  <c r="Q13" i="40"/>
  <c r="E7" i="40" s="1"/>
  <c r="D5" i="40"/>
  <c r="I13" i="40"/>
  <c r="D6" i="40"/>
  <c r="M13" i="40"/>
  <c r="E6" i="40" s="1"/>
  <c r="E5" i="40" l="1"/>
  <c r="E9" i="40" s="1"/>
  <c r="D17" i="41" s="1"/>
  <c r="F30" i="41"/>
  <c r="C18" i="55" s="1"/>
  <c r="W13" i="40"/>
  <c r="C8" i="55" s="1"/>
  <c r="I8" i="55" s="1"/>
  <c r="D9" i="40"/>
  <c r="C5" i="55" l="1"/>
  <c r="C17" i="55"/>
  <c r="C10" i="55" l="1"/>
  <c r="C19" i="55"/>
  <c r="I13" i="71"/>
  <c r="C4" i="71" s="1"/>
  <c r="D5" i="55" l="1"/>
  <c r="D10" i="55" l="1"/>
  <c r="E5" i="55" l="1"/>
  <c r="E10" i="55" s="1"/>
  <c r="I10" i="55" s="1"/>
  <c r="M13" i="39"/>
  <c r="C6" i="39" s="1"/>
  <c r="D19" i="41" s="1"/>
  <c r="I5" i="55" l="1"/>
  <c r="L13" i="39"/>
  <c r="N13" i="39" l="1"/>
  <c r="C4" i="39"/>
  <c r="C8" i="39" l="1"/>
  <c r="F27" i="55" s="1"/>
  <c r="C30" i="55"/>
  <c r="D18" i="41"/>
  <c r="D22" i="41" s="1"/>
  <c r="C61" i="55" l="1"/>
  <c r="E50" i="55"/>
  <c r="E60" i="55"/>
  <c r="F80" i="55"/>
  <c r="C68" i="55"/>
  <c r="C38" i="55"/>
  <c r="E53" i="55"/>
  <c r="C67" i="55"/>
  <c r="D42" i="55"/>
  <c r="C41" i="55"/>
  <c r="C35" i="55"/>
  <c r="D44" i="55"/>
  <c r="E41" i="55"/>
  <c r="D49" i="55"/>
  <c r="G71" i="55"/>
  <c r="D35" i="55"/>
  <c r="C58" i="55"/>
  <c r="C37" i="55"/>
  <c r="C63" i="55"/>
  <c r="C44" i="55"/>
  <c r="F61" i="55"/>
  <c r="F60" i="55"/>
  <c r="F31" i="55"/>
  <c r="F38" i="55"/>
  <c r="C64" i="55"/>
  <c r="D26" i="55"/>
  <c r="C66" i="55"/>
  <c r="D48" i="55"/>
  <c r="G36" i="55"/>
  <c r="E59" i="55"/>
  <c r="G78" i="55"/>
  <c r="F76" i="55"/>
  <c r="C36" i="55"/>
  <c r="C76" i="55"/>
  <c r="C59" i="55"/>
  <c r="C60" i="55"/>
  <c r="C80" i="55"/>
  <c r="C39" i="55"/>
  <c r="C28" i="55"/>
  <c r="C46" i="55"/>
  <c r="D58" i="55"/>
  <c r="D74" i="55"/>
  <c r="G31" i="55"/>
  <c r="F46" i="55"/>
  <c r="D80" i="55"/>
  <c r="G58" i="55"/>
  <c r="E33" i="55"/>
  <c r="G42" i="55"/>
  <c r="F37" i="55"/>
  <c r="C69" i="55"/>
  <c r="C54" i="55"/>
  <c r="C49" i="55"/>
  <c r="D63" i="55"/>
  <c r="C55" i="55"/>
  <c r="C52" i="55"/>
  <c r="C26" i="55"/>
  <c r="D61" i="55"/>
  <c r="G65" i="55"/>
  <c r="G39" i="55"/>
  <c r="F34" i="55"/>
  <c r="E66" i="55"/>
  <c r="F56" i="55"/>
  <c r="F50" i="55"/>
  <c r="E75" i="55"/>
  <c r="D43" i="55"/>
  <c r="C73" i="55"/>
  <c r="G30" i="41"/>
  <c r="C48" i="55"/>
  <c r="C56" i="55"/>
  <c r="C78" i="55"/>
  <c r="C29" i="55"/>
  <c r="E58" i="55"/>
  <c r="C53" i="55"/>
  <c r="C42" i="55"/>
  <c r="C32" i="55"/>
  <c r="C45" i="55"/>
  <c r="C43" i="55"/>
  <c r="C51" i="55"/>
  <c r="E27" i="55"/>
  <c r="G55" i="55"/>
  <c r="D59" i="55"/>
  <c r="D46" i="55"/>
  <c r="G40" i="55"/>
  <c r="E47" i="55"/>
  <c r="G30" i="55"/>
  <c r="F45" i="55"/>
  <c r="E39" i="55"/>
  <c r="G54" i="55"/>
  <c r="D60" i="55"/>
  <c r="F32" i="55"/>
  <c r="E67" i="55"/>
  <c r="E28" i="55"/>
  <c r="G76" i="55"/>
  <c r="G66" i="55"/>
  <c r="F51" i="55"/>
  <c r="G70" i="55"/>
  <c r="C70" i="55"/>
  <c r="C50" i="55"/>
  <c r="C47" i="55"/>
  <c r="E30" i="55"/>
  <c r="C65" i="55"/>
  <c r="C72" i="55"/>
  <c r="C31" i="55"/>
  <c r="C33" i="55"/>
  <c r="C79" i="55"/>
  <c r="D69" i="55"/>
  <c r="F52" i="55"/>
  <c r="F78" i="55"/>
  <c r="G43" i="55"/>
  <c r="D75" i="55"/>
  <c r="F48" i="55"/>
  <c r="E73" i="55"/>
  <c r="F41" i="55"/>
  <c r="E32" i="55"/>
  <c r="F59" i="55"/>
  <c r="E63" i="55"/>
  <c r="E45" i="55"/>
  <c r="D27" i="55"/>
  <c r="E78" i="55"/>
  <c r="G44" i="55"/>
  <c r="F35" i="55"/>
  <c r="G75" i="55"/>
  <c r="F39" i="55"/>
  <c r="G52" i="55"/>
  <c r="D79" i="55"/>
  <c r="G33" i="55"/>
  <c r="F58" i="55"/>
  <c r="F69" i="55"/>
  <c r="E48" i="55"/>
  <c r="G84" i="41"/>
  <c r="G80" i="41"/>
  <c r="G76" i="41"/>
  <c r="G72" i="41"/>
  <c r="G68" i="41"/>
  <c r="G64" i="41"/>
  <c r="G60" i="41"/>
  <c r="G56" i="41"/>
  <c r="G52" i="41"/>
  <c r="G48" i="41"/>
  <c r="G44" i="41"/>
  <c r="G40" i="41"/>
  <c r="G36" i="41"/>
  <c r="G32" i="41"/>
  <c r="H82" i="41"/>
  <c r="H78" i="41"/>
  <c r="H74" i="41"/>
  <c r="H70" i="41"/>
  <c r="H66" i="41"/>
  <c r="H62" i="41"/>
  <c r="H58" i="41"/>
  <c r="H54" i="41"/>
  <c r="H50" i="41"/>
  <c r="H46" i="41"/>
  <c r="H42" i="41"/>
  <c r="H38" i="41"/>
  <c r="H34" i="41"/>
  <c r="G83" i="41"/>
  <c r="G79" i="41"/>
  <c r="G75" i="41"/>
  <c r="G71" i="41"/>
  <c r="G67" i="41"/>
  <c r="G63" i="41"/>
  <c r="G59" i="41"/>
  <c r="G55" i="41"/>
  <c r="G51" i="41"/>
  <c r="G47" i="41"/>
  <c r="G43" i="41"/>
  <c r="G39" i="41"/>
  <c r="G35" i="41"/>
  <c r="G31" i="41"/>
  <c r="H81" i="41"/>
  <c r="H77" i="41"/>
  <c r="H73" i="41"/>
  <c r="H69" i="41"/>
  <c r="H65" i="41"/>
  <c r="H61" i="41"/>
  <c r="H57" i="41"/>
  <c r="H53" i="41"/>
  <c r="H49" i="41"/>
  <c r="H45" i="41"/>
  <c r="H41" i="41"/>
  <c r="H37" i="41"/>
  <c r="H33" i="41"/>
  <c r="G82" i="41"/>
  <c r="L82" i="41" s="1"/>
  <c r="G78" i="41"/>
  <c r="L78" i="41" s="1"/>
  <c r="G74" i="41"/>
  <c r="L74" i="41" s="1"/>
  <c r="G70" i="41"/>
  <c r="L70" i="41" s="1"/>
  <c r="G66" i="41"/>
  <c r="L66" i="41" s="1"/>
  <c r="G62" i="41"/>
  <c r="G58" i="41"/>
  <c r="L58" i="41" s="1"/>
  <c r="G54" i="41"/>
  <c r="G50" i="41"/>
  <c r="L50" i="41" s="1"/>
  <c r="G46" i="41"/>
  <c r="G42" i="41"/>
  <c r="L42" i="41" s="1"/>
  <c r="G38" i="41"/>
  <c r="L38" i="41" s="1"/>
  <c r="G34" i="41"/>
  <c r="L34" i="41" s="1"/>
  <c r="H84" i="41"/>
  <c r="H80" i="41"/>
  <c r="H76" i="41"/>
  <c r="H72" i="41"/>
  <c r="H68" i="41"/>
  <c r="H64" i="41"/>
  <c r="H60" i="41"/>
  <c r="H56" i="41"/>
  <c r="H52" i="41"/>
  <c r="H48" i="41"/>
  <c r="H44" i="41"/>
  <c r="H40" i="41"/>
  <c r="H36" i="41"/>
  <c r="H32" i="41"/>
  <c r="G81" i="41"/>
  <c r="L81" i="41" s="1"/>
  <c r="G77" i="41"/>
  <c r="L77" i="41" s="1"/>
  <c r="G73" i="41"/>
  <c r="L73" i="41" s="1"/>
  <c r="G69" i="41"/>
  <c r="L69" i="41" s="1"/>
  <c r="G65" i="41"/>
  <c r="L65" i="41" s="1"/>
  <c r="G61" i="41"/>
  <c r="L61" i="41" s="1"/>
  <c r="G57" i="41"/>
  <c r="L57" i="41" s="1"/>
  <c r="G53" i="41"/>
  <c r="L53" i="41" s="1"/>
  <c r="G49" i="41"/>
  <c r="G45" i="41"/>
  <c r="L45" i="41" s="1"/>
  <c r="G41" i="41"/>
  <c r="G37" i="41"/>
  <c r="L37" i="41" s="1"/>
  <c r="G33" i="41"/>
  <c r="L33" i="41" s="1"/>
  <c r="H83" i="41"/>
  <c r="H79" i="41"/>
  <c r="H75" i="41"/>
  <c r="H71" i="41"/>
  <c r="H67" i="41"/>
  <c r="H63" i="41"/>
  <c r="H59" i="41"/>
  <c r="H55" i="41"/>
  <c r="H51" i="41"/>
  <c r="H47" i="41"/>
  <c r="H43" i="41"/>
  <c r="H39" i="41"/>
  <c r="H35" i="41"/>
  <c r="H31" i="41"/>
  <c r="D37" i="55"/>
  <c r="H30" i="41"/>
  <c r="G72" i="55"/>
  <c r="E43" i="55"/>
  <c r="G32" i="55"/>
  <c r="G63" i="55"/>
  <c r="G45" i="55"/>
  <c r="D64" i="55"/>
  <c r="G61" i="55"/>
  <c r="G74" i="55"/>
  <c r="G59" i="55"/>
  <c r="G37" i="55"/>
  <c r="E46" i="55"/>
  <c r="D56" i="55"/>
  <c r="G48" i="55"/>
  <c r="D76" i="55"/>
  <c r="E31" i="55"/>
  <c r="D52" i="55"/>
  <c r="F68" i="55"/>
  <c r="G50" i="55"/>
  <c r="E62" i="55"/>
  <c r="E69" i="55"/>
  <c r="G27" i="55"/>
  <c r="F63" i="55"/>
  <c r="D45" i="55"/>
  <c r="D70" i="55"/>
  <c r="F49" i="55"/>
  <c r="E49" i="55"/>
  <c r="E37" i="55"/>
  <c r="D30" i="55"/>
  <c r="E38" i="55"/>
  <c r="G47" i="55"/>
  <c r="D41" i="55"/>
  <c r="D53" i="55"/>
  <c r="G35" i="55"/>
  <c r="E55" i="55"/>
  <c r="E70" i="55"/>
  <c r="G73" i="55"/>
  <c r="F28" i="55"/>
  <c r="G41" i="55"/>
  <c r="F44" i="55"/>
  <c r="E56" i="55"/>
  <c r="F66" i="55"/>
  <c r="G64" i="55"/>
  <c r="D34" i="55"/>
  <c r="G49" i="55"/>
  <c r="F77" i="55"/>
  <c r="E54" i="55"/>
  <c r="F73" i="55"/>
  <c r="F29" i="55"/>
  <c r="D33" i="55"/>
  <c r="G62" i="55"/>
  <c r="F43" i="55"/>
  <c r="D71" i="55"/>
  <c r="F75" i="55"/>
  <c r="G28" i="55"/>
  <c r="E26" i="55"/>
  <c r="G51" i="55"/>
  <c r="D73" i="55"/>
  <c r="D66" i="55"/>
  <c r="D29" i="55"/>
  <c r="F33" i="55"/>
  <c r="D36" i="55"/>
  <c r="F54" i="55"/>
  <c r="G69" i="55"/>
  <c r="E80" i="55"/>
  <c r="E52" i="55"/>
  <c r="G46" i="55"/>
  <c r="E44" i="55"/>
  <c r="F57" i="55"/>
  <c r="C34" i="55"/>
  <c r="F79" i="55"/>
  <c r="D55" i="55"/>
  <c r="D72" i="55"/>
  <c r="D32" i="55"/>
  <c r="D77" i="55"/>
  <c r="F36" i="55"/>
  <c r="C40" i="55"/>
  <c r="C77" i="55"/>
  <c r="D31" i="55"/>
  <c r="E23" i="41"/>
  <c r="D26" i="41"/>
  <c r="E64" i="55"/>
  <c r="E51" i="55"/>
  <c r="E57" i="55"/>
  <c r="F64" i="55"/>
  <c r="D68" i="55"/>
  <c r="E76" i="55"/>
  <c r="F42" i="55"/>
  <c r="D62" i="55"/>
  <c r="E77" i="55"/>
  <c r="D50" i="55"/>
  <c r="F70" i="55"/>
  <c r="E65" i="55"/>
  <c r="G38" i="55"/>
  <c r="E40" i="55"/>
  <c r="E68" i="55"/>
  <c r="D38" i="55"/>
  <c r="D28" i="55"/>
  <c r="D39" i="55"/>
  <c r="D67" i="55"/>
  <c r="E34" i="55"/>
  <c r="G29" i="55"/>
  <c r="F65" i="55"/>
  <c r="F62" i="55"/>
  <c r="G53" i="55"/>
  <c r="G80" i="55"/>
  <c r="E61" i="55"/>
  <c r="E29" i="55"/>
  <c r="D78" i="55"/>
  <c r="D51" i="55"/>
  <c r="G79" i="55"/>
  <c r="E72" i="55"/>
  <c r="F55" i="55"/>
  <c r="F72" i="55"/>
  <c r="F71" i="55"/>
  <c r="D65" i="55"/>
  <c r="E36" i="55"/>
  <c r="G56" i="55"/>
  <c r="D40" i="55"/>
  <c r="F40" i="55"/>
  <c r="F47" i="55"/>
  <c r="E74" i="55"/>
  <c r="E79" i="55"/>
  <c r="G68" i="55"/>
  <c r="G26" i="55"/>
  <c r="E42" i="55"/>
  <c r="G77" i="55"/>
  <c r="G34" i="55"/>
  <c r="D57" i="55"/>
  <c r="C74" i="55"/>
  <c r="C27" i="55"/>
  <c r="C75" i="55"/>
  <c r="F26" i="55"/>
  <c r="D54" i="55"/>
  <c r="E35" i="55"/>
  <c r="F53" i="55"/>
  <c r="F67" i="55"/>
  <c r="F30" i="55"/>
  <c r="G60" i="55"/>
  <c r="G57" i="55"/>
  <c r="G67" i="55"/>
  <c r="F74" i="55"/>
  <c r="D47" i="55"/>
  <c r="E71" i="55"/>
  <c r="C62" i="55"/>
  <c r="C57" i="55"/>
  <c r="C71" i="55"/>
  <c r="L46" i="41" l="1"/>
  <c r="L30" i="41"/>
  <c r="L62" i="41"/>
  <c r="L41" i="41"/>
  <c r="L49" i="41"/>
  <c r="L54" i="41"/>
  <c r="D18" i="55"/>
  <c r="D17" i="55"/>
  <c r="I39" i="55"/>
  <c r="I75" i="55"/>
  <c r="I60" i="55"/>
  <c r="I43" i="55"/>
  <c r="I37" i="55"/>
  <c r="I30" i="55"/>
  <c r="I32" i="55"/>
  <c r="I52" i="55"/>
  <c r="I48" i="55"/>
  <c r="I59" i="55"/>
  <c r="I42" i="55"/>
  <c r="I78" i="55"/>
  <c r="I27" i="55"/>
  <c r="I58" i="55"/>
  <c r="I31" i="55"/>
  <c r="I46" i="55"/>
  <c r="I66" i="55"/>
  <c r="I51" i="55"/>
  <c r="L35" i="41"/>
  <c r="L43" i="41"/>
  <c r="L51" i="41"/>
  <c r="L59" i="41"/>
  <c r="L67" i="41"/>
  <c r="L75" i="41"/>
  <c r="L83" i="41"/>
  <c r="L32" i="41"/>
  <c r="L40" i="41"/>
  <c r="L48" i="41"/>
  <c r="L56" i="41"/>
  <c r="L64" i="41"/>
  <c r="L72" i="41"/>
  <c r="L80" i="41"/>
  <c r="L31" i="41"/>
  <c r="L39" i="41"/>
  <c r="L47" i="41"/>
  <c r="L55" i="41"/>
  <c r="L63" i="41"/>
  <c r="L71" i="41"/>
  <c r="L79" i="41"/>
  <c r="L36" i="41"/>
  <c r="L44" i="41"/>
  <c r="L52" i="41"/>
  <c r="L60" i="41"/>
  <c r="L68" i="41"/>
  <c r="L76" i="41"/>
  <c r="L84" i="41"/>
  <c r="I35" i="55"/>
  <c r="I50" i="55"/>
  <c r="I76" i="55"/>
  <c r="I63" i="55"/>
  <c r="I41" i="55"/>
  <c r="I61" i="55"/>
  <c r="I45" i="55"/>
  <c r="I62" i="55"/>
  <c r="I49" i="55"/>
  <c r="I54" i="55"/>
  <c r="I79" i="55"/>
  <c r="I36" i="55"/>
  <c r="I44" i="55"/>
  <c r="I71" i="55"/>
  <c r="I47" i="55"/>
  <c r="I65" i="55"/>
  <c r="E17" i="55"/>
  <c r="E18" i="55"/>
  <c r="I73" i="55"/>
  <c r="I57" i="55"/>
  <c r="I72" i="55"/>
  <c r="I38" i="55"/>
  <c r="I68" i="55"/>
  <c r="I64" i="55"/>
  <c r="I55" i="55"/>
  <c r="I29" i="55"/>
  <c r="I33" i="55"/>
  <c r="I70" i="55"/>
  <c r="I69" i="55"/>
  <c r="I56" i="55"/>
  <c r="I67" i="55"/>
  <c r="D81" i="55"/>
  <c r="I80" i="55"/>
  <c r="I26" i="55"/>
  <c r="I53" i="55"/>
  <c r="F81" i="55"/>
  <c r="G81" i="55"/>
  <c r="I40" i="55"/>
  <c r="I34" i="55"/>
  <c r="I28" i="55"/>
  <c r="I74" i="55"/>
  <c r="I77" i="55"/>
  <c r="E81" i="55"/>
  <c r="C81" i="55"/>
  <c r="I18" i="55" l="1"/>
  <c r="D19" i="55"/>
  <c r="E19" i="55"/>
  <c r="I17" i="55"/>
  <c r="I81" i="55"/>
  <c r="I19" i="55" l="1"/>
</calcChain>
</file>

<file path=xl/sharedStrings.xml><?xml version="1.0" encoding="utf-8"?>
<sst xmlns="http://schemas.openxmlformats.org/spreadsheetml/2006/main" count="3703" uniqueCount="630">
  <si>
    <t>Country</t>
  </si>
  <si>
    <t xml:space="preserve">Manager </t>
  </si>
  <si>
    <t>Technician</t>
  </si>
  <si>
    <t xml:space="preserve">Administrative </t>
  </si>
  <si>
    <t xml:space="preserve">Before completing this table please read carefully the instructions available on </t>
  </si>
  <si>
    <t>Total</t>
  </si>
  <si>
    <t>Action</t>
  </si>
  <si>
    <t>Austria</t>
  </si>
  <si>
    <t>Belgium</t>
  </si>
  <si>
    <t>Cyprus</t>
  </si>
  <si>
    <t>Bulgaria</t>
  </si>
  <si>
    <t>Afghanistan</t>
  </si>
  <si>
    <t>EU grant</t>
  </si>
  <si>
    <t>Staff costs</t>
  </si>
  <si>
    <t>Warning messages</t>
  </si>
  <si>
    <t>P1</t>
  </si>
  <si>
    <t>P2</t>
  </si>
  <si>
    <t>P3</t>
  </si>
  <si>
    <t>P4</t>
  </si>
  <si>
    <t>P5</t>
  </si>
  <si>
    <t>P6</t>
  </si>
  <si>
    <t>P7</t>
  </si>
  <si>
    <t>P8</t>
  </si>
  <si>
    <t>P9</t>
  </si>
  <si>
    <t>P10</t>
  </si>
  <si>
    <t>P11</t>
  </si>
  <si>
    <t>P12</t>
  </si>
  <si>
    <t>P14</t>
  </si>
  <si>
    <t>P15</t>
  </si>
  <si>
    <t>P16</t>
  </si>
  <si>
    <t>P17</t>
  </si>
  <si>
    <t>P18</t>
  </si>
  <si>
    <t>P19</t>
  </si>
  <si>
    <t>P20</t>
  </si>
  <si>
    <t>Distance</t>
  </si>
  <si>
    <t>Denmark</t>
  </si>
  <si>
    <t>Ireland</t>
  </si>
  <si>
    <t>Subsistence costs</t>
  </si>
  <si>
    <t>Activities targeting staff up to the 14th day</t>
  </si>
  <si>
    <t>Activities targeting learners up to the 14th day</t>
  </si>
  <si>
    <t>Activities targeting staff between the 15th and 60th day</t>
  </si>
  <si>
    <t>Activities targeting learners between the 15th and 60th day</t>
  </si>
  <si>
    <t>Liechtenstein</t>
  </si>
  <si>
    <t>Netherlands</t>
  </si>
  <si>
    <t>Norway</t>
  </si>
  <si>
    <t>Sweden</t>
  </si>
  <si>
    <t>Finland</t>
  </si>
  <si>
    <t>France</t>
  </si>
  <si>
    <t>Germany</t>
  </si>
  <si>
    <t>Iceland</t>
  </si>
  <si>
    <t>Italy</t>
  </si>
  <si>
    <t>United Kingdom</t>
  </si>
  <si>
    <t>Czech Republic</t>
  </si>
  <si>
    <t>Greece</t>
  </si>
  <si>
    <t>Malta</t>
  </si>
  <si>
    <t>Portugal</t>
  </si>
  <si>
    <t>Slovenia</t>
  </si>
  <si>
    <t>Spain</t>
  </si>
  <si>
    <t>Croatia</t>
  </si>
  <si>
    <t>Estonia</t>
  </si>
  <si>
    <t>Hungary</t>
  </si>
  <si>
    <t>Latvia</t>
  </si>
  <si>
    <t>Lithuania</t>
  </si>
  <si>
    <t>Poland</t>
  </si>
  <si>
    <t>Romania</t>
  </si>
  <si>
    <t>Turkey</t>
  </si>
  <si>
    <t>Israel</t>
  </si>
  <si>
    <t>Albania</t>
  </si>
  <si>
    <t>Algeria</t>
  </si>
  <si>
    <t>Argentina</t>
  </si>
  <si>
    <t>Armenia</t>
  </si>
  <si>
    <t>Azerbaijan</t>
  </si>
  <si>
    <t>Bangladesh</t>
  </si>
  <si>
    <t>Chile</t>
  </si>
  <si>
    <t>Belarus</t>
  </si>
  <si>
    <t>Bhutan</t>
  </si>
  <si>
    <t>Bolivia</t>
  </si>
  <si>
    <t>Bosnia and Herzegovina</t>
  </si>
  <si>
    <t>Brazil</t>
  </si>
  <si>
    <t>Cambodia</t>
  </si>
  <si>
    <t>China</t>
  </si>
  <si>
    <t>Colombia</t>
  </si>
  <si>
    <t>Costa Rica</t>
  </si>
  <si>
    <t>Cuba</t>
  </si>
  <si>
    <t>Ecuador</t>
  </si>
  <si>
    <t>Egypt</t>
  </si>
  <si>
    <t>El Salvador</t>
  </si>
  <si>
    <t>Georgia</t>
  </si>
  <si>
    <t>Guatemala</t>
  </si>
  <si>
    <t>Honduras</t>
  </si>
  <si>
    <t>India</t>
  </si>
  <si>
    <t>Indonesia</t>
  </si>
  <si>
    <t>Iran</t>
  </si>
  <si>
    <t>Iraq</t>
  </si>
  <si>
    <t>Jordan</t>
  </si>
  <si>
    <t>Kazakhstan</t>
  </si>
  <si>
    <t>Kyrgyzstan</t>
  </si>
  <si>
    <t>Laos</t>
  </si>
  <si>
    <t>Lebanon</t>
  </si>
  <si>
    <t>Libya</t>
  </si>
  <si>
    <t>Malaysia</t>
  </si>
  <si>
    <t>Maldives</t>
  </si>
  <si>
    <t>Mexico</t>
  </si>
  <si>
    <t>Moldova</t>
  </si>
  <si>
    <t>Mongolia</t>
  </si>
  <si>
    <t>Montenegro</t>
  </si>
  <si>
    <t>Morocco</t>
  </si>
  <si>
    <t>Nepal</t>
  </si>
  <si>
    <t>Nicaragua</t>
  </si>
  <si>
    <t>Pakistan</t>
  </si>
  <si>
    <t>Panama</t>
  </si>
  <si>
    <t>Paraguay</t>
  </si>
  <si>
    <t>Philippines</t>
  </si>
  <si>
    <t>Serbia</t>
  </si>
  <si>
    <t>South Africa</t>
  </si>
  <si>
    <t>Sri Lanka</t>
  </si>
  <si>
    <t>Syria</t>
  </si>
  <si>
    <t>Tajikistan</t>
  </si>
  <si>
    <t>Thailand</t>
  </si>
  <si>
    <t>Tunisia</t>
  </si>
  <si>
    <t>Turkmenistan</t>
  </si>
  <si>
    <t>Uruguay</t>
  </si>
  <si>
    <t>Uzbekistan</t>
  </si>
  <si>
    <t>Venezuela</t>
  </si>
  <si>
    <t>Vietnam</t>
  </si>
  <si>
    <t>Yemen</t>
  </si>
  <si>
    <t>P21</t>
  </si>
  <si>
    <t>P22</t>
  </si>
  <si>
    <t>P23</t>
  </si>
  <si>
    <t>P24</t>
  </si>
  <si>
    <t>P25</t>
  </si>
  <si>
    <t>P26</t>
  </si>
  <si>
    <t>P27</t>
  </si>
  <si>
    <t>P28</t>
  </si>
  <si>
    <t>P29</t>
  </si>
  <si>
    <t>P30</t>
  </si>
  <si>
    <t>P31</t>
  </si>
  <si>
    <t>P32</t>
  </si>
  <si>
    <t>P33</t>
  </si>
  <si>
    <t>P34</t>
  </si>
  <si>
    <t>P35</t>
  </si>
  <si>
    <t>P36</t>
  </si>
  <si>
    <t>P37</t>
  </si>
  <si>
    <t>P38</t>
  </si>
  <si>
    <t>P39</t>
  </si>
  <si>
    <t>P40</t>
  </si>
  <si>
    <t>TOTAL</t>
  </si>
  <si>
    <t>Total cost by category</t>
  </si>
  <si>
    <t>Work Package Number</t>
  </si>
  <si>
    <t>Duration</t>
  </si>
  <si>
    <t>Total number of days</t>
  </si>
  <si>
    <t>Language</t>
  </si>
  <si>
    <t>24 months</t>
  </si>
  <si>
    <t>36 months</t>
  </si>
  <si>
    <t>Duration to be completed</t>
  </si>
  <si>
    <t xml:space="preserve"> Alliances de la connaissance</t>
  </si>
  <si>
    <t>Langue</t>
  </si>
  <si>
    <t>Sprache</t>
  </si>
  <si>
    <t>Teacher/Trainer/Researcher</t>
  </si>
  <si>
    <t>Number of days</t>
  </si>
  <si>
    <t>Grant requested</t>
  </si>
  <si>
    <t>Part IV -</t>
  </si>
  <si>
    <t xml:space="preserve">Additional funding for mobility activities realised within an Alliance  </t>
  </si>
  <si>
    <t xml:space="preserve"> (OPTIONAL)</t>
  </si>
  <si>
    <t>Cost per participant</t>
  </si>
  <si>
    <t>Unit cost per participant</t>
  </si>
  <si>
    <t>Activity type</t>
  </si>
  <si>
    <t>Name</t>
  </si>
  <si>
    <t xml:space="preserve">Partner </t>
  </si>
  <si>
    <t>Partner</t>
  </si>
  <si>
    <t>Total Part III</t>
  </si>
  <si>
    <t>Total Part IV</t>
  </si>
  <si>
    <t>Select your country</t>
  </si>
  <si>
    <t>Unit cost per day</t>
  </si>
  <si>
    <t>Project title</t>
  </si>
  <si>
    <t>Project acronym</t>
  </si>
  <si>
    <t>Programme guide and instructions for applicants</t>
  </si>
  <si>
    <t>Travel costs</t>
  </si>
  <si>
    <t>Avant de compléter ce tableau merci de lire attentivement les instructions disponible à</t>
  </si>
  <si>
    <t>APPEL A PROPOSITION 2014 – EAC/S11/13 – Programme Erasmus+ (2013/C362/04)</t>
  </si>
  <si>
    <t>Guide du Programme et instructions pour les candidats</t>
  </si>
  <si>
    <t>Durée à compléter</t>
  </si>
  <si>
    <t>Durée</t>
  </si>
  <si>
    <t>24 mois</t>
  </si>
  <si>
    <t>36 mois</t>
  </si>
  <si>
    <t>Acronyme du projet</t>
  </si>
  <si>
    <t>Titre du projet</t>
  </si>
  <si>
    <t>Partie I – Chiffres consolidés</t>
  </si>
  <si>
    <t>Subvention de l'UE</t>
  </si>
  <si>
    <t>Soutien à la mise en œuvre du projet</t>
  </si>
  <si>
    <t>Frais de Personnel</t>
  </si>
  <si>
    <t>Activités de mobilité (Optionnel)</t>
  </si>
  <si>
    <t>Frais  de voyage</t>
  </si>
  <si>
    <t>Frais de séjour</t>
  </si>
  <si>
    <t>Messages d'alerte</t>
  </si>
  <si>
    <t>Partenaire</t>
  </si>
  <si>
    <t>Nom</t>
  </si>
  <si>
    <t>Pays</t>
  </si>
  <si>
    <t>Frais de personnel</t>
  </si>
  <si>
    <t>Frais de voyage</t>
  </si>
  <si>
    <t>Manager</t>
  </si>
  <si>
    <t>Professeur/Formateur/Chercheur</t>
  </si>
  <si>
    <t>Technicien</t>
  </si>
  <si>
    <t>Administratif</t>
  </si>
  <si>
    <t>Nombre de jours</t>
  </si>
  <si>
    <t>Coût unitaire par jour</t>
  </si>
  <si>
    <t>Coût total par catégorie</t>
  </si>
  <si>
    <t>Nombre total de jours</t>
  </si>
  <si>
    <t>Subvention demandée</t>
  </si>
  <si>
    <t>Total Partie III</t>
  </si>
  <si>
    <t>Partie IV -</t>
  </si>
  <si>
    <t>Financement supplémentaire pour des activités de mobilité réalisées au sein d'une Alliance</t>
  </si>
  <si>
    <t>(OPTION)</t>
  </si>
  <si>
    <t>Coût unitaire par participant</t>
  </si>
  <si>
    <t>Type d'activité</t>
  </si>
  <si>
    <t>Activités ciblant le personnel jusqu'au 14ème jour</t>
  </si>
  <si>
    <t>Activités ciblant le personnel entre le 15ème et le 60ème jour</t>
  </si>
  <si>
    <t>Activités ciblant les apprenants jusqu'au 14ème jour</t>
  </si>
  <si>
    <t>Activités ciblant les apprenants entre le 15ème et le 60ème jour</t>
  </si>
  <si>
    <t>Nombre de voyages (A/R entre lieu d'origine et la destination de l'activité)</t>
  </si>
  <si>
    <t>Frais par participant</t>
  </si>
  <si>
    <t>Numéro du lot de travail</t>
  </si>
  <si>
    <t>Total Partie IV</t>
  </si>
  <si>
    <t>Choisissez votre pays</t>
  </si>
  <si>
    <t xml:space="preserve"> Alliances sectorielles pour les compétences</t>
  </si>
  <si>
    <t>Wissensallianzen</t>
  </si>
  <si>
    <t xml:space="preserve">Allianzen für branchenspezifische Fertigkeiten </t>
  </si>
  <si>
    <t>Bevor Sie diese Tabelle ausfüllen, lesen Sie bitte sorgfältig die Hinweise verfügbar unter</t>
  </si>
  <si>
    <t>Aufforderung zur Einreichung von Vorschlägen 2014 - EAC/S11/13 - Erasmus+ Programm - (2013/C 362/04)</t>
  </si>
  <si>
    <t>Programmleitfaden und Hinweise für Antragsteller</t>
  </si>
  <si>
    <t>Aktion/Maßnahme</t>
  </si>
  <si>
    <t>Dauer (Anzahl der Monate)</t>
  </si>
  <si>
    <t>Anzugebene Dauer</t>
  </si>
  <si>
    <t>Dauer</t>
  </si>
  <si>
    <t>Projektakronym</t>
  </si>
  <si>
    <t>Projekttitel</t>
  </si>
  <si>
    <t>Teil I – Konsolidierte Zahlen</t>
  </si>
  <si>
    <t>Gesamt</t>
  </si>
  <si>
    <t>Unterstützung der Projektumsetzung</t>
  </si>
  <si>
    <t>Personalkosten</t>
  </si>
  <si>
    <t>Mobilitätsaktivitäten (fakultativ)</t>
  </si>
  <si>
    <t>Reisekosten</t>
  </si>
  <si>
    <t>Aufenthaltskosten</t>
  </si>
  <si>
    <t>Warnmeldung</t>
  </si>
  <si>
    <t>Land</t>
  </si>
  <si>
    <t>EU-Finanzhilfe</t>
  </si>
  <si>
    <t>Lehrende/r; Ausbildner/in; Forscher/in</t>
  </si>
  <si>
    <t>Techniker/in</t>
  </si>
  <si>
    <t>Verwaltungspersonal</t>
  </si>
  <si>
    <t>Anzahl der Tage</t>
  </si>
  <si>
    <t>Kosten pro Einheit pro Tag</t>
  </si>
  <si>
    <t>Gesamtkosten pro Kategorie</t>
  </si>
  <si>
    <t>Gesamte Anzahl der Tage</t>
  </si>
  <si>
    <t>Beantragte Finanzhilfe</t>
  </si>
  <si>
    <t>Gesamter Teil III</t>
  </si>
  <si>
    <t>Teil IV -</t>
  </si>
  <si>
    <t>Zusätzliche Finanzmittel für Mobilitätsaktivitäten innerhalb einer Allianz</t>
  </si>
  <si>
    <t>(fakultativ)</t>
  </si>
  <si>
    <t>Entfernung</t>
  </si>
  <si>
    <t>Kosten pro Einheit pro Teilnehmer</t>
  </si>
  <si>
    <t>Art der Aktivität</t>
  </si>
  <si>
    <t>Aktivitäten, die auf Personal bis zum 14.Tag abzielen</t>
  </si>
  <si>
    <t>Aktivitäten, die auf Personal zwischen dem 15. und 60.Tag abzielen</t>
  </si>
  <si>
    <t>Aktivitäten, die auf Lernende bis zum 14.Tag abzielen</t>
  </si>
  <si>
    <t>Aktivitäten, die auf Lernende zwischen dem 15. und 60.Tag abzielen</t>
  </si>
  <si>
    <t>Anzahl der Reisen (vom Ausgangsort zum Ort der Aktivität und zurück)</t>
  </si>
  <si>
    <t>Kosten pro Teilnehmer</t>
  </si>
  <si>
    <t>Arbeitspaket Nummer</t>
  </si>
  <si>
    <t>Gesamter Teil IV</t>
  </si>
  <si>
    <t>Wählen Sie Ihr Land aus</t>
  </si>
  <si>
    <t>Montant maximal de la subvention de l'UE pour un projet Alliance de 2 ans: 700.000EUR</t>
  </si>
  <si>
    <t>Montant maximal de la subvention de l'UE pour un projet Alliance de 3 ans: 1.000.000EUR</t>
  </si>
  <si>
    <t>Maximal gewährte EU- Finanzhilfe für eine 2-jährige: 700 000 EUR</t>
  </si>
  <si>
    <t>Maximal gewährte EU- Finanzhilfe für eine 3-jährige: 1 000 000 EUR</t>
  </si>
  <si>
    <t>Action to be selected</t>
  </si>
  <si>
    <t>Action a choisir</t>
  </si>
  <si>
    <t>Auszuwählende aktion</t>
  </si>
  <si>
    <t>Alliances de la connaissance</t>
  </si>
  <si>
    <t>Alliances sectorielles pour les competences</t>
  </si>
  <si>
    <t xml:space="preserve">Allianzen für branchenspezifische fertigkeiten </t>
  </si>
  <si>
    <t>months</t>
  </si>
  <si>
    <t>mois</t>
  </si>
  <si>
    <t>monate</t>
  </si>
  <si>
    <t>24 monate</t>
  </si>
  <si>
    <t>36 monate</t>
  </si>
  <si>
    <t>Number of travels 
(from their place of location to the venue of the activity and return)</t>
  </si>
  <si>
    <t>CALL FOR PROPOSAL 2015 - EAC/XXX/14 - Erasmus+ programme - (2014/C XXX/XX)</t>
  </si>
  <si>
    <t>Capacity building in the field of higher education</t>
  </si>
  <si>
    <t>A – EU Grant requested for the project activities</t>
  </si>
  <si>
    <t>B – Additional grant for mobility strand</t>
  </si>
  <si>
    <t>Nature, type and specifications of the item</t>
  </si>
  <si>
    <t>5. Subcontracting</t>
  </si>
  <si>
    <t>4. Equipment</t>
  </si>
  <si>
    <t>1. Staff costs</t>
  </si>
  <si>
    <t>2. Travel costs</t>
  </si>
  <si>
    <t>Distribution of grant by organisation</t>
  </si>
  <si>
    <t>Mobility strand</t>
  </si>
  <si>
    <t>Key Action 2: Cooperation for innovation and the exchange of good practices</t>
  </si>
  <si>
    <t>Joint Project</t>
  </si>
  <si>
    <t>Structural project</t>
  </si>
  <si>
    <t>3. Costs of stay</t>
  </si>
  <si>
    <t>Minimum EU contribution awarded :        500 000 EUR</t>
  </si>
  <si>
    <t>Maximum EU contribution awarded :           1 000 000 EUR</t>
  </si>
  <si>
    <t>Administrative</t>
  </si>
  <si>
    <t>Luxembourg</t>
  </si>
  <si>
    <t>Peru</t>
  </si>
  <si>
    <t>Burma/Myanmar</t>
  </si>
  <si>
    <t>Duration number of months</t>
  </si>
  <si>
    <t>Durée en nombre de mois</t>
  </si>
  <si>
    <t>LIST OF PARTNERS</t>
  </si>
  <si>
    <t>LISTE DES PARTENAIRES</t>
  </si>
  <si>
    <t>PARTNER LIST</t>
  </si>
  <si>
    <t>NAME OF PARTNER</t>
  </si>
  <si>
    <t>NOM DU PARTENAIRE</t>
  </si>
  <si>
    <t>COUNTRY</t>
  </si>
  <si>
    <t>PAYS</t>
  </si>
  <si>
    <t>LAND</t>
  </si>
  <si>
    <t>English</t>
  </si>
  <si>
    <t>Français</t>
  </si>
  <si>
    <t>Deutsch</t>
  </si>
  <si>
    <t>Equipment Costs</t>
  </si>
  <si>
    <t>Frais d'équipement</t>
  </si>
  <si>
    <t>P41</t>
  </si>
  <si>
    <t>P42</t>
  </si>
  <si>
    <t>P43</t>
  </si>
  <si>
    <t>P44</t>
  </si>
  <si>
    <t>P45</t>
  </si>
  <si>
    <t>P46</t>
  </si>
  <si>
    <t>P47</t>
  </si>
  <si>
    <t>P48</t>
  </si>
  <si>
    <t>P49</t>
  </si>
  <si>
    <t>P50</t>
  </si>
  <si>
    <t>x</t>
  </si>
  <si>
    <t>Distribution de la subvention par organisation</t>
  </si>
  <si>
    <t>Verteilung der Finanzhilfe nach Organisation</t>
  </si>
  <si>
    <t>Partner 
N°</t>
  </si>
  <si>
    <t>Name of Partner</t>
  </si>
  <si>
    <t>100 KM and 499 KM</t>
  </si>
  <si>
    <t>500 KM and 1999 KM</t>
  </si>
  <si>
    <t>2000 KM and 2999 KM</t>
  </si>
  <si>
    <t>8000 KM or more</t>
  </si>
  <si>
    <t>Slovakia</t>
  </si>
  <si>
    <t>3000 KM and 3999 KM</t>
  </si>
  <si>
    <t>4000 KM and 7999 KM</t>
  </si>
  <si>
    <t>Costs of Stay</t>
  </si>
  <si>
    <t>Travel Costs</t>
  </si>
  <si>
    <t>P13</t>
  </si>
  <si>
    <t>Staff Costs</t>
  </si>
  <si>
    <t>P51</t>
  </si>
  <si>
    <t>P52</t>
  </si>
  <si>
    <t>P53</t>
  </si>
  <si>
    <t>P54</t>
  </si>
  <si>
    <t>P55</t>
  </si>
  <si>
    <t>Work
Package</t>
  </si>
  <si>
    <t>Total 
(EUR)</t>
  </si>
  <si>
    <t>Total
(EUR)</t>
  </si>
  <si>
    <t>Amount
Excluding VAT
(EUR)</t>
  </si>
  <si>
    <t>1. Staff Costs</t>
  </si>
  <si>
    <t>Palestine</t>
  </si>
  <si>
    <t>Former Yugoslav Republic of Macedonia</t>
  </si>
  <si>
    <t>Kosovo</t>
  </si>
  <si>
    <t>Project Acronym</t>
  </si>
  <si>
    <t>Project Title</t>
  </si>
  <si>
    <t>Travel 
Costs
(EUR)</t>
  </si>
  <si>
    <t>Subsistence Mobility Strand</t>
  </si>
  <si>
    <t>Development</t>
  </si>
  <si>
    <t>Quality</t>
  </si>
  <si>
    <t>Preparation</t>
  </si>
  <si>
    <t>Management</t>
  </si>
  <si>
    <t>Dissemination/Exploitation</t>
  </si>
  <si>
    <t>Costs of
Stay
(EUR)</t>
  </si>
  <si>
    <t>PR/PA</t>
  </si>
  <si>
    <t>PA</t>
  </si>
  <si>
    <t>Countries</t>
  </si>
  <si>
    <t>Budget Breakdown by Workpackage / Budget Headings</t>
  </si>
  <si>
    <t>DISTRIBUTION OF THE GRANT BY ORGANISATION (in EUR)</t>
  </si>
  <si>
    <t>B. Additional Grant for Special Mobility Strand</t>
  </si>
  <si>
    <t>AT</t>
  </si>
  <si>
    <t>BE</t>
  </si>
  <si>
    <t>BG</t>
  </si>
  <si>
    <t>HR</t>
  </si>
  <si>
    <t>CY</t>
  </si>
  <si>
    <t>CZ</t>
  </si>
  <si>
    <t>DK</t>
  </si>
  <si>
    <t>EE</t>
  </si>
  <si>
    <t>FI</t>
  </si>
  <si>
    <t>FR</t>
  </si>
  <si>
    <t>DE</t>
  </si>
  <si>
    <t>EL</t>
  </si>
  <si>
    <t>HU</t>
  </si>
  <si>
    <t>IE</t>
  </si>
  <si>
    <t>IT</t>
  </si>
  <si>
    <t>LV</t>
  </si>
  <si>
    <t>LT</t>
  </si>
  <si>
    <t>LU</t>
  </si>
  <si>
    <t>MT</t>
  </si>
  <si>
    <t>NL</t>
  </si>
  <si>
    <t>PL</t>
  </si>
  <si>
    <t>PT</t>
  </si>
  <si>
    <t>RO</t>
  </si>
  <si>
    <t>SK</t>
  </si>
  <si>
    <t>SI</t>
  </si>
  <si>
    <t>ES</t>
  </si>
  <si>
    <t>SE</t>
  </si>
  <si>
    <t>UK</t>
  </si>
  <si>
    <t>MK</t>
  </si>
  <si>
    <t>IS</t>
  </si>
  <si>
    <t>LI</t>
  </si>
  <si>
    <t>NO</t>
  </si>
  <si>
    <t>TR</t>
  </si>
  <si>
    <t>AF</t>
  </si>
  <si>
    <t>AL</t>
  </si>
  <si>
    <t>DZ</t>
  </si>
  <si>
    <t>AR</t>
  </si>
  <si>
    <t>AM</t>
  </si>
  <si>
    <t>AZ</t>
  </si>
  <si>
    <t>BD</t>
  </si>
  <si>
    <t>BY</t>
  </si>
  <si>
    <t>BT</t>
  </si>
  <si>
    <t>BO</t>
  </si>
  <si>
    <t>BA</t>
  </si>
  <si>
    <t>BR</t>
  </si>
  <si>
    <t>KH</t>
  </si>
  <si>
    <t>CL</t>
  </si>
  <si>
    <t>CN</t>
  </si>
  <si>
    <t>CO</t>
  </si>
  <si>
    <t>CR</t>
  </si>
  <si>
    <t>CU</t>
  </si>
  <si>
    <t>EC</t>
  </si>
  <si>
    <t>EG</t>
  </si>
  <si>
    <t>SV</t>
  </si>
  <si>
    <t>GE</t>
  </si>
  <si>
    <t>GT</t>
  </si>
  <si>
    <t>HN</t>
  </si>
  <si>
    <t>IN</t>
  </si>
  <si>
    <t>ID</t>
  </si>
  <si>
    <t>IR</t>
  </si>
  <si>
    <t>IQ</t>
  </si>
  <si>
    <t>IL</t>
  </si>
  <si>
    <t>JO</t>
  </si>
  <si>
    <t>KZ</t>
  </si>
  <si>
    <t>KP</t>
  </si>
  <si>
    <t>XK</t>
  </si>
  <si>
    <t>KG</t>
  </si>
  <si>
    <t>LA</t>
  </si>
  <si>
    <t>LB</t>
  </si>
  <si>
    <t>LY</t>
  </si>
  <si>
    <t>MY</t>
  </si>
  <si>
    <t>MV</t>
  </si>
  <si>
    <t>MX</t>
  </si>
  <si>
    <t>MD</t>
  </si>
  <si>
    <t>MN</t>
  </si>
  <si>
    <t>ME</t>
  </si>
  <si>
    <t>MA</t>
  </si>
  <si>
    <t>MM</t>
  </si>
  <si>
    <t>NP</t>
  </si>
  <si>
    <t>NI</t>
  </si>
  <si>
    <t>PK</t>
  </si>
  <si>
    <t>PS</t>
  </si>
  <si>
    <t>PY</t>
  </si>
  <si>
    <t>PE</t>
  </si>
  <si>
    <t>PH</t>
  </si>
  <si>
    <t>RU</t>
  </si>
  <si>
    <t>RS</t>
  </si>
  <si>
    <t>ZA</t>
  </si>
  <si>
    <t>LK</t>
  </si>
  <si>
    <t>SY</t>
  </si>
  <si>
    <t>TJ</t>
  </si>
  <si>
    <t>TH</t>
  </si>
  <si>
    <t>TN</t>
  </si>
  <si>
    <t>TM</t>
  </si>
  <si>
    <t>UA</t>
  </si>
  <si>
    <t>Ukraine</t>
  </si>
  <si>
    <t>UY</t>
  </si>
  <si>
    <t>UZ</t>
  </si>
  <si>
    <t>VE</t>
  </si>
  <si>
    <t>VN</t>
  </si>
  <si>
    <t>YE</t>
  </si>
  <si>
    <t>Russia</t>
  </si>
  <si>
    <t>Iso Code</t>
  </si>
  <si>
    <t>Number of Days</t>
  </si>
  <si>
    <t>2-3. Travel Costs &amp; Costs of Stay</t>
  </si>
  <si>
    <t>Total (EUR)</t>
  </si>
  <si>
    <t>4. Equipment Costs</t>
  </si>
  <si>
    <t>5. Subcontracting Costs</t>
  </si>
  <si>
    <t>Subsistence Costs</t>
  </si>
  <si>
    <t>Total 
Costs</t>
  </si>
  <si>
    <t>Subsistence
Costs
(EUR)</t>
  </si>
  <si>
    <t>2. Travel Costs</t>
  </si>
  <si>
    <t>3. Costs of Stay</t>
  </si>
  <si>
    <t>Item*</t>
  </si>
  <si>
    <t>Source of Co-financing**</t>
  </si>
  <si>
    <t>Justification***</t>
  </si>
  <si>
    <t>1. Staff 
Costs</t>
  </si>
  <si>
    <t>2. Travel 
Costs</t>
  </si>
  <si>
    <t>3. Costs of 
Stay</t>
  </si>
  <si>
    <t>4. Equipment 
Costs</t>
  </si>
  <si>
    <t>5. Subcontracting 
Costs</t>
  </si>
  <si>
    <t>B. Special Mobility 
Strand</t>
  </si>
  <si>
    <t>A. Grant for Project Activities</t>
  </si>
  <si>
    <t>Total Grant requested from the European Union (A + B)</t>
  </si>
  <si>
    <t>Programme Countries</t>
  </si>
  <si>
    <t>Partner Countries</t>
  </si>
  <si>
    <t>Total Number 
of Days</t>
  </si>
  <si>
    <t>Information for the Co-financing</t>
  </si>
  <si>
    <t>3. Costs 
of Stay</t>
  </si>
  <si>
    <t>4. Equipment
Costs</t>
  </si>
  <si>
    <t>5. Subcontracting
Costs</t>
  </si>
  <si>
    <t>B. Special 
Mobility Strand</t>
  </si>
  <si>
    <t>Budget Breakdown by Programme or Partner Countries / Budget Headings</t>
  </si>
  <si>
    <t>Dissemination/
Exploitation</t>
  </si>
  <si>
    <t>Partner
N°</t>
  </si>
  <si>
    <t>Budget Breakdown by Partner / Work Package</t>
  </si>
  <si>
    <t>Category</t>
  </si>
  <si>
    <t>Students from Partner Countries</t>
  </si>
  <si>
    <t>Students from Programme Countries</t>
  </si>
  <si>
    <t>Number of 
days</t>
  </si>
  <si>
    <t>Number of 
months (per participant)</t>
  </si>
  <si>
    <t>Staff from Partner Countries</t>
  </si>
  <si>
    <t>Staff from Programme Countries</t>
  </si>
  <si>
    <t>Staff</t>
  </si>
  <si>
    <t>Number of 
days (per participant)</t>
  </si>
  <si>
    <t>Student</t>
  </si>
  <si>
    <t>Unit cost 
per day</t>
  </si>
  <si>
    <t>Travel Distance</t>
  </si>
  <si>
    <t>Number of 
Participants</t>
  </si>
  <si>
    <t>Receiving country</t>
  </si>
  <si>
    <t>Student/
Staff</t>
  </si>
  <si>
    <t>Number of 
Days</t>
  </si>
  <si>
    <t>Partner N°</t>
  </si>
  <si>
    <t>DPR Korea</t>
  </si>
  <si>
    <t>CALL FOR PROPOSALS 2015 – EAC/A04/2014 - Erasmus+ Programme</t>
  </si>
  <si>
    <t>Value cannot exceed 80% of total A</t>
  </si>
  <si>
    <t>Name of Partner
(to encode in overview sheet)</t>
  </si>
  <si>
    <t>Country
(to encode in overview sheet)</t>
  </si>
  <si>
    <t>Check
Data
Encoding</t>
  </si>
  <si>
    <t>* e.g.: Equipment,  Staff costs, travel costs and/or costs of stay, printing &amp; publishing</t>
  </si>
  <si>
    <t>** e.g.: governmental grant, organisation/institution's own resources</t>
  </si>
  <si>
    <t>*** e.g.: Preparation of training materials - 2 days x 7,5 hours x 3 persons x € 25</t>
  </si>
  <si>
    <t>EU GRANT REQUESTED FROM THE EUROPEAN UNION (in EUR)</t>
  </si>
  <si>
    <r>
      <rPr>
        <b/>
        <u/>
        <sz val="14"/>
        <rFont val="Arial Narrow"/>
        <family val="2"/>
      </rPr>
      <t>City</t>
    </r>
    <r>
      <rPr>
        <b/>
        <sz val="14"/>
        <rFont val="Arial Narrow"/>
        <family val="2"/>
      </rPr>
      <t xml:space="preserve"> of Departure</t>
    </r>
  </si>
  <si>
    <r>
      <rPr>
        <b/>
        <u/>
        <sz val="14"/>
        <rFont val="Arial Narrow"/>
        <family val="2"/>
      </rPr>
      <t>City</t>
    </r>
    <r>
      <rPr>
        <b/>
        <sz val="14"/>
        <rFont val="Arial Narrow"/>
        <family val="2"/>
      </rPr>
      <t xml:space="preserve"> of Destination</t>
    </r>
  </si>
  <si>
    <r>
      <rPr>
        <b/>
        <sz val="16"/>
        <color indexed="8"/>
        <rFont val="Calibri"/>
        <family val="2"/>
      </rPr>
      <t>UNIT COSTS AND SUMMARY OF THE FUNDING RULES FOR  JOINT AND STRUCTURAL CAPACITY BUILDING PROJECTS</t>
    </r>
    <r>
      <rPr>
        <b/>
        <sz val="12"/>
        <color indexed="8"/>
        <rFont val="Calibri"/>
        <family val="2"/>
      </rPr>
      <t xml:space="preserve">
You can find below the unit costs values used in this file for the calculation of the grant.
Please refer to the </t>
    </r>
    <r>
      <rPr>
        <b/>
        <i/>
        <sz val="12"/>
        <color indexed="8"/>
        <rFont val="Calibri"/>
        <family val="2"/>
      </rPr>
      <t>Erasmus+ Programme guide 2015*</t>
    </r>
    <r>
      <rPr>
        <b/>
        <sz val="12"/>
        <color indexed="8"/>
        <rFont val="Calibri"/>
        <family val="2"/>
      </rPr>
      <t xml:space="preserve"> for a complete overview of the funding rules applying to the Joint and Structural Capacity Building Projects ( i.e. in Part B from page 157 to page 165, and Annex 1 from page 287 to page 294).</t>
    </r>
  </si>
  <si>
    <t>A.1 Staff Costs</t>
  </si>
  <si>
    <t>A.2 &amp; B Travel Costs</t>
  </si>
  <si>
    <t>A. 3 Costs of Stay</t>
  </si>
  <si>
    <t>A.4 Equipment</t>
  </si>
  <si>
    <t>A.5 Subcontracting</t>
  </si>
  <si>
    <t>B - Special Mobility Strand</t>
  </si>
  <si>
    <r>
      <t xml:space="preserve">Unit costs
</t>
    </r>
    <r>
      <rPr>
        <b/>
        <sz val="11"/>
        <color indexed="8"/>
        <rFont val="Calibri"/>
        <family val="2"/>
      </rPr>
      <t xml:space="preserve">Contribution to the costs of staff performing tasks which are directly necessary to the achievements of the objectives of the project .
</t>
    </r>
    <r>
      <rPr>
        <b/>
        <sz val="11"/>
        <color indexed="8"/>
        <rFont val="Calibri"/>
        <family val="2"/>
      </rPr>
      <t>Conditional: applicants will have to justify the type and volume of resources needed in relation to the implementation of the proposed activities and outputs. The contribution is provided on the  condition that the salary for the same tasks is compensated only once.</t>
    </r>
  </si>
  <si>
    <t>Unit costs based on the travel distance per participant. 
Travel distances must be calculated using the distance calculator supported by the European Commission . 
The applicant must indicate the distance of a one-way travel to calculate the amount of the EU grant that will support the round trip</t>
  </si>
  <si>
    <r>
      <t xml:space="preserve">Costs for subsistence, accommodation, local and public transport such as bus and taxi, personal or optional health insurance.
Unit costs based on the duration of the stay of the participants:
</t>
    </r>
    <r>
      <rPr>
        <b/>
        <u/>
        <sz val="11"/>
        <color indexed="8"/>
        <rFont val="Calibri"/>
        <family val="2"/>
      </rPr>
      <t>Staff:</t>
    </r>
    <r>
      <rPr>
        <b/>
        <sz val="11"/>
        <color indexed="8"/>
        <rFont val="Calibri"/>
        <family val="2"/>
      </rPr>
      <t xml:space="preserve"> </t>
    </r>
    <r>
      <rPr>
        <b/>
        <sz val="11"/>
        <color indexed="60"/>
        <rFont val="Calibri"/>
        <family val="2"/>
      </rPr>
      <t>120 EUR / day</t>
    </r>
    <r>
      <rPr>
        <b/>
        <sz val="11"/>
        <color indexed="8"/>
        <rFont val="Calibri"/>
        <family val="2"/>
      </rPr>
      <t xml:space="preserve"> from day 1 to day 14 +</t>
    </r>
    <r>
      <rPr>
        <b/>
        <sz val="11"/>
        <color indexed="60"/>
        <rFont val="Calibri"/>
        <family val="2"/>
      </rPr>
      <t xml:space="preserve"> 70 EUR/ day</t>
    </r>
    <r>
      <rPr>
        <b/>
        <sz val="11"/>
        <color indexed="8"/>
        <rFont val="Calibri"/>
        <family val="2"/>
      </rPr>
      <t xml:space="preserve"> from day 15 to day 60 + </t>
    </r>
    <r>
      <rPr>
        <b/>
        <sz val="11"/>
        <color indexed="60"/>
        <rFont val="Calibri"/>
        <family val="2"/>
      </rPr>
      <t>50 EUR / day</t>
    </r>
    <r>
      <rPr>
        <b/>
        <sz val="11"/>
        <color indexed="8"/>
        <rFont val="Calibri"/>
        <family val="2"/>
      </rPr>
      <t xml:space="preserve">  between day 61 and up to 12 months.
</t>
    </r>
    <r>
      <rPr>
        <b/>
        <u/>
        <sz val="11"/>
        <rFont val="Calibri"/>
        <family val="2"/>
      </rPr>
      <t>Student:</t>
    </r>
    <r>
      <rPr>
        <b/>
        <sz val="11"/>
        <rFont val="Calibri"/>
        <family val="2"/>
      </rPr>
      <t xml:space="preserve"> </t>
    </r>
    <r>
      <rPr>
        <b/>
        <sz val="11"/>
        <color indexed="60"/>
        <rFont val="Calibri"/>
        <family val="2"/>
      </rPr>
      <t>55 EUR / day</t>
    </r>
    <r>
      <rPr>
        <b/>
        <sz val="11"/>
        <color indexed="8"/>
        <rFont val="Calibri"/>
        <family val="2"/>
      </rPr>
      <t xml:space="preserve"> from day 1 to day 14 + </t>
    </r>
    <r>
      <rPr>
        <b/>
        <sz val="11"/>
        <color indexed="60"/>
        <rFont val="Calibri"/>
        <family val="2"/>
      </rPr>
      <t>40 EUR/ day</t>
    </r>
    <r>
      <rPr>
        <b/>
        <sz val="11"/>
        <color indexed="8"/>
        <rFont val="Calibri"/>
        <family val="2"/>
      </rPr>
      <t xml:space="preserve"> from day 15 to day 60.</t>
    </r>
  </si>
  <si>
    <t>Contribution for the purchase of equipment necessary for the implementation of the project. Support is provided only for equipment purchased by HEIs in Partner Countries 
Conditional: the request for financial support to cover these costs must be motivated in the application form</t>
  </si>
  <si>
    <t>Support for sub-contracting costs that are necessary to the implementation of the project, including, in particular, costs for the compulsory financial audits (audit certificate) and for any external quality assurance procedure.
Sub-contracting for project-management-related tasks is not eligible.
Sub-contracting to external bodies should be very occasional. The specific competences and particular expertise needed to reach the project objectives should be found in the consortium and should determine its composition.</t>
  </si>
  <si>
    <r>
      <rPr>
        <b/>
        <u/>
        <sz val="11"/>
        <color indexed="8"/>
        <rFont val="Calibri"/>
        <family val="2"/>
      </rPr>
      <t>Travel costs (students and staff):</t>
    </r>
    <r>
      <rPr>
        <b/>
        <sz val="11"/>
        <color indexed="8"/>
        <rFont val="Calibri"/>
        <family val="2"/>
      </rPr>
      <t xml:space="preserve">  Unit costs (please refer to unit costs in table A2).
Contribution to the travel costs of students and staff involved in theMobilitu project, from their place of origin to the venue of the activity and return (including visa fee and related obligatory insurance, travel insurance and cancellation costs if justified).
Activities and related travels must be carried out in the countries involved in the project. Any exception to this rule must be authorised by the Agency.For the detailed list of eligible activities, see Annex I of this Guide.
</t>
    </r>
    <r>
      <rPr>
        <b/>
        <u/>
        <sz val="11"/>
        <color indexed="8"/>
        <rFont val="Calibri"/>
        <family val="2"/>
      </rPr>
      <t xml:space="preserve">Subsistence costs: </t>
    </r>
    <r>
      <rPr>
        <b/>
        <sz val="11"/>
        <color indexed="8"/>
        <rFont val="Calibri"/>
        <family val="2"/>
      </rPr>
      <t xml:space="preserve"> Unit costs based on the duration of the stay of the participants.
Costs for subsistence, accommodation, local and public transport such as bus and taxi, personal or optional health insurance. Based on the duration of the stay per participant.</t>
    </r>
  </si>
  <si>
    <t>Subsistence costs for Special Mobility Strand</t>
  </si>
  <si>
    <t>Real costs
Max. 30% of the total grant</t>
  </si>
  <si>
    <t>Real costs
Max. 10% of the total grant</t>
  </si>
  <si>
    <t>NA</t>
  </si>
  <si>
    <t xml:space="preserve">* Link to CBHE Call for proposal, forms, annexes and guidelines: </t>
  </si>
  <si>
    <t>https://eacea.ec.europa.eu/erasmus-plus/funding/key-action-2-capacity-building-in-field-higher-education-2015_en</t>
  </si>
  <si>
    <t>http://ec.europa.eu/programmes/erasmus-plus/documents/erasmus-plus-programme-guide_en.pdf</t>
  </si>
  <si>
    <t>B. Special Mobility Strand - Student</t>
  </si>
  <si>
    <t>B. Special Mobility Strand - Staff</t>
  </si>
  <si>
    <t xml:space="preserve">* Link to Erasmus+ Programme guide 2015: </t>
  </si>
  <si>
    <t>CENTRAL ASIAN NATIONAL AGENCIES FOR COORDINATION OF UNIVERSITY–EMPLOYERS INTERACTION</t>
  </si>
  <si>
    <t>CANAL</t>
  </si>
  <si>
    <t>University of Patras</t>
  </si>
  <si>
    <t>Koblenz-Landau University</t>
  </si>
  <si>
    <t>Tashkent State Technical University</t>
  </si>
  <si>
    <t>Kyrgyz State Technical University</t>
  </si>
  <si>
    <t>Osh Technological University</t>
  </si>
  <si>
    <t>Khujand State University</t>
  </si>
  <si>
    <t>Khorog State University</t>
  </si>
  <si>
    <t>Tajik Pedagogical University</t>
  </si>
  <si>
    <t>Al-Farabi Kazakhstan National University</t>
  </si>
  <si>
    <t>Patras</t>
  </si>
  <si>
    <t>Rome</t>
  </si>
  <si>
    <t>Koblenz</t>
  </si>
  <si>
    <t>Tashkent</t>
  </si>
  <si>
    <t>Almaty</t>
  </si>
  <si>
    <t>Khorog</t>
  </si>
  <si>
    <t>Khujand</t>
  </si>
  <si>
    <t>Osh</t>
  </si>
  <si>
    <t>Bishkek</t>
  </si>
  <si>
    <t>Dushanbe</t>
  </si>
  <si>
    <t>Astana</t>
  </si>
  <si>
    <t>Amsterdam</t>
  </si>
  <si>
    <t>5 computers for department for relation with employers</t>
  </si>
  <si>
    <t>Network equipment for departments</t>
  </si>
  <si>
    <t>Network equipment for Center</t>
  </si>
  <si>
    <t>1 multifunctional device</t>
  </si>
  <si>
    <t>Software</t>
  </si>
  <si>
    <t>Special software for  UENC Portal development, hosting and supporting</t>
  </si>
  <si>
    <t>Annual external review of project quality and implementation of activities</t>
  </si>
  <si>
    <t>1 multimedia projector</t>
  </si>
  <si>
    <t>Bath Spa University</t>
  </si>
  <si>
    <t>Bath</t>
  </si>
  <si>
    <t>National University of Uzbekistan</t>
  </si>
  <si>
    <t>Kazakhstan National Technical University</t>
  </si>
  <si>
    <t>Zhezhazgan</t>
  </si>
  <si>
    <t>Travel costs and costs of stay</t>
  </si>
  <si>
    <t>Institution's own resources</t>
  </si>
  <si>
    <t>Printing &amp; publising</t>
  </si>
  <si>
    <t>Portal guideline - 100 copies</t>
  </si>
  <si>
    <t>Equipment</t>
  </si>
  <si>
    <t>Office furnitures for UENC - 10 tables, 20 chairs, 5 cases,   office supplies</t>
  </si>
  <si>
    <t>4 computers for department for relation with employers</t>
  </si>
  <si>
    <t>12 computers for "Universities-Employers" National Center</t>
  </si>
  <si>
    <t>Bishkek Business Club</t>
  </si>
  <si>
    <t>Enterprise “Business Drilling”</t>
  </si>
  <si>
    <t>Wroclaw</t>
  </si>
  <si>
    <t>UENC guidelines - 200 copies</t>
  </si>
  <si>
    <t>Promotion materials for UAA - 1000 bulletins, 100 posters</t>
  </si>
  <si>
    <t>Promotion presentations of the project by UAA 5 days x 8 hours x 3 persons x € 20</t>
  </si>
  <si>
    <t>Conference in Almaty - 8 days x 2 persons x 1185 € per person</t>
  </si>
  <si>
    <t>Conference in Bishkek - 8 days x 2 persons x 1160 € per person</t>
  </si>
  <si>
    <t>Conference in Tashkent - 8 days x 2 persons x 1160 € per person</t>
  </si>
  <si>
    <t>Bishkek Academy of Finance and Economics</t>
  </si>
  <si>
    <t>Ministry of Education of Uzbekistan</t>
  </si>
  <si>
    <t>Center of development and support of VET education</t>
  </si>
  <si>
    <t>Ministry of Education of Kyrgyzstan</t>
  </si>
  <si>
    <t>Ministry of Education of Tajikistan</t>
  </si>
  <si>
    <t>Ministry of Education and Science of Kazakhstan</t>
  </si>
  <si>
    <t>KIMEP University, JSC</t>
  </si>
  <si>
    <t xml:space="preserve">Zhezkazgan Baikonurov University </t>
  </si>
  <si>
    <t xml:space="preserve">Altynsarin National Academy of Education </t>
  </si>
  <si>
    <t>Wroclaw Technical University</t>
  </si>
  <si>
    <t>The Network University</t>
  </si>
  <si>
    <t>Structural Project</t>
  </si>
</sst>
</file>

<file path=xl/styles.xml><?xml version="1.0" encoding="utf-8"?>
<styleSheet xmlns="http://schemas.openxmlformats.org/spreadsheetml/2006/main" xmlns:mc="http://schemas.openxmlformats.org/markup-compatibility/2006" xmlns:x14ac="http://schemas.microsoft.com/office/spreadsheetml/2009/9/ac" mc:Ignorable="x14ac">
  <numFmts count="4">
    <numFmt numFmtId="164" formatCode="_ * #,##0.00_ ;_ * \-#,##0.00_ ;_ * &quot;-&quot;??_ ;_ @_ "/>
    <numFmt numFmtId="165" formatCode="#,##0_ ;\-#,##0\ "/>
    <numFmt numFmtId="166" formatCode="#,##0.0_ ;\-#,##0.0\ "/>
    <numFmt numFmtId="167" formatCode="#,##0.00_ ;\-#,##0.00\ "/>
  </numFmts>
  <fonts count="35" x14ac:knownFonts="1">
    <font>
      <sz val="11"/>
      <color theme="1"/>
      <name val="Calibri"/>
      <family val="2"/>
      <scheme val="minor"/>
    </font>
    <font>
      <u/>
      <sz val="10"/>
      <color indexed="12"/>
      <name val="Arial"/>
      <family val="2"/>
    </font>
    <font>
      <sz val="11"/>
      <color theme="1"/>
      <name val="Calibri"/>
      <family val="2"/>
      <scheme val="minor"/>
    </font>
    <font>
      <sz val="11"/>
      <color rgb="FFFF0000"/>
      <name val="Calibri"/>
      <family val="2"/>
      <scheme val="minor"/>
    </font>
    <font>
      <b/>
      <sz val="14"/>
      <color theme="1"/>
      <name val="Calibri"/>
      <family val="2"/>
      <scheme val="minor"/>
    </font>
    <font>
      <sz val="10"/>
      <name val="Arial"/>
      <family val="2"/>
    </font>
    <font>
      <sz val="14"/>
      <name val="Arial Narrow"/>
      <family val="2"/>
    </font>
    <font>
      <b/>
      <sz val="14"/>
      <name val="Arial Narrow"/>
      <family val="2"/>
    </font>
    <font>
      <b/>
      <sz val="11"/>
      <color theme="1"/>
      <name val="Calibri"/>
      <family val="2"/>
      <scheme val="minor"/>
    </font>
    <font>
      <sz val="14"/>
      <color rgb="FFFF0000"/>
      <name val="Arial Narrow"/>
      <family val="2"/>
    </font>
    <font>
      <b/>
      <sz val="14"/>
      <color rgb="FFFF0000"/>
      <name val="Arial Narrow"/>
      <family val="2"/>
    </font>
    <font>
      <b/>
      <sz val="14"/>
      <color theme="1"/>
      <name val="Arial Narrow"/>
      <family val="2"/>
    </font>
    <font>
      <b/>
      <sz val="14"/>
      <color theme="0"/>
      <name val="Arial Narrow"/>
      <family val="2"/>
    </font>
    <font>
      <sz val="18"/>
      <name val="Arial Narrow"/>
      <family val="2"/>
    </font>
    <font>
      <b/>
      <sz val="18"/>
      <name val="Arial Narrow"/>
      <family val="2"/>
    </font>
    <font>
      <sz val="12"/>
      <name val="Arial Narrow"/>
      <family val="2"/>
    </font>
    <font>
      <b/>
      <sz val="14"/>
      <name val="Arial"/>
      <family val="2"/>
    </font>
    <font>
      <sz val="14"/>
      <name val="Arial"/>
      <family val="2"/>
    </font>
    <font>
      <b/>
      <u/>
      <sz val="14"/>
      <name val="Arial Narrow"/>
      <family val="2"/>
    </font>
    <font>
      <sz val="14"/>
      <color theme="1"/>
      <name val="Arial Narrow"/>
      <family val="2"/>
    </font>
    <font>
      <sz val="14"/>
      <color theme="0"/>
      <name val="Arial Narrow"/>
      <family val="2"/>
    </font>
    <font>
      <i/>
      <sz val="14"/>
      <name val="Arial Narrow"/>
      <family val="2"/>
    </font>
    <font>
      <b/>
      <sz val="12"/>
      <color theme="1"/>
      <name val="Calibri"/>
      <family val="2"/>
      <scheme val="minor"/>
    </font>
    <font>
      <b/>
      <sz val="16"/>
      <color indexed="8"/>
      <name val="Calibri"/>
      <family val="2"/>
    </font>
    <font>
      <b/>
      <sz val="12"/>
      <color indexed="8"/>
      <name val="Calibri"/>
      <family val="2"/>
    </font>
    <font>
      <b/>
      <i/>
      <sz val="12"/>
      <color indexed="8"/>
      <name val="Calibri"/>
      <family val="2"/>
    </font>
    <font>
      <b/>
      <sz val="11"/>
      <color indexed="8"/>
      <name val="Calibri"/>
      <family val="2"/>
    </font>
    <font>
      <u/>
      <sz val="11"/>
      <color theme="10"/>
      <name val="Calibri"/>
      <family val="2"/>
      <scheme val="minor"/>
    </font>
    <font>
      <sz val="14"/>
      <color theme="1"/>
      <name val="Calibri"/>
      <family val="2"/>
      <scheme val="minor"/>
    </font>
    <font>
      <b/>
      <u/>
      <sz val="11"/>
      <color indexed="8"/>
      <name val="Calibri"/>
      <family val="2"/>
    </font>
    <font>
      <b/>
      <sz val="11"/>
      <color indexed="60"/>
      <name val="Calibri"/>
      <family val="2"/>
    </font>
    <font>
      <b/>
      <u/>
      <sz val="11"/>
      <name val="Calibri"/>
      <family val="2"/>
    </font>
    <font>
      <b/>
      <sz val="11"/>
      <name val="Calibri"/>
      <family val="2"/>
    </font>
    <font>
      <b/>
      <sz val="10"/>
      <color indexed="8"/>
      <name val="Calibri"/>
      <family val="2"/>
    </font>
    <font>
      <b/>
      <sz val="11"/>
      <color rgb="FFFF0000"/>
      <name val="Calibri"/>
      <family val="2"/>
      <charset val="204"/>
    </font>
  </fonts>
  <fills count="12">
    <fill>
      <patternFill patternType="none"/>
    </fill>
    <fill>
      <patternFill patternType="gray125"/>
    </fill>
    <fill>
      <patternFill patternType="solid">
        <fgColor theme="6" tint="0.79998168889431442"/>
        <bgColor indexed="64"/>
      </patternFill>
    </fill>
    <fill>
      <patternFill patternType="solid">
        <fgColor theme="0" tint="-0.14999847407452621"/>
        <bgColor indexed="64"/>
      </patternFill>
    </fill>
    <fill>
      <patternFill patternType="solid">
        <fgColor theme="0" tint="-0.249977111117893"/>
        <bgColor indexed="64"/>
      </patternFill>
    </fill>
    <fill>
      <patternFill patternType="solid">
        <fgColor theme="4" tint="0.59999389629810485"/>
        <bgColor indexed="64"/>
      </patternFill>
    </fill>
    <fill>
      <patternFill patternType="solid">
        <fgColor theme="5" tint="0.79998168889431442"/>
        <bgColor indexed="64"/>
      </patternFill>
    </fill>
    <fill>
      <patternFill patternType="solid">
        <fgColor rgb="FFFFFF00"/>
        <bgColor indexed="64"/>
      </patternFill>
    </fill>
    <fill>
      <patternFill patternType="solid">
        <fgColor rgb="FFFFFFCC"/>
        <bgColor indexed="64"/>
      </patternFill>
    </fill>
    <fill>
      <patternFill patternType="solid">
        <fgColor theme="7" tint="0.79998168889431442"/>
        <bgColor indexed="64"/>
      </patternFill>
    </fill>
    <fill>
      <patternFill patternType="solid">
        <fgColor theme="9" tint="0.79998168889431442"/>
        <bgColor indexed="64"/>
      </patternFill>
    </fill>
    <fill>
      <patternFill patternType="solid">
        <fgColor theme="8" tint="0.79998168889431442"/>
        <bgColor indexed="64"/>
      </patternFill>
    </fill>
  </fills>
  <borders count="24">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medium">
        <color indexed="64"/>
      </right>
      <top style="thin">
        <color indexed="64"/>
      </top>
      <bottom style="thin">
        <color indexed="64"/>
      </bottom>
      <diagonal/>
    </border>
    <border>
      <left style="medium">
        <color indexed="64"/>
      </left>
      <right style="medium">
        <color indexed="64"/>
      </right>
      <top style="medium">
        <color indexed="64"/>
      </top>
      <bottom style="medium">
        <color indexed="64"/>
      </bottom>
      <diagonal/>
    </border>
    <border>
      <left/>
      <right style="medium">
        <color indexed="64"/>
      </right>
      <top style="medium">
        <color indexed="64"/>
      </top>
      <bottom style="medium">
        <color indexed="64"/>
      </bottom>
      <diagonal/>
    </border>
    <border>
      <left/>
      <right style="medium">
        <color indexed="64"/>
      </right>
      <top/>
      <bottom style="thin">
        <color indexed="64"/>
      </bottom>
      <diagonal/>
    </border>
    <border>
      <left style="thin">
        <color indexed="64"/>
      </left>
      <right/>
      <top/>
      <bottom style="thin">
        <color indexed="64"/>
      </bottom>
      <diagonal/>
    </border>
    <border>
      <left/>
      <right style="medium">
        <color indexed="64"/>
      </right>
      <top style="thin">
        <color indexed="64"/>
      </top>
      <bottom style="medium">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bottom style="thin">
        <color indexed="64"/>
      </bottom>
      <diagonal/>
    </border>
    <border>
      <left style="medium">
        <color indexed="64"/>
      </left>
      <right style="medium">
        <color indexed="64"/>
      </right>
      <top style="thin">
        <color indexed="64"/>
      </top>
      <bottom style="medium">
        <color indexed="64"/>
      </bottom>
      <diagonal/>
    </border>
    <border>
      <left style="thin">
        <color indexed="64"/>
      </left>
      <right/>
      <top style="thin">
        <color indexed="64"/>
      </top>
      <bottom/>
      <diagonal/>
    </border>
    <border>
      <left style="thin">
        <color indexed="64"/>
      </left>
      <right/>
      <top/>
      <bottom/>
      <diagonal/>
    </border>
    <border>
      <left/>
      <right/>
      <top/>
      <bottom style="thin">
        <color indexed="64"/>
      </bottom>
      <diagonal/>
    </border>
    <border>
      <left/>
      <right style="thin">
        <color indexed="64"/>
      </right>
      <top/>
      <bottom style="thin">
        <color indexed="64"/>
      </bottom>
      <diagonal/>
    </border>
    <border>
      <left/>
      <right style="thin">
        <color indexed="64"/>
      </right>
      <top style="thin">
        <color indexed="64"/>
      </top>
      <bottom/>
      <diagonal/>
    </border>
    <border>
      <left/>
      <right style="thin">
        <color indexed="64"/>
      </right>
      <top/>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right/>
      <top style="thin">
        <color indexed="64"/>
      </top>
      <bottom/>
      <diagonal/>
    </border>
  </borders>
  <cellStyleXfs count="5">
    <xf numFmtId="0" fontId="0" fillId="0" borderId="0"/>
    <xf numFmtId="164" fontId="2" fillId="0" borderId="0" applyFont="0" applyFill="0" applyBorder="0" applyAlignment="0" applyProtection="0"/>
    <xf numFmtId="0" fontId="1" fillId="0" borderId="0" applyNumberFormat="0" applyFill="0" applyBorder="0" applyAlignment="0" applyProtection="0">
      <alignment vertical="top"/>
      <protection locked="0"/>
    </xf>
    <xf numFmtId="0" fontId="5" fillId="0" borderId="0"/>
    <xf numFmtId="0" fontId="27" fillId="0" borderId="0" applyNumberFormat="0" applyFill="0" applyBorder="0" applyAlignment="0" applyProtection="0"/>
  </cellStyleXfs>
  <cellXfs count="234">
    <xf numFmtId="0" fontId="0" fillId="0" borderId="0" xfId="0"/>
    <xf numFmtId="0" fontId="4" fillId="6" borderId="4" xfId="0" applyFont="1" applyFill="1" applyBorder="1" applyAlignment="1" applyProtection="1">
      <alignment horizontal="center" vertical="center" wrapText="1"/>
      <protection locked="0"/>
    </xf>
    <xf numFmtId="0" fontId="0" fillId="6" borderId="10" xfId="0" applyFill="1" applyBorder="1" applyAlignment="1" applyProtection="1">
      <alignment wrapText="1"/>
      <protection locked="0"/>
    </xf>
    <xf numFmtId="0" fontId="0" fillId="6" borderId="9" xfId="0" applyFill="1" applyBorder="1" applyAlignment="1" applyProtection="1">
      <alignment wrapText="1"/>
      <protection locked="0"/>
    </xf>
    <xf numFmtId="0" fontId="3" fillId="6" borderId="9" xfId="0" applyFont="1" applyFill="1" applyBorder="1" applyAlignment="1" applyProtection="1">
      <alignment wrapText="1"/>
      <protection locked="0"/>
    </xf>
    <xf numFmtId="0" fontId="0" fillId="6" borderId="11" xfId="0" applyFill="1" applyBorder="1" applyAlignment="1" applyProtection="1">
      <alignment wrapText="1"/>
      <protection locked="0"/>
    </xf>
    <xf numFmtId="0" fontId="4" fillId="2" borderId="4" xfId="0" applyFont="1" applyFill="1" applyBorder="1" applyAlignment="1" applyProtection="1">
      <alignment horizontal="center" vertical="center" wrapText="1"/>
      <protection locked="0"/>
    </xf>
    <xf numFmtId="0" fontId="0" fillId="2" borderId="10" xfId="0" applyFill="1" applyBorder="1" applyAlignment="1" applyProtection="1">
      <alignment wrapText="1"/>
      <protection locked="0"/>
    </xf>
    <xf numFmtId="0" fontId="0" fillId="2" borderId="9" xfId="0" applyFill="1" applyBorder="1" applyAlignment="1" applyProtection="1">
      <alignment wrapText="1"/>
      <protection locked="0"/>
    </xf>
    <xf numFmtId="0" fontId="3" fillId="2" borderId="9" xfId="0" applyFont="1" applyFill="1" applyBorder="1" applyAlignment="1" applyProtection="1">
      <alignment wrapText="1"/>
      <protection locked="0"/>
    </xf>
    <xf numFmtId="0" fontId="0" fillId="2" borderId="11" xfId="0" applyFill="1" applyBorder="1" applyAlignment="1" applyProtection="1">
      <alignment wrapText="1"/>
      <protection locked="0"/>
    </xf>
    <xf numFmtId="0" fontId="4" fillId="5" borderId="5" xfId="0" applyFont="1" applyFill="1" applyBorder="1" applyAlignment="1" applyProtection="1">
      <alignment horizontal="center" vertical="center" wrapText="1"/>
      <protection locked="0"/>
    </xf>
    <xf numFmtId="0" fontId="0" fillId="5" borderId="6" xfId="0" applyFill="1" applyBorder="1" applyAlignment="1" applyProtection="1">
      <alignment wrapText="1"/>
      <protection locked="0"/>
    </xf>
    <xf numFmtId="0" fontId="0" fillId="5" borderId="3" xfId="0" applyFill="1" applyBorder="1" applyAlignment="1" applyProtection="1">
      <alignment wrapText="1"/>
      <protection locked="0"/>
    </xf>
    <xf numFmtId="0" fontId="3" fillId="5" borderId="3" xfId="0" applyFont="1" applyFill="1" applyBorder="1" applyAlignment="1" applyProtection="1">
      <alignment wrapText="1"/>
      <protection locked="0"/>
    </xf>
    <xf numFmtId="0" fontId="0" fillId="5" borderId="8" xfId="0" applyFill="1" applyBorder="1" applyAlignment="1" applyProtection="1">
      <alignment wrapText="1"/>
      <protection locked="0"/>
    </xf>
    <xf numFmtId="0" fontId="0" fillId="0" borderId="0" xfId="0" applyFont="1" applyProtection="1"/>
    <xf numFmtId="0" fontId="8" fillId="3" borderId="1" xfId="0" applyFont="1" applyFill="1" applyBorder="1" applyAlignment="1" applyProtection="1">
      <alignment horizontal="center" vertical="center"/>
    </xf>
    <xf numFmtId="0" fontId="8" fillId="3" borderId="1" xfId="0" applyFont="1" applyFill="1" applyBorder="1" applyAlignment="1" applyProtection="1">
      <alignment horizontal="center" vertical="center" wrapText="1"/>
    </xf>
    <xf numFmtId="0" fontId="0" fillId="0" borderId="1" xfId="0" applyFont="1" applyBorder="1" applyProtection="1"/>
    <xf numFmtId="4" fontId="0" fillId="0" borderId="1" xfId="0" applyNumberFormat="1" applyFont="1" applyBorder="1" applyProtection="1"/>
    <xf numFmtId="0" fontId="0" fillId="0" borderId="1" xfId="0" applyFont="1" applyBorder="1" applyAlignment="1" applyProtection="1">
      <alignment horizontal="left" vertical="center"/>
    </xf>
    <xf numFmtId="4" fontId="0" fillId="0" borderId="1" xfId="0" applyNumberFormat="1" applyFont="1" applyBorder="1" applyAlignment="1" applyProtection="1">
      <alignment horizontal="right" vertical="center"/>
    </xf>
    <xf numFmtId="4" fontId="0" fillId="0" borderId="1" xfId="0" applyNumberFormat="1" applyBorder="1" applyAlignment="1" applyProtection="1">
      <alignment vertical="center"/>
    </xf>
    <xf numFmtId="4" fontId="0" fillId="0" borderId="1" xfId="0" applyNumberFormat="1" applyBorder="1" applyAlignment="1" applyProtection="1">
      <alignment horizontal="right" vertical="center"/>
    </xf>
    <xf numFmtId="0" fontId="8" fillId="3" borderId="1" xfId="0" applyNumberFormat="1" applyFont="1" applyFill="1" applyBorder="1" applyAlignment="1" applyProtection="1">
      <alignment horizontal="center" vertical="center" wrapText="1"/>
    </xf>
    <xf numFmtId="0" fontId="0" fillId="0" borderId="0" xfId="0" applyFont="1" applyBorder="1" applyProtection="1"/>
    <xf numFmtId="0" fontId="0" fillId="0" borderId="13" xfId="0" applyFont="1" applyBorder="1" applyProtection="1"/>
    <xf numFmtId="0" fontId="0" fillId="0" borderId="17" xfId="0" applyFont="1" applyBorder="1" applyProtection="1"/>
    <xf numFmtId="0" fontId="0" fillId="0" borderId="0" xfId="0" applyFont="1" applyFill="1" applyBorder="1" applyProtection="1"/>
    <xf numFmtId="1" fontId="0" fillId="0" borderId="0" xfId="0" applyNumberFormat="1" applyFont="1" applyProtection="1"/>
    <xf numFmtId="1" fontId="0" fillId="0" borderId="1" xfId="0" applyNumberFormat="1" applyFont="1" applyFill="1" applyBorder="1" applyAlignment="1" applyProtection="1">
      <alignment horizontal="center" vertical="center"/>
    </xf>
    <xf numFmtId="1" fontId="0" fillId="0" borderId="13" xfId="0" applyNumberFormat="1" applyFont="1" applyBorder="1" applyProtection="1"/>
    <xf numFmtId="0" fontId="0" fillId="0" borderId="0" xfId="0" applyProtection="1"/>
    <xf numFmtId="4" fontId="0" fillId="0" borderId="0" xfId="0" applyNumberFormat="1" applyFont="1" applyFill="1" applyBorder="1" applyProtection="1"/>
    <xf numFmtId="0" fontId="7" fillId="3" borderId="1" xfId="0" applyFont="1" applyFill="1" applyBorder="1" applyAlignment="1" applyProtection="1">
      <alignment horizontal="center" vertical="center"/>
      <protection hidden="1"/>
    </xf>
    <xf numFmtId="0" fontId="6" fillId="0" borderId="0" xfId="0" applyFont="1" applyFill="1" applyBorder="1" applyAlignment="1" applyProtection="1"/>
    <xf numFmtId="0" fontId="6" fillId="0" borderId="0" xfId="0" applyFont="1" applyFill="1" applyBorder="1" applyAlignment="1" applyProtection="1">
      <alignment horizontal="left"/>
    </xf>
    <xf numFmtId="0" fontId="9" fillId="0" borderId="0" xfId="0" applyFont="1" applyFill="1" applyBorder="1" applyAlignment="1" applyProtection="1">
      <alignment vertical="center"/>
    </xf>
    <xf numFmtId="0" fontId="6" fillId="0" borderId="0" xfId="0" applyFont="1" applyBorder="1" applyAlignment="1" applyProtection="1">
      <protection hidden="1"/>
    </xf>
    <xf numFmtId="0" fontId="6" fillId="0" borderId="0" xfId="0" applyFont="1" applyAlignment="1" applyProtection="1">
      <protection hidden="1"/>
    </xf>
    <xf numFmtId="0" fontId="6" fillId="0" borderId="0" xfId="0" applyFont="1" applyAlignment="1" applyProtection="1"/>
    <xf numFmtId="0" fontId="7" fillId="0" borderId="0" xfId="0" applyFont="1" applyBorder="1" applyAlignment="1" applyProtection="1">
      <alignment horizontal="left" vertical="center"/>
      <protection hidden="1"/>
    </xf>
    <xf numFmtId="0" fontId="7" fillId="0" borderId="0" xfId="0" applyFont="1" applyAlignment="1" applyProtection="1">
      <protection hidden="1"/>
    </xf>
    <xf numFmtId="0" fontId="7" fillId="0" borderId="0" xfId="0" applyFont="1" applyBorder="1" applyAlignment="1" applyProtection="1">
      <protection hidden="1"/>
    </xf>
    <xf numFmtId="0" fontId="6" fillId="0" borderId="0" xfId="0" applyFont="1" applyBorder="1" applyAlignment="1" applyProtection="1">
      <alignment horizontal="center"/>
      <protection hidden="1"/>
    </xf>
    <xf numFmtId="0" fontId="7" fillId="5" borderId="1" xfId="0" applyFont="1" applyFill="1" applyBorder="1" applyAlignment="1" applyProtection="1">
      <alignment horizontal="center" vertical="center"/>
      <protection locked="0"/>
    </xf>
    <xf numFmtId="0" fontId="6" fillId="0" borderId="0" xfId="0" applyFont="1" applyFill="1" applyAlignment="1" applyProtection="1">
      <protection hidden="1"/>
    </xf>
    <xf numFmtId="167" fontId="7" fillId="0" borderId="1" xfId="0" applyNumberFormat="1" applyFont="1" applyBorder="1" applyAlignment="1" applyProtection="1">
      <alignment horizontal="right" vertical="center"/>
      <protection hidden="1"/>
    </xf>
    <xf numFmtId="167" fontId="7" fillId="3" borderId="1" xfId="0" applyNumberFormat="1" applyFont="1" applyFill="1" applyBorder="1" applyAlignment="1" applyProtection="1">
      <alignment horizontal="right" vertical="center"/>
      <protection hidden="1"/>
    </xf>
    <xf numFmtId="0" fontId="7" fillId="0" borderId="0" xfId="0" applyFont="1" applyFill="1" applyBorder="1" applyAlignment="1" applyProtection="1">
      <alignment horizontal="left" vertical="center"/>
      <protection hidden="1"/>
    </xf>
    <xf numFmtId="164" fontId="7" fillId="0" borderId="0" xfId="0" applyNumberFormat="1" applyFont="1" applyFill="1" applyBorder="1" applyAlignment="1" applyProtection="1">
      <alignment horizontal="right" vertical="center"/>
      <protection hidden="1"/>
    </xf>
    <xf numFmtId="0" fontId="12" fillId="0" borderId="0" xfId="0" applyNumberFormat="1" applyFont="1" applyFill="1" applyBorder="1" applyAlignment="1" applyProtection="1">
      <alignment horizontal="left" vertical="center"/>
      <protection hidden="1"/>
    </xf>
    <xf numFmtId="4" fontId="11" fillId="0" borderId="0" xfId="0" applyNumberFormat="1" applyFont="1" applyFill="1" applyBorder="1" applyAlignment="1" applyProtection="1">
      <alignment horizontal="left" vertical="center"/>
      <protection hidden="1"/>
    </xf>
    <xf numFmtId="4" fontId="11" fillId="0" borderId="0" xfId="0" applyNumberFormat="1" applyFont="1" applyFill="1" applyBorder="1" applyAlignment="1" applyProtection="1">
      <alignment horizontal="center" vertical="center"/>
      <protection hidden="1"/>
    </xf>
    <xf numFmtId="0" fontId="7" fillId="3" borderId="1" xfId="0" applyFont="1" applyFill="1" applyBorder="1" applyAlignment="1" applyProtection="1">
      <alignment horizontal="center" vertical="center" wrapText="1"/>
      <protection hidden="1"/>
    </xf>
    <xf numFmtId="3" fontId="7" fillId="3" borderId="1" xfId="0" applyNumberFormat="1" applyFont="1" applyFill="1" applyBorder="1" applyAlignment="1" applyProtection="1">
      <alignment horizontal="center" vertical="center"/>
      <protection hidden="1"/>
    </xf>
    <xf numFmtId="3" fontId="7" fillId="3" borderId="1" xfId="0" applyNumberFormat="1" applyFont="1" applyFill="1" applyBorder="1" applyAlignment="1" applyProtection="1">
      <alignment horizontal="center" vertical="center" wrapText="1"/>
      <protection hidden="1"/>
    </xf>
    <xf numFmtId="3" fontId="7" fillId="7" borderId="1" xfId="0" applyNumberFormat="1" applyFont="1" applyFill="1" applyBorder="1" applyAlignment="1" applyProtection="1">
      <alignment horizontal="center" vertical="center" wrapText="1"/>
      <protection hidden="1"/>
    </xf>
    <xf numFmtId="0" fontId="11" fillId="3" borderId="1" xfId="0" applyFont="1" applyFill="1" applyBorder="1" applyAlignment="1" applyProtection="1">
      <alignment horizontal="center" vertical="center" wrapText="1"/>
    </xf>
    <xf numFmtId="0" fontId="6" fillId="5" borderId="1" xfId="0" applyNumberFormat="1" applyFont="1" applyFill="1" applyBorder="1" applyAlignment="1" applyProtection="1">
      <alignment horizontal="left" vertical="center"/>
      <protection locked="0"/>
    </xf>
    <xf numFmtId="0" fontId="6" fillId="0" borderId="1" xfId="0" applyNumberFormat="1" applyFont="1" applyFill="1" applyBorder="1" applyAlignment="1" applyProtection="1">
      <alignment horizontal="left" vertical="center"/>
    </xf>
    <xf numFmtId="164" fontId="6" fillId="0" borderId="1" xfId="1" applyNumberFormat="1" applyFont="1" applyFill="1" applyBorder="1" applyAlignment="1" applyProtection="1">
      <alignment horizontal="right" vertical="center"/>
      <protection hidden="1"/>
    </xf>
    <xf numFmtId="164" fontId="6" fillId="7" borderId="1" xfId="1" applyNumberFormat="1" applyFont="1" applyFill="1" applyBorder="1" applyAlignment="1" applyProtection="1">
      <alignment horizontal="right" vertical="center"/>
      <protection hidden="1"/>
    </xf>
    <xf numFmtId="164" fontId="7" fillId="3" borderId="1" xfId="1" applyNumberFormat="1" applyFont="1" applyFill="1" applyBorder="1" applyAlignment="1" applyProtection="1">
      <alignment horizontal="right" vertical="center"/>
      <protection hidden="1"/>
    </xf>
    <xf numFmtId="0" fontId="6" fillId="5" borderId="1" xfId="0" applyNumberFormat="1" applyFont="1" applyFill="1" applyBorder="1" applyAlignment="1" applyProtection="1">
      <alignment horizontal="left" vertical="center" wrapText="1"/>
      <protection locked="0"/>
    </xf>
    <xf numFmtId="0" fontId="6" fillId="5" borderId="1" xfId="0" applyNumberFormat="1" applyFont="1" applyFill="1" applyBorder="1" applyAlignment="1" applyProtection="1">
      <alignment horizontal="center" vertical="center"/>
      <protection locked="0"/>
    </xf>
    <xf numFmtId="0" fontId="7" fillId="0" borderId="0" xfId="0" applyFont="1" applyFill="1" applyBorder="1" applyAlignment="1" applyProtection="1"/>
    <xf numFmtId="0" fontId="7" fillId="0" borderId="7" xfId="0" applyFont="1" applyFill="1" applyBorder="1" applyAlignment="1" applyProtection="1"/>
    <xf numFmtId="0" fontId="7" fillId="0" borderId="14" xfId="0" applyFont="1" applyFill="1" applyBorder="1" applyAlignment="1" applyProtection="1"/>
    <xf numFmtId="10" fontId="7" fillId="0" borderId="14" xfId="0" applyNumberFormat="1" applyFont="1" applyFill="1" applyBorder="1" applyAlignment="1" applyProtection="1">
      <alignment horizontal="center" vertical="center"/>
      <protection hidden="1"/>
    </xf>
    <xf numFmtId="10" fontId="7" fillId="0" borderId="15" xfId="0" applyNumberFormat="1" applyFont="1" applyFill="1" applyBorder="1" applyAlignment="1" applyProtection="1">
      <alignment horizontal="center" vertical="center"/>
      <protection hidden="1"/>
    </xf>
    <xf numFmtId="0" fontId="7" fillId="0" borderId="0" xfId="0" applyFont="1" applyFill="1" applyBorder="1" applyAlignment="1" applyProtection="1">
      <alignment horizontal="center"/>
    </xf>
    <xf numFmtId="0" fontId="7" fillId="0" borderId="1" xfId="0" applyNumberFormat="1" applyFont="1" applyFill="1" applyBorder="1" applyAlignment="1" applyProtection="1">
      <alignment horizontal="left" vertical="center"/>
    </xf>
    <xf numFmtId="164" fontId="6" fillId="0" borderId="1" xfId="0" applyNumberFormat="1" applyFont="1" applyFill="1" applyBorder="1" applyAlignment="1" applyProtection="1">
      <alignment horizontal="right" vertical="center"/>
      <protection hidden="1"/>
    </xf>
    <xf numFmtId="164" fontId="6" fillId="0" borderId="1" xfId="0" applyNumberFormat="1" applyFont="1" applyFill="1" applyBorder="1" applyAlignment="1" applyProtection="1">
      <alignment horizontal="right" vertical="center"/>
    </xf>
    <xf numFmtId="164" fontId="7" fillId="3" borderId="1" xfId="0" applyNumberFormat="1" applyFont="1" applyFill="1" applyBorder="1" applyAlignment="1" applyProtection="1">
      <alignment horizontal="right" vertical="center"/>
    </xf>
    <xf numFmtId="3" fontId="7" fillId="3" borderId="1" xfId="0" applyNumberFormat="1" applyFont="1" applyFill="1" applyBorder="1" applyAlignment="1" applyProtection="1">
      <alignment horizontal="right" vertical="center"/>
      <protection hidden="1"/>
    </xf>
    <xf numFmtId="164" fontId="7" fillId="7" borderId="1" xfId="0" applyNumberFormat="1" applyFont="1" applyFill="1" applyBorder="1" applyAlignment="1" applyProtection="1">
      <alignment horizontal="right" vertical="center"/>
    </xf>
    <xf numFmtId="0" fontId="6" fillId="0" borderId="7" xfId="0" applyFont="1" applyFill="1" applyBorder="1" applyAlignment="1" applyProtection="1"/>
    <xf numFmtId="0" fontId="6" fillId="0" borderId="14" xfId="0" applyFont="1" applyFill="1" applyBorder="1" applyAlignment="1" applyProtection="1"/>
    <xf numFmtId="0" fontId="6" fillId="0" borderId="15" xfId="0" applyFont="1" applyFill="1" applyBorder="1" applyAlignment="1" applyProtection="1"/>
    <xf numFmtId="164" fontId="6" fillId="7" borderId="1" xfId="0" applyNumberFormat="1" applyFont="1" applyFill="1" applyBorder="1" applyAlignment="1" applyProtection="1">
      <alignment horizontal="right" vertical="center"/>
      <protection hidden="1"/>
    </xf>
    <xf numFmtId="0" fontId="6" fillId="0" borderId="13" xfId="0" applyFont="1" applyFill="1" applyBorder="1" applyAlignment="1" applyProtection="1"/>
    <xf numFmtId="0" fontId="6" fillId="0" borderId="17" xfId="0" applyFont="1" applyFill="1" applyBorder="1" applyAlignment="1" applyProtection="1"/>
    <xf numFmtId="164" fontId="7" fillId="0" borderId="1" xfId="0" applyNumberFormat="1" applyFont="1" applyFill="1" applyBorder="1" applyAlignment="1" applyProtection="1">
      <alignment horizontal="right" vertical="center"/>
      <protection hidden="1"/>
    </xf>
    <xf numFmtId="0" fontId="7" fillId="3" borderId="1" xfId="0" applyFont="1" applyFill="1" applyBorder="1" applyAlignment="1" applyProtection="1">
      <alignment horizontal="right" vertical="center"/>
      <protection hidden="1"/>
    </xf>
    <xf numFmtId="164" fontId="7" fillId="3" borderId="21" xfId="0" applyNumberFormat="1" applyFont="1" applyFill="1" applyBorder="1" applyAlignment="1" applyProtection="1">
      <alignment horizontal="right" vertical="center"/>
      <protection hidden="1"/>
    </xf>
    <xf numFmtId="0" fontId="7" fillId="0" borderId="17" xfId="0" applyFont="1" applyFill="1" applyBorder="1" applyAlignment="1" applyProtection="1"/>
    <xf numFmtId="166" fontId="17" fillId="0" borderId="1" xfId="0" applyNumberFormat="1" applyFont="1" applyFill="1" applyBorder="1" applyAlignment="1" applyProtection="1">
      <alignment horizontal="right" vertical="center"/>
      <protection hidden="1"/>
    </xf>
    <xf numFmtId="166" fontId="16" fillId="3" borderId="1" xfId="0" applyNumberFormat="1" applyFont="1" applyFill="1" applyBorder="1" applyAlignment="1" applyProtection="1">
      <alignment horizontal="right" vertical="center"/>
      <protection hidden="1"/>
    </xf>
    <xf numFmtId="167" fontId="16" fillId="3" borderId="1" xfId="0" applyNumberFormat="1" applyFont="1" applyFill="1" applyBorder="1" applyAlignment="1" applyProtection="1">
      <alignment horizontal="right" vertical="center"/>
      <protection hidden="1"/>
    </xf>
    <xf numFmtId="0" fontId="7" fillId="0" borderId="15" xfId="0" applyFont="1" applyFill="1" applyBorder="1" applyAlignment="1" applyProtection="1"/>
    <xf numFmtId="0" fontId="7" fillId="3" borderId="1" xfId="2" applyFont="1" applyFill="1" applyBorder="1" applyAlignment="1" applyProtection="1">
      <alignment horizontal="center" vertical="center" wrapText="1"/>
      <protection hidden="1"/>
    </xf>
    <xf numFmtId="0" fontId="6" fillId="5" borderId="1" xfId="0" applyNumberFormat="1" applyFont="1" applyFill="1" applyBorder="1" applyAlignment="1" applyProtection="1">
      <alignment horizontal="center" vertical="center"/>
      <protection locked="0" hidden="1"/>
    </xf>
    <xf numFmtId="0" fontId="6" fillId="0" borderId="1" xfId="0" applyNumberFormat="1" applyFont="1" applyFill="1" applyBorder="1" applyAlignment="1" applyProtection="1">
      <alignment horizontal="left" vertical="center"/>
      <protection hidden="1"/>
    </xf>
    <xf numFmtId="166" fontId="6" fillId="5" borderId="1" xfId="0" applyNumberFormat="1" applyFont="1" applyFill="1" applyBorder="1" applyAlignment="1" applyProtection="1">
      <alignment horizontal="center" vertical="center"/>
      <protection locked="0"/>
    </xf>
    <xf numFmtId="166" fontId="6" fillId="0" borderId="1" xfId="0" applyNumberFormat="1" applyFont="1" applyFill="1" applyBorder="1" applyAlignment="1" applyProtection="1">
      <alignment horizontal="center" vertical="center"/>
    </xf>
    <xf numFmtId="4" fontId="6" fillId="0" borderId="1" xfId="0" applyNumberFormat="1" applyFont="1" applyFill="1" applyBorder="1" applyAlignment="1" applyProtection="1">
      <alignment horizontal="right" vertical="center"/>
      <protection hidden="1"/>
    </xf>
    <xf numFmtId="4" fontId="6" fillId="0" borderId="1" xfId="1" applyNumberFormat="1" applyFont="1" applyFill="1" applyBorder="1" applyAlignment="1" applyProtection="1">
      <alignment horizontal="right" vertical="center"/>
      <protection hidden="1"/>
    </xf>
    <xf numFmtId="4" fontId="6" fillId="3" borderId="1" xfId="1" applyNumberFormat="1" applyFont="1" applyFill="1" applyBorder="1" applyAlignment="1" applyProtection="1">
      <alignment horizontal="right" vertical="center"/>
      <protection hidden="1"/>
    </xf>
    <xf numFmtId="4" fontId="6" fillId="3" borderId="1" xfId="0" applyNumberFormat="1" applyFont="1" applyFill="1" applyBorder="1" applyAlignment="1" applyProtection="1">
      <alignment horizontal="right" vertical="center"/>
      <protection hidden="1"/>
    </xf>
    <xf numFmtId="0" fontId="7" fillId="0" borderId="1" xfId="0" applyFont="1" applyFill="1" applyBorder="1" applyAlignment="1" applyProtection="1">
      <alignment horizontal="center" vertical="center"/>
    </xf>
    <xf numFmtId="0" fontId="6" fillId="0" borderId="0" xfId="0" applyFont="1" applyFill="1" applyBorder="1" applyAlignment="1" applyProtection="1">
      <alignment vertical="center"/>
    </xf>
    <xf numFmtId="0" fontId="15" fillId="0" borderId="1" xfId="0" applyNumberFormat="1" applyFont="1" applyFill="1" applyBorder="1" applyAlignment="1" applyProtection="1">
      <alignment horizontal="left" vertical="center"/>
      <protection hidden="1"/>
    </xf>
    <xf numFmtId="0" fontId="7" fillId="0" borderId="13" xfId="0" applyFont="1" applyFill="1" applyBorder="1" applyAlignment="1" applyProtection="1"/>
    <xf numFmtId="167" fontId="6" fillId="5" borderId="1" xfId="0" applyNumberFormat="1" applyFont="1" applyFill="1" applyBorder="1" applyAlignment="1" applyProtection="1">
      <alignment horizontal="right" vertical="center"/>
      <protection locked="0"/>
    </xf>
    <xf numFmtId="167" fontId="6" fillId="4" borderId="1" xfId="0" applyNumberFormat="1" applyFont="1" applyFill="1" applyBorder="1" applyAlignment="1" applyProtection="1">
      <alignment horizontal="right" vertical="center"/>
    </xf>
    <xf numFmtId="0" fontId="6" fillId="5" borderId="1" xfId="0" applyNumberFormat="1" applyFont="1" applyFill="1" applyBorder="1" applyAlignment="1" applyProtection="1">
      <alignment horizontal="left" vertical="center"/>
      <protection locked="0" hidden="1"/>
    </xf>
    <xf numFmtId="0" fontId="19" fillId="5" borderId="1" xfId="0" applyNumberFormat="1" applyFont="1" applyFill="1" applyBorder="1" applyAlignment="1" applyProtection="1">
      <alignment horizontal="left" vertical="center"/>
      <protection locked="0" hidden="1"/>
    </xf>
    <xf numFmtId="165" fontId="19" fillId="5" borderId="1" xfId="0" applyNumberFormat="1" applyFont="1" applyFill="1" applyBorder="1" applyAlignment="1" applyProtection="1">
      <alignment horizontal="center" vertical="center"/>
      <protection locked="0" hidden="1"/>
    </xf>
    <xf numFmtId="167" fontId="6" fillId="0" borderId="1" xfId="0" applyNumberFormat="1" applyFont="1" applyFill="1" applyBorder="1" applyAlignment="1" applyProtection="1">
      <alignment horizontal="right" vertical="center"/>
      <protection hidden="1"/>
    </xf>
    <xf numFmtId="167" fontId="6" fillId="0" borderId="1" xfId="0" applyNumberFormat="1" applyFont="1" applyFill="1" applyBorder="1" applyAlignment="1" applyProtection="1">
      <alignment horizontal="right" vertical="center"/>
    </xf>
    <xf numFmtId="167" fontId="6" fillId="3" borderId="1" xfId="0" applyNumberFormat="1" applyFont="1" applyFill="1" applyBorder="1" applyAlignment="1" applyProtection="1">
      <alignment horizontal="right" vertical="center"/>
      <protection hidden="1"/>
    </xf>
    <xf numFmtId="0" fontId="20" fillId="0" borderId="0" xfId="0" applyFont="1" applyFill="1" applyBorder="1" applyAlignment="1" applyProtection="1"/>
    <xf numFmtId="0" fontId="12" fillId="0" borderId="0" xfId="0" applyFont="1" applyFill="1" applyBorder="1" applyAlignment="1" applyProtection="1"/>
    <xf numFmtId="0" fontId="7" fillId="0" borderId="0" xfId="0" applyNumberFormat="1" applyFont="1" applyFill="1" applyBorder="1" applyAlignment="1" applyProtection="1">
      <alignment vertical="center"/>
      <protection hidden="1"/>
    </xf>
    <xf numFmtId="0" fontId="12" fillId="0" borderId="0" xfId="0" applyFont="1" applyFill="1" applyBorder="1" applyAlignment="1" applyProtection="1">
      <alignment horizontal="center"/>
    </xf>
    <xf numFmtId="0" fontId="19" fillId="0" borderId="1" xfId="0" applyNumberFormat="1" applyFont="1" applyFill="1" applyBorder="1" applyAlignment="1" applyProtection="1">
      <alignment horizontal="left" vertical="center"/>
      <protection hidden="1"/>
    </xf>
    <xf numFmtId="164" fontId="7" fillId="0" borderId="0" xfId="0" applyNumberFormat="1" applyFont="1" applyFill="1" applyBorder="1" applyAlignment="1" applyProtection="1">
      <alignment vertical="center"/>
      <protection hidden="1"/>
    </xf>
    <xf numFmtId="0" fontId="6" fillId="5" borderId="1" xfId="0" applyNumberFormat="1" applyFont="1" applyFill="1" applyBorder="1" applyAlignment="1" applyProtection="1">
      <alignment horizontal="left" vertical="center" wrapText="1"/>
      <protection locked="0" hidden="1"/>
    </xf>
    <xf numFmtId="0" fontId="21" fillId="0" borderId="0" xfId="0" applyFont="1" applyAlignment="1" applyProtection="1"/>
    <xf numFmtId="0" fontId="0" fillId="0" borderId="0" xfId="0" applyFont="1" applyAlignment="1" applyProtection="1">
      <alignment vertical="center"/>
    </xf>
    <xf numFmtId="0" fontId="28" fillId="0" borderId="0" xfId="0" applyFont="1" applyAlignment="1" applyProtection="1">
      <alignment vertical="center"/>
    </xf>
    <xf numFmtId="0" fontId="0" fillId="0" borderId="0" xfId="0" applyFont="1" applyAlignment="1" applyProtection="1">
      <alignment horizontal="left" vertical="center"/>
    </xf>
    <xf numFmtId="0" fontId="0" fillId="8" borderId="1" xfId="0" applyFont="1" applyFill="1" applyBorder="1" applyProtection="1"/>
    <xf numFmtId="0" fontId="0" fillId="8" borderId="1" xfId="0" applyFont="1" applyFill="1" applyBorder="1" applyAlignment="1" applyProtection="1">
      <alignment horizontal="center"/>
    </xf>
    <xf numFmtId="4" fontId="0" fillId="8" borderId="1" xfId="0" applyNumberFormat="1" applyFont="1" applyFill="1" applyBorder="1" applyProtection="1"/>
    <xf numFmtId="0" fontId="0" fillId="9" borderId="1" xfId="0" applyFont="1" applyFill="1" applyBorder="1" applyProtection="1"/>
    <xf numFmtId="1" fontId="0" fillId="10" borderId="1" xfId="0" applyNumberFormat="1" applyFont="1" applyFill="1" applyBorder="1" applyAlignment="1" applyProtection="1">
      <alignment horizontal="center" vertical="center"/>
    </xf>
    <xf numFmtId="4" fontId="0" fillId="10" borderId="1" xfId="0" applyNumberFormat="1" applyFont="1" applyFill="1" applyBorder="1" applyProtection="1"/>
    <xf numFmtId="0" fontId="0" fillId="8" borderId="1" xfId="0" applyFont="1" applyFill="1" applyBorder="1" applyAlignment="1" applyProtection="1">
      <alignment horizontal="left" vertical="center"/>
    </xf>
    <xf numFmtId="4" fontId="0" fillId="8" borderId="1" xfId="0" applyNumberFormat="1" applyFont="1" applyFill="1" applyBorder="1" applyAlignment="1" applyProtection="1">
      <alignment horizontal="right" vertical="center"/>
    </xf>
    <xf numFmtId="4" fontId="0" fillId="8" borderId="1" xfId="0" applyNumberFormat="1" applyFill="1" applyBorder="1" applyAlignment="1" applyProtection="1">
      <alignment vertical="center"/>
    </xf>
    <xf numFmtId="4" fontId="0" fillId="8" borderId="1" xfId="0" applyNumberFormat="1" applyFill="1" applyBorder="1" applyAlignment="1" applyProtection="1">
      <alignment horizontal="right" vertical="center"/>
    </xf>
    <xf numFmtId="1" fontId="0" fillId="2" borderId="1" xfId="0" applyNumberFormat="1" applyFont="1" applyFill="1" applyBorder="1" applyAlignment="1" applyProtection="1">
      <alignment horizontal="center" vertical="center"/>
    </xf>
    <xf numFmtId="4" fontId="0" fillId="2" borderId="1" xfId="0" applyNumberFormat="1" applyFont="1" applyFill="1" applyBorder="1" applyProtection="1"/>
    <xf numFmtId="0" fontId="0" fillId="11" borderId="1" xfId="0" applyFont="1" applyFill="1" applyBorder="1" applyProtection="1"/>
    <xf numFmtId="0" fontId="0" fillId="11" borderId="1" xfId="0" applyFont="1" applyFill="1" applyBorder="1" applyAlignment="1" applyProtection="1">
      <alignment horizontal="center"/>
    </xf>
    <xf numFmtId="4" fontId="0" fillId="11" borderId="1" xfId="0" applyNumberFormat="1" applyFont="1" applyFill="1" applyBorder="1" applyProtection="1"/>
    <xf numFmtId="0" fontId="0" fillId="11" borderId="1" xfId="0" applyFont="1" applyFill="1" applyBorder="1" applyAlignment="1" applyProtection="1">
      <alignment horizontal="left" vertical="center"/>
    </xf>
    <xf numFmtId="4" fontId="0" fillId="11" borderId="1" xfId="0" applyNumberFormat="1" applyFont="1" applyFill="1" applyBorder="1" applyAlignment="1" applyProtection="1">
      <alignment horizontal="right" vertical="center"/>
    </xf>
    <xf numFmtId="4" fontId="0" fillId="11" borderId="1" xfId="0" applyNumberFormat="1" applyFill="1" applyBorder="1" applyAlignment="1" applyProtection="1">
      <alignment vertical="center"/>
    </xf>
    <xf numFmtId="4" fontId="0" fillId="11" borderId="1" xfId="0" applyNumberFormat="1" applyFill="1" applyBorder="1" applyAlignment="1" applyProtection="1">
      <alignment horizontal="right" vertical="center"/>
    </xf>
    <xf numFmtId="1" fontId="0" fillId="9" borderId="20" xfId="0" applyNumberFormat="1" applyFont="1" applyFill="1" applyBorder="1" applyAlignment="1" applyProtection="1">
      <alignment horizontal="center" vertical="center"/>
    </xf>
    <xf numFmtId="4" fontId="0" fillId="9" borderId="20" xfId="0" applyNumberFormat="1" applyFont="1" applyFill="1" applyBorder="1" applyProtection="1"/>
    <xf numFmtId="0" fontId="0" fillId="9" borderId="1" xfId="0" applyFont="1" applyFill="1" applyBorder="1" applyAlignment="1" applyProtection="1">
      <alignment horizontal="right"/>
    </xf>
    <xf numFmtId="1" fontId="0" fillId="9" borderId="1" xfId="0" applyNumberFormat="1" applyFont="1" applyFill="1" applyBorder="1" applyAlignment="1" applyProtection="1">
      <alignment horizontal="center" vertical="center"/>
    </xf>
    <xf numFmtId="4" fontId="0" fillId="9" borderId="1" xfId="0" applyNumberFormat="1" applyFont="1" applyFill="1" applyBorder="1" applyProtection="1"/>
    <xf numFmtId="0" fontId="0" fillId="0" borderId="0" xfId="0" applyFont="1" applyAlignment="1" applyProtection="1">
      <alignment horizontal="center"/>
    </xf>
    <xf numFmtId="0" fontId="7" fillId="3" borderId="1" xfId="0" applyFont="1" applyFill="1" applyBorder="1" applyAlignment="1" applyProtection="1">
      <alignment horizontal="center" vertical="center"/>
      <protection hidden="1"/>
    </xf>
    <xf numFmtId="0" fontId="7" fillId="3" borderId="1" xfId="0" applyFont="1" applyFill="1" applyBorder="1" applyAlignment="1" applyProtection="1">
      <alignment horizontal="center" vertical="center" wrapText="1"/>
      <protection hidden="1"/>
    </xf>
    <xf numFmtId="0" fontId="33" fillId="0" borderId="0" xfId="0" applyFont="1" applyFill="1" applyBorder="1" applyAlignment="1" applyProtection="1">
      <alignment horizontal="left" vertical="center" wrapText="1"/>
    </xf>
    <xf numFmtId="0" fontId="27" fillId="0" borderId="0" xfId="4" applyFont="1" applyBorder="1" applyAlignment="1" applyProtection="1">
      <alignment vertical="center"/>
    </xf>
    <xf numFmtId="0" fontId="20" fillId="0" borderId="0" xfId="0" applyFont="1" applyFill="1" applyBorder="1" applyAlignment="1" applyProtection="1">
      <alignment vertical="center"/>
    </xf>
    <xf numFmtId="10" fontId="7" fillId="3" borderId="1" xfId="0" applyNumberFormat="1" applyFont="1" applyFill="1" applyBorder="1" applyAlignment="1" applyProtection="1">
      <alignment horizontal="center" vertical="center"/>
      <protection hidden="1"/>
    </xf>
    <xf numFmtId="10" fontId="7" fillId="0" borderId="0" xfId="0" applyNumberFormat="1" applyFont="1" applyFill="1" applyBorder="1" applyAlignment="1" applyProtection="1">
      <alignment horizontal="center" vertical="center"/>
      <protection hidden="1"/>
    </xf>
    <xf numFmtId="0" fontId="7" fillId="0" borderId="0" xfId="0" applyFont="1" applyFill="1" applyBorder="1" applyAlignment="1" applyProtection="1">
      <alignment horizontal="center"/>
    </xf>
    <xf numFmtId="167" fontId="17" fillId="0" borderId="1" xfId="0" applyNumberFormat="1" applyFont="1" applyFill="1" applyBorder="1" applyAlignment="1" applyProtection="1">
      <alignment horizontal="right" vertical="center"/>
      <protection hidden="1"/>
    </xf>
    <xf numFmtId="0" fontId="7" fillId="3" borderId="1" xfId="0" applyFont="1" applyFill="1" applyBorder="1" applyAlignment="1" applyProtection="1">
      <alignment horizontal="center" vertical="center" wrapText="1"/>
      <protection hidden="1"/>
    </xf>
    <xf numFmtId="4" fontId="11" fillId="0" borderId="1" xfId="0" applyNumberFormat="1" applyFont="1" applyBorder="1" applyAlignment="1" applyProtection="1">
      <alignment horizontal="left" vertical="center"/>
      <protection hidden="1"/>
    </xf>
    <xf numFmtId="0" fontId="13" fillId="3" borderId="1" xfId="0" applyFont="1" applyFill="1" applyBorder="1" applyAlignment="1" applyProtection="1">
      <alignment horizontal="center" vertical="center"/>
      <protection hidden="1"/>
    </xf>
    <xf numFmtId="0" fontId="14" fillId="3" borderId="1" xfId="0" applyFont="1" applyFill="1" applyBorder="1" applyAlignment="1" applyProtection="1">
      <alignment horizontal="center" vertical="center"/>
      <protection hidden="1"/>
    </xf>
    <xf numFmtId="0" fontId="13" fillId="3" borderId="1" xfId="2" applyFont="1" applyFill="1" applyBorder="1" applyAlignment="1" applyProtection="1">
      <alignment horizontal="center" vertical="center"/>
      <protection hidden="1"/>
    </xf>
    <xf numFmtId="0" fontId="7" fillId="0" borderId="1" xfId="0" applyFont="1" applyBorder="1" applyAlignment="1" applyProtection="1">
      <alignment vertical="center"/>
      <protection hidden="1"/>
    </xf>
    <xf numFmtId="0" fontId="14" fillId="3" borderId="1" xfId="0" applyNumberFormat="1" applyFont="1" applyFill="1" applyBorder="1" applyAlignment="1" applyProtection="1">
      <alignment horizontal="center" vertical="center"/>
      <protection hidden="1"/>
    </xf>
    <xf numFmtId="0" fontId="7" fillId="0" borderId="1" xfId="0" applyFont="1" applyBorder="1" applyAlignment="1" applyProtection="1">
      <alignment horizontal="left" vertical="center"/>
      <protection hidden="1"/>
    </xf>
    <xf numFmtId="0" fontId="10" fillId="0" borderId="1" xfId="0" applyFont="1" applyFill="1" applyBorder="1" applyAlignment="1" applyProtection="1">
      <alignment horizontal="left" vertical="center"/>
    </xf>
    <xf numFmtId="0" fontId="7" fillId="5" borderId="1" xfId="0" applyFont="1" applyFill="1" applyBorder="1" applyAlignment="1" applyProtection="1">
      <alignment horizontal="left" vertical="center"/>
      <protection locked="0"/>
    </xf>
    <xf numFmtId="0" fontId="7" fillId="3" borderId="1" xfId="0" applyFont="1" applyFill="1" applyBorder="1" applyAlignment="1" applyProtection="1">
      <alignment horizontal="left" vertical="center"/>
      <protection hidden="1"/>
    </xf>
    <xf numFmtId="4" fontId="11" fillId="3" borderId="1" xfId="0" applyNumberFormat="1" applyFont="1" applyFill="1" applyBorder="1" applyAlignment="1" applyProtection="1">
      <alignment horizontal="left" vertical="center"/>
      <protection hidden="1"/>
    </xf>
    <xf numFmtId="10" fontId="10" fillId="3" borderId="1" xfId="0" applyNumberFormat="1" applyFont="1" applyFill="1" applyBorder="1" applyAlignment="1" applyProtection="1">
      <alignment horizontal="left" vertical="center"/>
      <protection hidden="1"/>
    </xf>
    <xf numFmtId="4" fontId="11" fillId="3" borderId="2" xfId="0" applyNumberFormat="1" applyFont="1" applyFill="1" applyBorder="1" applyAlignment="1" applyProtection="1">
      <alignment horizontal="left" vertical="center"/>
      <protection hidden="1"/>
    </xf>
    <xf numFmtId="4" fontId="11" fillId="3" borderId="22" xfId="0" applyNumberFormat="1" applyFont="1" applyFill="1" applyBorder="1" applyAlignment="1" applyProtection="1">
      <alignment horizontal="left" vertical="center"/>
      <protection hidden="1"/>
    </xf>
    <xf numFmtId="4" fontId="11" fillId="3" borderId="21" xfId="0" applyNumberFormat="1" applyFont="1" applyFill="1" applyBorder="1" applyAlignment="1" applyProtection="1">
      <alignment horizontal="left" vertical="center"/>
      <protection hidden="1"/>
    </xf>
    <xf numFmtId="10" fontId="16" fillId="3" borderId="1" xfId="0" applyNumberFormat="1" applyFont="1" applyFill="1" applyBorder="1" applyAlignment="1" applyProtection="1">
      <alignment horizontal="center" vertical="center"/>
      <protection hidden="1"/>
    </xf>
    <xf numFmtId="10" fontId="16" fillId="3" borderId="2" xfId="0" applyNumberFormat="1" applyFont="1" applyFill="1" applyBorder="1" applyAlignment="1" applyProtection="1">
      <alignment horizontal="center" vertical="center"/>
      <protection hidden="1"/>
    </xf>
    <xf numFmtId="0" fontId="7" fillId="0" borderId="7" xfId="0" applyFont="1" applyFill="1" applyBorder="1" applyAlignment="1" applyProtection="1">
      <alignment horizontal="center"/>
    </xf>
    <xf numFmtId="0" fontId="7" fillId="0" borderId="15" xfId="0" applyFont="1" applyFill="1" applyBorder="1" applyAlignment="1" applyProtection="1">
      <alignment horizontal="center"/>
    </xf>
    <xf numFmtId="0" fontId="16" fillId="0" borderId="12" xfId="0" applyFont="1" applyFill="1" applyBorder="1" applyAlignment="1" applyProtection="1">
      <alignment horizontal="center"/>
    </xf>
    <xf numFmtId="0" fontId="16" fillId="0" borderId="16" xfId="0" applyFont="1" applyFill="1" applyBorder="1" applyAlignment="1" applyProtection="1">
      <alignment horizontal="center"/>
    </xf>
    <xf numFmtId="0" fontId="7" fillId="0" borderId="13" xfId="0" applyFont="1" applyFill="1" applyBorder="1" applyAlignment="1" applyProtection="1">
      <alignment horizontal="center"/>
    </xf>
    <xf numFmtId="0" fontId="7" fillId="0" borderId="0" xfId="0" applyFont="1" applyFill="1" applyBorder="1" applyAlignment="1" applyProtection="1">
      <alignment horizontal="center"/>
    </xf>
    <xf numFmtId="0" fontId="7" fillId="3" borderId="20" xfId="0" applyFont="1" applyFill="1" applyBorder="1" applyAlignment="1" applyProtection="1">
      <alignment horizontal="center" vertical="center" wrapText="1"/>
      <protection hidden="1"/>
    </xf>
    <xf numFmtId="0" fontId="7" fillId="3" borderId="1" xfId="0" applyFont="1" applyFill="1" applyBorder="1" applyAlignment="1" applyProtection="1">
      <alignment horizontal="center" vertical="center"/>
      <protection hidden="1"/>
    </xf>
    <xf numFmtId="10" fontId="7" fillId="3" borderId="1" xfId="0" applyNumberFormat="1" applyFont="1" applyFill="1" applyBorder="1" applyAlignment="1" applyProtection="1">
      <alignment horizontal="center" vertical="center"/>
      <protection hidden="1"/>
    </xf>
    <xf numFmtId="0" fontId="7" fillId="3" borderId="20" xfId="0" applyFont="1" applyFill="1" applyBorder="1" applyAlignment="1" applyProtection="1">
      <alignment horizontal="center" vertical="center"/>
      <protection hidden="1"/>
    </xf>
    <xf numFmtId="0" fontId="7" fillId="3" borderId="7" xfId="0" applyFont="1" applyFill="1" applyBorder="1" applyAlignment="1" applyProtection="1">
      <alignment horizontal="center" vertical="center" wrapText="1"/>
      <protection hidden="1"/>
    </xf>
    <xf numFmtId="0" fontId="7" fillId="3" borderId="14" xfId="0" applyFont="1" applyFill="1" applyBorder="1" applyAlignment="1" applyProtection="1">
      <alignment horizontal="center" vertical="center" wrapText="1"/>
      <protection hidden="1"/>
    </xf>
    <xf numFmtId="0" fontId="7" fillId="3" borderId="15" xfId="0" applyFont="1" applyFill="1" applyBorder="1" applyAlignment="1" applyProtection="1">
      <alignment horizontal="center" vertical="center" wrapText="1"/>
      <protection hidden="1"/>
    </xf>
    <xf numFmtId="0" fontId="7" fillId="0" borderId="14" xfId="0" applyFont="1" applyFill="1" applyBorder="1" applyAlignment="1" applyProtection="1">
      <alignment horizontal="center"/>
    </xf>
    <xf numFmtId="10" fontId="7" fillId="0" borderId="0" xfId="0" applyNumberFormat="1" applyFont="1" applyFill="1" applyBorder="1" applyAlignment="1" applyProtection="1">
      <alignment horizontal="center" vertical="center"/>
      <protection hidden="1"/>
    </xf>
    <xf numFmtId="0" fontId="7" fillId="3" borderId="1" xfId="0" applyFont="1" applyFill="1" applyBorder="1" applyAlignment="1" applyProtection="1">
      <alignment horizontal="center" vertical="center" wrapText="1"/>
      <protection hidden="1"/>
    </xf>
    <xf numFmtId="10" fontId="14" fillId="3" borderId="1" xfId="0" applyNumberFormat="1" applyFont="1" applyFill="1" applyBorder="1" applyAlignment="1" applyProtection="1">
      <alignment horizontal="center" vertical="center"/>
      <protection hidden="1"/>
    </xf>
    <xf numFmtId="0" fontId="7" fillId="3" borderId="20" xfId="2" applyFont="1" applyFill="1" applyBorder="1" applyAlignment="1" applyProtection="1">
      <alignment horizontal="center" vertical="center"/>
      <protection hidden="1"/>
    </xf>
    <xf numFmtId="0" fontId="7" fillId="3" borderId="1" xfId="2" applyFont="1" applyFill="1" applyBorder="1" applyAlignment="1" applyProtection="1">
      <alignment horizontal="center" vertical="center"/>
      <protection hidden="1"/>
    </xf>
    <xf numFmtId="0" fontId="7" fillId="3" borderId="20" xfId="2" applyFont="1" applyFill="1" applyBorder="1" applyAlignment="1" applyProtection="1">
      <alignment horizontal="center" vertical="center" wrapText="1"/>
      <protection hidden="1"/>
    </xf>
    <xf numFmtId="0" fontId="16" fillId="3" borderId="1" xfId="0" applyFont="1" applyFill="1" applyBorder="1" applyAlignment="1" applyProtection="1">
      <alignment horizontal="center" vertical="center"/>
    </xf>
    <xf numFmtId="167" fontId="17" fillId="0" borderId="1" xfId="0" applyNumberFormat="1" applyFont="1" applyFill="1" applyBorder="1" applyAlignment="1" applyProtection="1">
      <alignment horizontal="right" vertical="center"/>
      <protection hidden="1"/>
    </xf>
    <xf numFmtId="0" fontId="16" fillId="3" borderId="18" xfId="0" applyFont="1" applyFill="1" applyBorder="1" applyAlignment="1" applyProtection="1">
      <alignment horizontal="center" vertical="center"/>
    </xf>
    <xf numFmtId="0" fontId="16" fillId="3" borderId="19" xfId="0" applyFont="1" applyFill="1" applyBorder="1" applyAlignment="1" applyProtection="1">
      <alignment horizontal="center" vertical="center"/>
    </xf>
    <xf numFmtId="0" fontId="16" fillId="3" borderId="20" xfId="0" applyFont="1" applyFill="1" applyBorder="1" applyAlignment="1" applyProtection="1">
      <alignment horizontal="center" vertical="center"/>
    </xf>
    <xf numFmtId="167" fontId="17" fillId="0" borderId="12" xfId="0" applyNumberFormat="1" applyFont="1" applyFill="1" applyBorder="1" applyAlignment="1" applyProtection="1">
      <alignment horizontal="right" vertical="center"/>
      <protection hidden="1"/>
    </xf>
    <xf numFmtId="167" fontId="17" fillId="0" borderId="16" xfId="0" applyNumberFormat="1" applyFont="1" applyFill="1" applyBorder="1" applyAlignment="1" applyProtection="1">
      <alignment horizontal="right" vertical="center"/>
      <protection hidden="1"/>
    </xf>
    <xf numFmtId="167" fontId="17" fillId="0" borderId="13" xfId="0" applyNumberFormat="1" applyFont="1" applyFill="1" applyBorder="1" applyAlignment="1" applyProtection="1">
      <alignment horizontal="right" vertical="center"/>
      <protection hidden="1"/>
    </xf>
    <xf numFmtId="167" fontId="17" fillId="0" borderId="17" xfId="0" applyNumberFormat="1" applyFont="1" applyFill="1" applyBorder="1" applyAlignment="1" applyProtection="1">
      <alignment horizontal="right" vertical="center"/>
      <protection hidden="1"/>
    </xf>
    <xf numFmtId="167" fontId="17" fillId="0" borderId="7" xfId="0" applyNumberFormat="1" applyFont="1" applyFill="1" applyBorder="1" applyAlignment="1" applyProtection="1">
      <alignment horizontal="right" vertical="center"/>
      <protection hidden="1"/>
    </xf>
    <xf numFmtId="167" fontId="17" fillId="0" borderId="15" xfId="0" applyNumberFormat="1" applyFont="1" applyFill="1" applyBorder="1" applyAlignment="1" applyProtection="1">
      <alignment horizontal="right" vertical="center"/>
      <protection hidden="1"/>
    </xf>
    <xf numFmtId="167" fontId="17" fillId="0" borderId="18" xfId="0" applyNumberFormat="1" applyFont="1" applyFill="1" applyBorder="1" applyAlignment="1" applyProtection="1">
      <alignment horizontal="right" vertical="center"/>
      <protection hidden="1"/>
    </xf>
    <xf numFmtId="167" fontId="17" fillId="0" borderId="19" xfId="0" applyNumberFormat="1" applyFont="1" applyFill="1" applyBorder="1" applyAlignment="1" applyProtection="1">
      <alignment horizontal="right" vertical="center"/>
      <protection hidden="1"/>
    </xf>
    <xf numFmtId="167" fontId="17" fillId="0" borderId="20" xfId="0" applyNumberFormat="1" applyFont="1" applyFill="1" applyBorder="1" applyAlignment="1" applyProtection="1">
      <alignment horizontal="right" vertical="center"/>
      <protection hidden="1"/>
    </xf>
    <xf numFmtId="164" fontId="6" fillId="7" borderId="18" xfId="0" applyNumberFormat="1" applyFont="1" applyFill="1" applyBorder="1" applyAlignment="1" applyProtection="1">
      <alignment horizontal="center" vertical="center"/>
    </xf>
    <xf numFmtId="164" fontId="6" fillId="7" borderId="19" xfId="0" applyNumberFormat="1" applyFont="1" applyFill="1" applyBorder="1" applyAlignment="1" applyProtection="1">
      <alignment horizontal="center" vertical="center"/>
    </xf>
    <xf numFmtId="164" fontId="6" fillId="7" borderId="20" xfId="0" applyNumberFormat="1" applyFont="1" applyFill="1" applyBorder="1" applyAlignment="1" applyProtection="1">
      <alignment horizontal="center" vertical="center"/>
    </xf>
    <xf numFmtId="0" fontId="0" fillId="0" borderId="1" xfId="0" applyFont="1" applyBorder="1" applyAlignment="1" applyProtection="1">
      <alignment horizontal="left" vertical="center"/>
    </xf>
    <xf numFmtId="0" fontId="8" fillId="3" borderId="1" xfId="0" applyFont="1" applyFill="1" applyBorder="1" applyAlignment="1" applyProtection="1">
      <alignment horizontal="center"/>
    </xf>
    <xf numFmtId="0" fontId="8" fillId="3" borderId="2" xfId="0" applyFont="1" applyFill="1" applyBorder="1" applyAlignment="1" applyProtection="1">
      <alignment horizontal="center" vertical="center"/>
    </xf>
    <xf numFmtId="0" fontId="8" fillId="3" borderId="21" xfId="0" applyFont="1" applyFill="1" applyBorder="1" applyAlignment="1" applyProtection="1">
      <alignment horizontal="center" vertical="center"/>
    </xf>
    <xf numFmtId="0" fontId="8" fillId="3" borderId="2" xfId="0" applyFont="1" applyFill="1" applyBorder="1" applyAlignment="1" applyProtection="1">
      <alignment horizontal="left" vertical="center" wrapText="1" indent="1"/>
    </xf>
    <xf numFmtId="0" fontId="8" fillId="3" borderId="22" xfId="0" applyFont="1" applyFill="1" applyBorder="1" applyAlignment="1" applyProtection="1">
      <alignment horizontal="left" vertical="center" indent="1"/>
    </xf>
    <xf numFmtId="0" fontId="8" fillId="3" borderId="21" xfId="0" applyFont="1" applyFill="1" applyBorder="1" applyAlignment="1" applyProtection="1">
      <alignment horizontal="left" vertical="center" indent="1"/>
    </xf>
    <xf numFmtId="0" fontId="8" fillId="3" borderId="2" xfId="0" applyFont="1" applyFill="1" applyBorder="1" applyAlignment="1" applyProtection="1">
      <alignment horizontal="center" vertical="center" wrapText="1"/>
    </xf>
    <xf numFmtId="0" fontId="8" fillId="3" borderId="22" xfId="0" applyFont="1" applyFill="1" applyBorder="1" applyAlignment="1" applyProtection="1">
      <alignment horizontal="center" vertical="center" wrapText="1"/>
    </xf>
    <xf numFmtId="0" fontId="8" fillId="3" borderId="21" xfId="0" applyFont="1" applyFill="1" applyBorder="1" applyAlignment="1" applyProtection="1">
      <alignment horizontal="center" vertical="center" wrapText="1"/>
    </xf>
    <xf numFmtId="0" fontId="22" fillId="0" borderId="0" xfId="0" applyFont="1" applyAlignment="1" applyProtection="1">
      <alignment horizontal="left" vertical="center" wrapText="1"/>
    </xf>
    <xf numFmtId="0" fontId="22" fillId="0" borderId="0" xfId="0" applyFont="1" applyAlignment="1" applyProtection="1">
      <alignment horizontal="left" vertical="center"/>
    </xf>
    <xf numFmtId="0" fontId="4" fillId="3" borderId="1" xfId="0" applyFont="1" applyFill="1" applyBorder="1" applyAlignment="1" applyProtection="1">
      <alignment horizontal="center" vertical="center"/>
    </xf>
    <xf numFmtId="0" fontId="1" fillId="0" borderId="0" xfId="2" applyBorder="1" applyAlignment="1" applyProtection="1">
      <alignment horizontal="left" vertical="center"/>
      <protection locked="0"/>
    </xf>
    <xf numFmtId="0" fontId="8" fillId="3" borderId="12" xfId="0" applyFont="1" applyFill="1" applyBorder="1" applyAlignment="1" applyProtection="1">
      <alignment horizontal="left" vertical="center" wrapText="1" indent="1"/>
    </xf>
    <xf numFmtId="0" fontId="8" fillId="3" borderId="23" xfId="0" applyFont="1" applyFill="1" applyBorder="1" applyAlignment="1" applyProtection="1">
      <alignment horizontal="left" vertical="center" wrapText="1" indent="1"/>
    </xf>
    <xf numFmtId="0" fontId="8" fillId="3" borderId="16" xfId="0" applyFont="1" applyFill="1" applyBorder="1" applyAlignment="1" applyProtection="1">
      <alignment horizontal="left" vertical="center" wrapText="1" indent="1"/>
    </xf>
    <xf numFmtId="0" fontId="8" fillId="3" borderId="7" xfId="0" applyFont="1" applyFill="1" applyBorder="1" applyAlignment="1" applyProtection="1">
      <alignment horizontal="left" vertical="center" wrapText="1" indent="1"/>
    </xf>
    <xf numFmtId="0" fontId="8" fillId="3" borderId="14" xfId="0" applyFont="1" applyFill="1" applyBorder="1" applyAlignment="1" applyProtection="1">
      <alignment horizontal="left" vertical="center" wrapText="1" indent="1"/>
    </xf>
    <xf numFmtId="0" fontId="8" fillId="3" borderId="15" xfId="0" applyFont="1" applyFill="1" applyBorder="1" applyAlignment="1" applyProtection="1">
      <alignment horizontal="left" vertical="center" wrapText="1" indent="1"/>
    </xf>
  </cellXfs>
  <cellStyles count="5">
    <cellStyle name="Hyperlink 2" xfId="4"/>
    <cellStyle name="Normal 2" xfId="3"/>
    <cellStyle name="Гиперссылка" xfId="2" builtinId="8"/>
    <cellStyle name="Обычный" xfId="0" builtinId="0"/>
    <cellStyle name="Финансовый" xfId="1" builtinId="3"/>
  </cellStyles>
  <dxfs count="913">
    <dxf>
      <font>
        <b/>
        <i val="0"/>
        <condense val="0"/>
        <extend val="0"/>
        <color indexed="10"/>
      </font>
    </dxf>
    <dxf>
      <font>
        <b/>
        <i val="0"/>
        <condense val="0"/>
        <extend val="0"/>
        <color indexed="10"/>
      </font>
    </dxf>
    <dxf>
      <font>
        <b/>
        <i val="0"/>
        <condense val="0"/>
        <extend val="0"/>
        <color indexed="10"/>
      </font>
    </dxf>
    <dxf>
      <font>
        <b/>
        <i val="0"/>
        <condense val="0"/>
        <extend val="0"/>
        <color indexed="10"/>
      </font>
      <fill>
        <patternFill>
          <bgColor indexed="13"/>
        </patternFill>
      </fill>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fill>
        <patternFill>
          <bgColor indexed="13"/>
        </patternFill>
      </fill>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fill>
        <patternFill>
          <bgColor indexed="13"/>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b/>
        <i val="0"/>
      </font>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b/>
        <i val="0"/>
        <color theme="1"/>
      </font>
      <fill>
        <patternFill>
          <bgColor rgb="FFFF0000"/>
        </patternFill>
      </fill>
    </dxf>
    <dxf>
      <font>
        <b/>
        <i val="0"/>
        <color theme="1"/>
      </font>
      <fill>
        <patternFill>
          <bgColor rgb="FFFF0000"/>
        </patternFill>
      </fill>
    </dxf>
    <dxf>
      <font>
        <b/>
        <i val="0"/>
        <color theme="1"/>
      </font>
      <fill>
        <patternFill>
          <bgColor rgb="FFFF0000"/>
        </patternFill>
      </fill>
    </dxf>
    <dxf>
      <font>
        <b/>
        <i val="0"/>
        <color theme="1"/>
      </font>
      <fill>
        <patternFill>
          <bgColor rgb="FFFF0000"/>
        </patternFill>
      </fill>
    </dxf>
    <dxf>
      <font>
        <b/>
        <i val="0"/>
        <color theme="1"/>
      </font>
      <fill>
        <patternFill>
          <bgColor rgb="FFFF0000"/>
        </patternFill>
      </fill>
    </dxf>
    <dxf>
      <font>
        <b/>
        <i val="0"/>
        <color theme="1"/>
      </font>
      <fill>
        <patternFill>
          <bgColor rgb="FFFF0000"/>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theme" Target="theme/theme1.xml"/><Relationship Id="rId18" Type="http://schemas.openxmlformats.org/officeDocument/2006/relationships/customXml" Target="../customXml/item2.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customXml" Target="../customXml/item1.xml"/><Relationship Id="rId2" Type="http://schemas.openxmlformats.org/officeDocument/2006/relationships/worksheet" Target="worksheets/sheet2.xml"/><Relationship Id="rId16" Type="http://schemas.openxmlformats.org/officeDocument/2006/relationships/calcChain" Target="calcChain.xml"/><Relationship Id="rId20"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haredStrings" Target="sharedStrings.xml"/><Relationship Id="rId10" Type="http://schemas.openxmlformats.org/officeDocument/2006/relationships/worksheet" Target="worksheets/sheet10.xml"/><Relationship Id="rId19" Type="http://schemas.openxmlformats.org/officeDocument/2006/relationships/customXml" Target="../customXml/item3.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tyles" Target="style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2" Type="http://schemas.openxmlformats.org/officeDocument/2006/relationships/image" Target="../media/image2.jpeg"/><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1</xdr:col>
      <xdr:colOff>161925</xdr:colOff>
      <xdr:row>1</xdr:row>
      <xdr:rowOff>152400</xdr:rowOff>
    </xdr:from>
    <xdr:to>
      <xdr:col>1</xdr:col>
      <xdr:colOff>161925</xdr:colOff>
      <xdr:row>4</xdr:row>
      <xdr:rowOff>6164</xdr:rowOff>
    </xdr:to>
    <xdr:pic>
      <xdr:nvPicPr>
        <xdr:cNvPr id="2" name="Picture 8" descr="educ-training"/>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76225" y="314325"/>
          <a:ext cx="0" cy="542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xdr:col>
      <xdr:colOff>0</xdr:colOff>
      <xdr:row>1</xdr:row>
      <xdr:rowOff>0</xdr:rowOff>
    </xdr:from>
    <xdr:to>
      <xdr:col>2</xdr:col>
      <xdr:colOff>2385532</xdr:colOff>
      <xdr:row>4</xdr:row>
      <xdr:rowOff>165520</xdr:rowOff>
    </xdr:to>
    <xdr:pic>
      <xdr:nvPicPr>
        <xdr:cNvPr id="5" name="Picture 4"/>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112059" y="156882"/>
          <a:ext cx="3057885" cy="860284"/>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85725</xdr:colOff>
          <xdr:row>1</xdr:row>
          <xdr:rowOff>76200</xdr:rowOff>
        </xdr:from>
        <xdr:to>
          <xdr:col>1</xdr:col>
          <xdr:colOff>1066800</xdr:colOff>
          <xdr:row>1</xdr:row>
          <xdr:rowOff>438150</xdr:rowOff>
        </xdr:to>
        <xdr:sp macro="" textlink="">
          <xdr:nvSpPr>
            <xdr:cNvPr id="3076" name="Button 1" hidden="1">
              <a:extLst>
                <a:ext uri="{63B3BB69-23CF-44E3-9099-C40C66FF867C}">
                  <a14:compatExt spid="_x0000_s3076"/>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GB" sz="1100" b="1" i="0" u="none" strike="noStrike" baseline="0">
                  <a:solidFill>
                    <a:srgbClr val="FF0000"/>
                  </a:solidFill>
                  <a:latin typeface="Calibri"/>
                </a:rPr>
                <a:t>Add Row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1123950</xdr:colOff>
          <xdr:row>1</xdr:row>
          <xdr:rowOff>76200</xdr:rowOff>
        </xdr:from>
        <xdr:to>
          <xdr:col>2</xdr:col>
          <xdr:colOff>57150</xdr:colOff>
          <xdr:row>1</xdr:row>
          <xdr:rowOff>438150</xdr:rowOff>
        </xdr:to>
        <xdr:sp macro="" textlink="">
          <xdr:nvSpPr>
            <xdr:cNvPr id="3223" name="Button 2" hidden="1">
              <a:extLst>
                <a:ext uri="{63B3BB69-23CF-44E3-9099-C40C66FF867C}">
                  <a14:compatExt spid="_x0000_s3223"/>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GB" sz="1100" b="1" i="0" u="none" strike="noStrike" baseline="0">
                  <a:solidFill>
                    <a:srgbClr val="FF0000"/>
                  </a:solidFill>
                  <a:latin typeface="Calibri"/>
                </a:rPr>
                <a:t>Delete Row</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114300</xdr:colOff>
          <xdr:row>1</xdr:row>
          <xdr:rowOff>76200</xdr:rowOff>
        </xdr:from>
        <xdr:to>
          <xdr:col>3</xdr:col>
          <xdr:colOff>790575</xdr:colOff>
          <xdr:row>1</xdr:row>
          <xdr:rowOff>438150</xdr:rowOff>
        </xdr:to>
        <xdr:sp macro="" textlink="">
          <xdr:nvSpPr>
            <xdr:cNvPr id="5137" name="Button 3" hidden="1">
              <a:extLst>
                <a:ext uri="{63B3BB69-23CF-44E3-9099-C40C66FF867C}">
                  <a14:compatExt spid="_x0000_s5137"/>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GB" sz="1100" b="1" i="0" u="none" strike="noStrike" baseline="0">
                  <a:solidFill>
                    <a:srgbClr val="FF0000"/>
                  </a:solidFill>
                  <a:latin typeface="Calibri"/>
                </a:rPr>
                <a:t>Distance Calculator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85725</xdr:colOff>
          <xdr:row>1</xdr:row>
          <xdr:rowOff>76200</xdr:rowOff>
        </xdr:from>
        <xdr:to>
          <xdr:col>1</xdr:col>
          <xdr:colOff>1066800</xdr:colOff>
          <xdr:row>1</xdr:row>
          <xdr:rowOff>438150</xdr:rowOff>
        </xdr:to>
        <xdr:sp macro="" textlink="">
          <xdr:nvSpPr>
            <xdr:cNvPr id="5144" name="Button 1" hidden="1">
              <a:extLst>
                <a:ext uri="{63B3BB69-23CF-44E3-9099-C40C66FF867C}">
                  <a14:compatExt spid="_x0000_s5144"/>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GB" sz="1100" b="1" i="0" u="none" strike="noStrike" baseline="0">
                  <a:solidFill>
                    <a:srgbClr val="FF0000"/>
                  </a:solidFill>
                  <a:latin typeface="Calibri"/>
                </a:rPr>
                <a:t>Add Row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1123950</xdr:colOff>
          <xdr:row>1</xdr:row>
          <xdr:rowOff>76200</xdr:rowOff>
        </xdr:from>
        <xdr:to>
          <xdr:col>2</xdr:col>
          <xdr:colOff>57150</xdr:colOff>
          <xdr:row>1</xdr:row>
          <xdr:rowOff>438150</xdr:rowOff>
        </xdr:to>
        <xdr:sp macro="" textlink="">
          <xdr:nvSpPr>
            <xdr:cNvPr id="5145" name="Button 2" hidden="1">
              <a:extLst>
                <a:ext uri="{63B3BB69-23CF-44E3-9099-C40C66FF867C}">
                  <a14:compatExt spid="_x0000_s5145"/>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GB" sz="1100" b="1" i="0" u="none" strike="noStrike" baseline="0">
                  <a:solidFill>
                    <a:srgbClr val="FF0000"/>
                  </a:solidFill>
                  <a:latin typeface="Calibri"/>
                </a:rPr>
                <a:t>Delete Row</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85725</xdr:colOff>
          <xdr:row>1</xdr:row>
          <xdr:rowOff>76200</xdr:rowOff>
        </xdr:from>
        <xdr:to>
          <xdr:col>1</xdr:col>
          <xdr:colOff>1066800</xdr:colOff>
          <xdr:row>1</xdr:row>
          <xdr:rowOff>438150</xdr:rowOff>
        </xdr:to>
        <xdr:sp macro="" textlink="">
          <xdr:nvSpPr>
            <xdr:cNvPr id="8200" name="Button 1" hidden="1">
              <a:extLst>
                <a:ext uri="{63B3BB69-23CF-44E3-9099-C40C66FF867C}">
                  <a14:compatExt spid="_x0000_s8200"/>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GB" sz="1100" b="1" i="0" u="none" strike="noStrike" baseline="0">
                  <a:solidFill>
                    <a:srgbClr val="FF0000"/>
                  </a:solidFill>
                  <a:latin typeface="Calibri"/>
                </a:rPr>
                <a:t>Add Row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1123950</xdr:colOff>
          <xdr:row>1</xdr:row>
          <xdr:rowOff>76200</xdr:rowOff>
        </xdr:from>
        <xdr:to>
          <xdr:col>2</xdr:col>
          <xdr:colOff>57150</xdr:colOff>
          <xdr:row>1</xdr:row>
          <xdr:rowOff>438150</xdr:rowOff>
        </xdr:to>
        <xdr:sp macro="" textlink="">
          <xdr:nvSpPr>
            <xdr:cNvPr id="8201" name="Button 2" hidden="1">
              <a:extLst>
                <a:ext uri="{63B3BB69-23CF-44E3-9099-C40C66FF867C}">
                  <a14:compatExt spid="_x0000_s8201"/>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GB" sz="1100" b="1" i="0" u="none" strike="noStrike" baseline="0">
                  <a:solidFill>
                    <a:srgbClr val="FF0000"/>
                  </a:solidFill>
                  <a:latin typeface="Calibri"/>
                </a:rPr>
                <a:t>Delete Row</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85725</xdr:colOff>
          <xdr:row>1</xdr:row>
          <xdr:rowOff>76200</xdr:rowOff>
        </xdr:from>
        <xdr:to>
          <xdr:col>1</xdr:col>
          <xdr:colOff>1066800</xdr:colOff>
          <xdr:row>1</xdr:row>
          <xdr:rowOff>438150</xdr:rowOff>
        </xdr:to>
        <xdr:sp macro="" textlink="">
          <xdr:nvSpPr>
            <xdr:cNvPr id="34823" name="Button 1" hidden="1">
              <a:extLst>
                <a:ext uri="{63B3BB69-23CF-44E3-9099-C40C66FF867C}">
                  <a14:compatExt spid="_x0000_s34823"/>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GB" sz="1100" b="1" i="0" u="none" strike="noStrike" baseline="0">
                  <a:solidFill>
                    <a:srgbClr val="FF0000"/>
                  </a:solidFill>
                  <a:latin typeface="Calibri"/>
                </a:rPr>
                <a:t>Add Row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1123950</xdr:colOff>
          <xdr:row>1</xdr:row>
          <xdr:rowOff>76200</xdr:rowOff>
        </xdr:from>
        <xdr:to>
          <xdr:col>2</xdr:col>
          <xdr:colOff>57150</xdr:colOff>
          <xdr:row>1</xdr:row>
          <xdr:rowOff>438150</xdr:rowOff>
        </xdr:to>
        <xdr:sp macro="" textlink="">
          <xdr:nvSpPr>
            <xdr:cNvPr id="34824" name="Button 2" hidden="1">
              <a:extLst>
                <a:ext uri="{63B3BB69-23CF-44E3-9099-C40C66FF867C}">
                  <a14:compatExt spid="_x0000_s34824"/>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GB" sz="1100" b="1" i="0" u="none" strike="noStrike" baseline="0">
                  <a:solidFill>
                    <a:srgbClr val="FF0000"/>
                  </a:solidFill>
                  <a:latin typeface="Calibri"/>
                </a:rPr>
                <a:t>Delete Row</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247650</xdr:colOff>
          <xdr:row>1</xdr:row>
          <xdr:rowOff>76200</xdr:rowOff>
        </xdr:from>
        <xdr:to>
          <xdr:col>2</xdr:col>
          <xdr:colOff>1638300</xdr:colOff>
          <xdr:row>1</xdr:row>
          <xdr:rowOff>438150</xdr:rowOff>
        </xdr:to>
        <xdr:sp macro="" textlink="">
          <xdr:nvSpPr>
            <xdr:cNvPr id="23568" name="Button 3" hidden="1">
              <a:extLst>
                <a:ext uri="{63B3BB69-23CF-44E3-9099-C40C66FF867C}">
                  <a14:compatExt spid="_x0000_s23568"/>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GB" sz="1100" b="1" i="0" u="none" strike="noStrike" baseline="0">
                  <a:solidFill>
                    <a:srgbClr val="FF0000"/>
                  </a:solidFill>
                  <a:latin typeface="Calibri"/>
                </a:rPr>
                <a:t>Distance Calculator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85725</xdr:colOff>
          <xdr:row>1</xdr:row>
          <xdr:rowOff>76200</xdr:rowOff>
        </xdr:from>
        <xdr:to>
          <xdr:col>1</xdr:col>
          <xdr:colOff>1066800</xdr:colOff>
          <xdr:row>1</xdr:row>
          <xdr:rowOff>438150</xdr:rowOff>
        </xdr:to>
        <xdr:sp macro="" textlink="">
          <xdr:nvSpPr>
            <xdr:cNvPr id="23569" name="Button 1" hidden="1">
              <a:extLst>
                <a:ext uri="{63B3BB69-23CF-44E3-9099-C40C66FF867C}">
                  <a14:compatExt spid="_x0000_s23569"/>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GB" sz="1100" b="1" i="0" u="none" strike="noStrike" baseline="0">
                  <a:solidFill>
                    <a:srgbClr val="FF0000"/>
                  </a:solidFill>
                  <a:latin typeface="Calibri"/>
                </a:rPr>
                <a:t>Add Row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1123950</xdr:colOff>
          <xdr:row>1</xdr:row>
          <xdr:rowOff>76200</xdr:rowOff>
        </xdr:from>
        <xdr:to>
          <xdr:col>2</xdr:col>
          <xdr:colOff>190500</xdr:colOff>
          <xdr:row>1</xdr:row>
          <xdr:rowOff>438150</xdr:rowOff>
        </xdr:to>
        <xdr:sp macro="" textlink="">
          <xdr:nvSpPr>
            <xdr:cNvPr id="23570" name="Button 2" hidden="1">
              <a:extLst>
                <a:ext uri="{63B3BB69-23CF-44E3-9099-C40C66FF867C}">
                  <a14:compatExt spid="_x0000_s23570"/>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GB" sz="1100" b="1" i="0" u="none" strike="noStrike" baseline="0">
                  <a:solidFill>
                    <a:srgbClr val="FF0000"/>
                  </a:solidFill>
                  <a:latin typeface="Calibri"/>
                </a:rPr>
                <a:t>Delete Row</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247650</xdr:colOff>
          <xdr:row>1</xdr:row>
          <xdr:rowOff>76200</xdr:rowOff>
        </xdr:from>
        <xdr:to>
          <xdr:col>2</xdr:col>
          <xdr:colOff>1638300</xdr:colOff>
          <xdr:row>1</xdr:row>
          <xdr:rowOff>438150</xdr:rowOff>
        </xdr:to>
        <xdr:sp macro="" textlink="">
          <xdr:nvSpPr>
            <xdr:cNvPr id="36876" name="Button 3" hidden="1">
              <a:extLst>
                <a:ext uri="{63B3BB69-23CF-44E3-9099-C40C66FF867C}">
                  <a14:compatExt spid="_x0000_s36876"/>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GB" sz="1100" b="1" i="0" u="none" strike="noStrike" baseline="0">
                  <a:solidFill>
                    <a:srgbClr val="FF0000"/>
                  </a:solidFill>
                  <a:latin typeface="Calibri"/>
                </a:rPr>
                <a:t>Distance Calculator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85725</xdr:colOff>
          <xdr:row>1</xdr:row>
          <xdr:rowOff>76200</xdr:rowOff>
        </xdr:from>
        <xdr:to>
          <xdr:col>1</xdr:col>
          <xdr:colOff>1066800</xdr:colOff>
          <xdr:row>1</xdr:row>
          <xdr:rowOff>438150</xdr:rowOff>
        </xdr:to>
        <xdr:sp macro="" textlink="">
          <xdr:nvSpPr>
            <xdr:cNvPr id="36877" name="Button 1" hidden="1">
              <a:extLst>
                <a:ext uri="{63B3BB69-23CF-44E3-9099-C40C66FF867C}">
                  <a14:compatExt spid="_x0000_s36877"/>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GB" sz="1100" b="1" i="0" u="none" strike="noStrike" baseline="0">
                  <a:solidFill>
                    <a:srgbClr val="FF0000"/>
                  </a:solidFill>
                  <a:latin typeface="Calibri"/>
                </a:rPr>
                <a:t>Add Row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1123950</xdr:colOff>
          <xdr:row>1</xdr:row>
          <xdr:rowOff>76200</xdr:rowOff>
        </xdr:from>
        <xdr:to>
          <xdr:col>2</xdr:col>
          <xdr:colOff>190500</xdr:colOff>
          <xdr:row>1</xdr:row>
          <xdr:rowOff>438150</xdr:rowOff>
        </xdr:to>
        <xdr:sp macro="" textlink="">
          <xdr:nvSpPr>
            <xdr:cNvPr id="36878" name="Button 2" hidden="1">
              <a:extLst>
                <a:ext uri="{63B3BB69-23CF-44E3-9099-C40C66FF867C}">
                  <a14:compatExt spid="_x0000_s36878"/>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GB" sz="1100" b="1" i="0" u="none" strike="noStrike" baseline="0">
                  <a:solidFill>
                    <a:srgbClr val="FF0000"/>
                  </a:solidFill>
                  <a:latin typeface="Calibri"/>
                </a:rPr>
                <a:t>Delete Row</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85725</xdr:colOff>
          <xdr:row>1</xdr:row>
          <xdr:rowOff>76200</xdr:rowOff>
        </xdr:from>
        <xdr:to>
          <xdr:col>1</xdr:col>
          <xdr:colOff>1066800</xdr:colOff>
          <xdr:row>1</xdr:row>
          <xdr:rowOff>438150</xdr:rowOff>
        </xdr:to>
        <xdr:sp macro="" textlink="">
          <xdr:nvSpPr>
            <xdr:cNvPr id="35849" name="Button 1" hidden="1">
              <a:extLst>
                <a:ext uri="{63B3BB69-23CF-44E3-9099-C40C66FF867C}">
                  <a14:compatExt spid="_x0000_s35849"/>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GB" sz="1100" b="1" i="0" u="none" strike="noStrike" baseline="0">
                  <a:solidFill>
                    <a:srgbClr val="FF0000"/>
                  </a:solidFill>
                  <a:latin typeface="Calibri"/>
                </a:rPr>
                <a:t>Add Row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1123950</xdr:colOff>
          <xdr:row>1</xdr:row>
          <xdr:rowOff>76200</xdr:rowOff>
        </xdr:from>
        <xdr:to>
          <xdr:col>2</xdr:col>
          <xdr:colOff>190500</xdr:colOff>
          <xdr:row>1</xdr:row>
          <xdr:rowOff>438150</xdr:rowOff>
        </xdr:to>
        <xdr:sp macro="" textlink="">
          <xdr:nvSpPr>
            <xdr:cNvPr id="35850" name="Button 2" hidden="1">
              <a:extLst>
                <a:ext uri="{63B3BB69-23CF-44E3-9099-C40C66FF867C}">
                  <a14:compatExt spid="_x0000_s35850"/>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GB" sz="1100" b="1" i="0" u="none" strike="noStrike" baseline="0">
                  <a:solidFill>
                    <a:srgbClr val="FF0000"/>
                  </a:solidFill>
                  <a:latin typeface="Calibri"/>
                </a:rPr>
                <a:t>Delete Row</a:t>
              </a:r>
            </a:p>
          </xdr:txBody>
        </xdr:sp>
        <xdr:clientData fPrintsWithSheet="0"/>
      </xdr:twoCellAnchor>
    </mc:Choice>
    <mc:Fallback/>
  </mc:AlternateContent>
</xdr:wsDr>
</file>

<file path=xl/theme/theme1.xml><?xml version="1.0" encoding="utf-8"?>
<a:theme xmlns:a="http://schemas.openxmlformats.org/drawingml/2006/main" name="Тема Office">
  <a:themeElements>
    <a:clrScheme name="Стандартная">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Стандартная">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Стандартная">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trlProp" Target="../ctrlProps/ctrlProp5.xml"/><Relationship Id="rId5" Type="http://schemas.openxmlformats.org/officeDocument/2006/relationships/ctrlProp" Target="../ctrlProps/ctrlProp4.xml"/><Relationship Id="rId4" Type="http://schemas.openxmlformats.org/officeDocument/2006/relationships/ctrlProp" Target="../ctrlProps/ctrlProp3.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4.bin"/><Relationship Id="rId5" Type="http://schemas.openxmlformats.org/officeDocument/2006/relationships/ctrlProp" Target="../ctrlProps/ctrlProp7.xml"/><Relationship Id="rId4" Type="http://schemas.openxmlformats.org/officeDocument/2006/relationships/ctrlProp" Target="../ctrlProps/ctrlProp6.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5.xml"/><Relationship Id="rId1" Type="http://schemas.openxmlformats.org/officeDocument/2006/relationships/printerSettings" Target="../printerSettings/printerSettings5.bin"/><Relationship Id="rId5" Type="http://schemas.openxmlformats.org/officeDocument/2006/relationships/ctrlProp" Target="../ctrlProps/ctrlProp9.xml"/><Relationship Id="rId4" Type="http://schemas.openxmlformats.org/officeDocument/2006/relationships/ctrlProp" Target="../ctrlProps/ctrlProp8.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6.xml"/><Relationship Id="rId1" Type="http://schemas.openxmlformats.org/officeDocument/2006/relationships/printerSettings" Target="../printerSettings/printerSettings6.bin"/><Relationship Id="rId6" Type="http://schemas.openxmlformats.org/officeDocument/2006/relationships/ctrlProp" Target="../ctrlProps/ctrlProp12.xml"/><Relationship Id="rId5" Type="http://schemas.openxmlformats.org/officeDocument/2006/relationships/ctrlProp" Target="../ctrlProps/ctrlProp11.xml"/><Relationship Id="rId4" Type="http://schemas.openxmlformats.org/officeDocument/2006/relationships/ctrlProp" Target="../ctrlProps/ctrlProp10.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7.xml"/><Relationship Id="rId1" Type="http://schemas.openxmlformats.org/officeDocument/2006/relationships/printerSettings" Target="../printerSettings/printerSettings7.bin"/><Relationship Id="rId6" Type="http://schemas.openxmlformats.org/officeDocument/2006/relationships/ctrlProp" Target="../ctrlProps/ctrlProp15.xml"/><Relationship Id="rId5" Type="http://schemas.openxmlformats.org/officeDocument/2006/relationships/ctrlProp" Target="../ctrlProps/ctrlProp14.xml"/><Relationship Id="rId4" Type="http://schemas.openxmlformats.org/officeDocument/2006/relationships/ctrlProp" Target="../ctrlProps/ctrlProp13.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8.xml"/><Relationship Id="rId1" Type="http://schemas.openxmlformats.org/officeDocument/2006/relationships/printerSettings" Target="../printerSettings/printerSettings8.bin"/><Relationship Id="rId5" Type="http://schemas.openxmlformats.org/officeDocument/2006/relationships/ctrlProp" Target="../ctrlProps/ctrlProp17.xml"/><Relationship Id="rId4" Type="http://schemas.openxmlformats.org/officeDocument/2006/relationships/ctrlProp" Target="../ctrlProps/ctrlProp16.xml"/></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2.xml.rels><?xml version="1.0" encoding="UTF-8" standalone="yes"?>
<Relationships xmlns="http://schemas.openxmlformats.org/package/2006/relationships"><Relationship Id="rId3" Type="http://schemas.openxmlformats.org/officeDocument/2006/relationships/printerSettings" Target="../printerSettings/printerSettings11.bin"/><Relationship Id="rId2" Type="http://schemas.openxmlformats.org/officeDocument/2006/relationships/hyperlink" Target="https://eacea.ec.europa.eu/erasmus-plus/funding/key-action-2-capacity-building-in-field-higher-education-2015_en" TargetMode="External"/><Relationship Id="rId1" Type="http://schemas.openxmlformats.org/officeDocument/2006/relationships/hyperlink" Target="http://ec.europa.eu/programmes/erasmus-plus/documents/erasmus-plus-programme-guide_en.pdf"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tabColor theme="6" tint="-0.249977111117893"/>
    <pageSetUpPr fitToPage="1"/>
  </sheetPr>
  <dimension ref="B1:L84"/>
  <sheetViews>
    <sheetView showGridLines="0" tabSelected="1" topLeftCell="A7" zoomScale="70" zoomScaleNormal="70" zoomScaleSheetLayoutView="85" workbookViewId="0">
      <selection activeCell="D11" sqref="D11"/>
    </sheetView>
  </sheetViews>
  <sheetFormatPr defaultColWidth="9.140625" defaultRowHeight="18" x14ac:dyDescent="0.25"/>
  <cols>
    <col min="1" max="1" width="1.7109375" style="36" customWidth="1"/>
    <col min="2" max="2" width="10" style="36" customWidth="1"/>
    <col min="3" max="3" width="50.7109375" style="37" customWidth="1"/>
    <col min="4" max="4" width="42.5703125" style="36" customWidth="1"/>
    <col min="5" max="5" width="23.5703125" style="36" bestFit="1" customWidth="1"/>
    <col min="6" max="12" width="20.7109375" style="36" customWidth="1"/>
    <col min="13" max="13" width="1.7109375" style="36" customWidth="1"/>
    <col min="14" max="16384" width="9.140625" style="36"/>
  </cols>
  <sheetData>
    <row r="1" spans="2:12" ht="9.9499999999999993" customHeight="1" x14ac:dyDescent="0.25">
      <c r="G1" s="38"/>
      <c r="H1" s="38"/>
      <c r="I1" s="38"/>
      <c r="J1" s="38"/>
      <c r="K1" s="38"/>
      <c r="L1" s="38"/>
    </row>
    <row r="2" spans="2:12" s="41" customFormat="1" x14ac:dyDescent="0.25">
      <c r="B2" s="39"/>
      <c r="C2" s="39"/>
      <c r="D2" s="40"/>
      <c r="E2" s="40"/>
      <c r="F2" s="40"/>
      <c r="G2" s="38"/>
      <c r="H2" s="38"/>
      <c r="I2" s="38"/>
      <c r="J2" s="38"/>
      <c r="K2" s="38"/>
      <c r="L2" s="38"/>
    </row>
    <row r="3" spans="2:12" s="41" customFormat="1" x14ac:dyDescent="0.25">
      <c r="B3" s="39"/>
      <c r="C3" s="39"/>
      <c r="D3" s="42" t="s">
        <v>297</v>
      </c>
      <c r="E3" s="43"/>
      <c r="F3" s="40"/>
      <c r="G3" s="38"/>
      <c r="H3" s="38"/>
      <c r="I3" s="38"/>
      <c r="J3" s="38"/>
      <c r="K3" s="38"/>
      <c r="L3" s="38"/>
    </row>
    <row r="4" spans="2:12" s="41" customFormat="1" ht="20.100000000000001" customHeight="1" x14ac:dyDescent="0.25">
      <c r="B4" s="39"/>
      <c r="D4" s="42" t="s">
        <v>287</v>
      </c>
      <c r="E4" s="44"/>
      <c r="F4" s="44"/>
      <c r="G4" s="44"/>
      <c r="H4" s="44"/>
      <c r="I4" s="44"/>
      <c r="J4" s="44"/>
      <c r="K4" s="44"/>
      <c r="L4" s="44"/>
    </row>
    <row r="5" spans="2:12" s="41" customFormat="1" ht="20.100000000000001" customHeight="1" x14ac:dyDescent="0.25">
      <c r="B5" s="39"/>
      <c r="D5" s="44"/>
      <c r="E5" s="44"/>
      <c r="F5" s="44"/>
      <c r="G5" s="44"/>
      <c r="H5" s="44"/>
      <c r="I5" s="44"/>
      <c r="J5" s="44"/>
      <c r="K5" s="44"/>
      <c r="L5" s="44"/>
    </row>
    <row r="6" spans="2:12" s="41" customFormat="1" ht="9.9499999999999993" customHeight="1" x14ac:dyDescent="0.25">
      <c r="B6" s="45"/>
      <c r="C6" s="45"/>
      <c r="D6" s="40"/>
      <c r="E6" s="40"/>
      <c r="F6" s="40"/>
      <c r="G6" s="40"/>
      <c r="H6" s="40"/>
      <c r="I6" s="40"/>
      <c r="J6" s="40"/>
      <c r="K6" s="40"/>
    </row>
    <row r="7" spans="2:12" s="41" customFormat="1" ht="24.95" customHeight="1" x14ac:dyDescent="0.25">
      <c r="B7" s="161" t="s">
        <v>4</v>
      </c>
      <c r="C7" s="161"/>
      <c r="D7" s="161"/>
      <c r="E7" s="161"/>
      <c r="F7" s="161"/>
      <c r="G7" s="161"/>
      <c r="H7" s="161"/>
      <c r="I7" s="161"/>
      <c r="J7" s="161"/>
      <c r="K7" s="161"/>
      <c r="L7" s="161"/>
    </row>
    <row r="8" spans="2:12" s="41" customFormat="1" ht="24.95" customHeight="1" x14ac:dyDescent="0.25">
      <c r="B8" s="162" t="s">
        <v>531</v>
      </c>
      <c r="C8" s="162"/>
      <c r="D8" s="162"/>
      <c r="E8" s="162"/>
      <c r="F8" s="162"/>
      <c r="G8" s="162"/>
      <c r="H8" s="162"/>
      <c r="I8" s="162"/>
      <c r="J8" s="162"/>
      <c r="K8" s="162"/>
      <c r="L8" s="162"/>
    </row>
    <row r="9" spans="2:12" s="41" customFormat="1" ht="24.95" customHeight="1" x14ac:dyDescent="0.25">
      <c r="B9" s="163" t="s">
        <v>176</v>
      </c>
      <c r="C9" s="163"/>
      <c r="D9" s="163"/>
      <c r="E9" s="163"/>
      <c r="F9" s="163"/>
      <c r="G9" s="163"/>
      <c r="H9" s="163"/>
      <c r="I9" s="163"/>
      <c r="J9" s="163"/>
      <c r="K9" s="163"/>
      <c r="L9" s="163"/>
    </row>
    <row r="10" spans="2:12" s="41" customFormat="1" ht="30" customHeight="1" x14ac:dyDescent="0.25">
      <c r="B10" s="45"/>
      <c r="C10" s="45"/>
      <c r="D10" s="40"/>
      <c r="E10" s="40"/>
      <c r="F10" s="40"/>
      <c r="G10" s="40"/>
      <c r="H10" s="40"/>
      <c r="I10" s="40"/>
      <c r="J10" s="40"/>
      <c r="K10" s="40"/>
    </row>
    <row r="11" spans="2:12" s="41" customFormat="1" ht="18" customHeight="1" x14ac:dyDescent="0.25">
      <c r="B11" s="164" t="s">
        <v>6</v>
      </c>
      <c r="C11" s="164"/>
      <c r="D11" s="46" t="s">
        <v>629</v>
      </c>
      <c r="E11" s="167" t="str">
        <f>IF(D11="","Please select Action Type",IF(OR(D11="Joint Project",D11="Structural Project"),"","Error Type of Action"))</f>
        <v/>
      </c>
      <c r="F11" s="167"/>
      <c r="G11" s="167"/>
      <c r="H11" s="167"/>
      <c r="I11" s="167"/>
      <c r="J11" s="167"/>
      <c r="K11" s="167"/>
      <c r="L11" s="167"/>
    </row>
    <row r="12" spans="2:12" s="41" customFormat="1" ht="18" customHeight="1" x14ac:dyDescent="0.25">
      <c r="B12" s="164" t="s">
        <v>307</v>
      </c>
      <c r="C12" s="164"/>
      <c r="D12" s="46">
        <v>36</v>
      </c>
      <c r="E12" s="167" t="str">
        <f>IF(D12="","Please select duration",IF(OR(D12=24,D12=36),"","Error duration"))</f>
        <v/>
      </c>
      <c r="F12" s="167"/>
      <c r="G12" s="167"/>
      <c r="H12" s="167"/>
      <c r="I12" s="167"/>
      <c r="J12" s="167"/>
      <c r="K12" s="167"/>
      <c r="L12" s="167"/>
    </row>
    <row r="13" spans="2:12" s="41" customFormat="1" ht="18" customHeight="1" x14ac:dyDescent="0.25">
      <c r="B13" s="164" t="s">
        <v>361</v>
      </c>
      <c r="C13" s="164"/>
      <c r="D13" s="46" t="s">
        <v>566</v>
      </c>
      <c r="E13" s="167" t="str">
        <f>IF(D13="","Please fill in Project Acronym","")</f>
        <v/>
      </c>
      <c r="F13" s="167"/>
      <c r="G13" s="167"/>
      <c r="H13" s="167"/>
      <c r="I13" s="167"/>
      <c r="J13" s="167"/>
      <c r="K13" s="167"/>
      <c r="L13" s="167"/>
    </row>
    <row r="14" spans="2:12" s="41" customFormat="1" ht="18" customHeight="1" x14ac:dyDescent="0.25">
      <c r="B14" s="164" t="s">
        <v>362</v>
      </c>
      <c r="C14" s="164"/>
      <c r="D14" s="168" t="s">
        <v>565</v>
      </c>
      <c r="E14" s="168"/>
      <c r="F14" s="168"/>
      <c r="G14" s="168"/>
      <c r="H14" s="168"/>
      <c r="I14" s="168"/>
      <c r="J14" s="168"/>
      <c r="K14" s="168"/>
      <c r="L14" s="168"/>
    </row>
    <row r="15" spans="2:12" s="41" customFormat="1" ht="30" customHeight="1" x14ac:dyDescent="0.25">
      <c r="B15" s="40"/>
      <c r="C15" s="40"/>
      <c r="D15" s="40"/>
      <c r="E15" s="40"/>
      <c r="F15" s="47"/>
      <c r="G15" s="40"/>
      <c r="H15" s="40"/>
      <c r="I15" s="40"/>
      <c r="J15" s="40"/>
      <c r="K15" s="40"/>
    </row>
    <row r="16" spans="2:12" s="41" customFormat="1" ht="24.95" customHeight="1" x14ac:dyDescent="0.25">
      <c r="B16" s="165" t="s">
        <v>539</v>
      </c>
      <c r="C16" s="165"/>
      <c r="D16" s="165"/>
      <c r="E16" s="165"/>
      <c r="F16" s="165"/>
      <c r="G16" s="165"/>
      <c r="H16" s="165"/>
      <c r="I16" s="165"/>
      <c r="J16" s="165"/>
      <c r="K16" s="165"/>
      <c r="L16" s="165"/>
    </row>
    <row r="17" spans="2:12" s="41" customFormat="1" x14ac:dyDescent="0.25">
      <c r="B17" s="166" t="s">
        <v>357</v>
      </c>
      <c r="C17" s="166"/>
      <c r="D17" s="48">
        <f>'1. Staff costs'!E9</f>
        <v>380215</v>
      </c>
      <c r="E17" s="160" t="str">
        <f>"Cannot exceed 40% of total A."</f>
        <v>Cannot exceed 40% of total A.</v>
      </c>
      <c r="F17" s="160"/>
      <c r="G17" s="160"/>
      <c r="H17" s="160"/>
      <c r="I17" s="160"/>
      <c r="J17" s="160"/>
      <c r="K17" s="160"/>
      <c r="L17" s="160"/>
    </row>
    <row r="18" spans="2:12" s="41" customFormat="1" x14ac:dyDescent="0.25">
      <c r="B18" s="166" t="s">
        <v>488</v>
      </c>
      <c r="C18" s="166"/>
      <c r="D18" s="48">
        <f>'2-3. Travel Costs&amp;Costs of Stay'!C4</f>
        <v>282025</v>
      </c>
      <c r="E18" s="160"/>
      <c r="F18" s="160"/>
      <c r="G18" s="160"/>
      <c r="H18" s="160"/>
      <c r="I18" s="160"/>
      <c r="J18" s="160"/>
      <c r="K18" s="160"/>
      <c r="L18" s="160"/>
    </row>
    <row r="19" spans="2:12" s="41" customFormat="1" x14ac:dyDescent="0.25">
      <c r="B19" s="166" t="s">
        <v>489</v>
      </c>
      <c r="C19" s="166"/>
      <c r="D19" s="48">
        <f>'2-3. Travel Costs&amp;Costs of Stay'!C6</f>
        <v>181560</v>
      </c>
      <c r="E19" s="160"/>
      <c r="F19" s="160"/>
      <c r="G19" s="160"/>
      <c r="H19" s="160"/>
      <c r="I19" s="160"/>
      <c r="J19" s="160"/>
      <c r="K19" s="160"/>
      <c r="L19" s="160"/>
    </row>
    <row r="20" spans="2:12" s="41" customFormat="1" x14ac:dyDescent="0.25">
      <c r="B20" s="166" t="s">
        <v>483</v>
      </c>
      <c r="C20" s="166"/>
      <c r="D20" s="48">
        <f>'4. Equipment Costs'!C4</f>
        <v>123200</v>
      </c>
      <c r="E20" s="160" t="str">
        <f>"Cannot exceed 30% of total A."</f>
        <v>Cannot exceed 30% of total A.</v>
      </c>
      <c r="F20" s="160"/>
      <c r="G20" s="160"/>
      <c r="H20" s="160"/>
      <c r="I20" s="160"/>
      <c r="J20" s="160"/>
      <c r="K20" s="160"/>
      <c r="L20" s="160"/>
    </row>
    <row r="21" spans="2:12" s="41" customFormat="1" x14ac:dyDescent="0.25">
      <c r="B21" s="166" t="s">
        <v>484</v>
      </c>
      <c r="C21" s="166"/>
      <c r="D21" s="48">
        <f>'5. Subcontracting Costs'!C4</f>
        <v>20000</v>
      </c>
      <c r="E21" s="160" t="str">
        <f>"Cannot exceed 10% of total A."</f>
        <v>Cannot exceed 10% of total A.</v>
      </c>
      <c r="F21" s="160"/>
      <c r="G21" s="160"/>
      <c r="H21" s="160"/>
      <c r="I21" s="160"/>
      <c r="J21" s="160"/>
      <c r="K21" s="160"/>
      <c r="L21" s="160"/>
    </row>
    <row r="22" spans="2:12" x14ac:dyDescent="0.25">
      <c r="B22" s="169" t="s">
        <v>499</v>
      </c>
      <c r="C22" s="169"/>
      <c r="D22" s="49">
        <f>SUM(D17:D21)</f>
        <v>987000</v>
      </c>
      <c r="E22" s="170" t="str">
        <f>"Should be equal or above EUR 500.000,00 and cannot exceed EUR 1.000.000,00"</f>
        <v>Should be equal or above EUR 500.000,00 and cannot exceed EUR 1.000.000,00</v>
      </c>
      <c r="F22" s="170"/>
      <c r="G22" s="170"/>
      <c r="H22" s="170"/>
      <c r="I22" s="170"/>
      <c r="J22" s="170"/>
      <c r="K22" s="170"/>
      <c r="L22" s="170"/>
    </row>
    <row r="23" spans="2:12" ht="8.1" customHeight="1" x14ac:dyDescent="0.25">
      <c r="B23" s="50"/>
      <c r="C23" s="50"/>
      <c r="D23" s="51"/>
      <c r="E23" s="52">
        <f>IF(OR(IF(AND(D22&gt;0,D22&lt;500000),1,0)=1,IF(AND(D22&gt;0,D22&gt;1000000),1,0)=1),1,0)</f>
        <v>0</v>
      </c>
      <c r="F23" s="53"/>
      <c r="G23" s="53"/>
      <c r="H23" s="53"/>
      <c r="I23" s="53"/>
      <c r="J23" s="53"/>
      <c r="K23" s="53"/>
      <c r="L23" s="53"/>
    </row>
    <row r="24" spans="2:12" s="41" customFormat="1" x14ac:dyDescent="0.25">
      <c r="B24" s="169" t="s">
        <v>376</v>
      </c>
      <c r="C24" s="169"/>
      <c r="D24" s="49">
        <f>'B. Special Mob Strand - Student'!C8+'B. Special Mob Strand - Staff'!C8</f>
        <v>0</v>
      </c>
      <c r="E24" s="172" t="s">
        <v>532</v>
      </c>
      <c r="F24" s="173"/>
      <c r="G24" s="173"/>
      <c r="H24" s="173"/>
      <c r="I24" s="173"/>
      <c r="J24" s="173"/>
      <c r="K24" s="173"/>
      <c r="L24" s="174"/>
    </row>
    <row r="25" spans="2:12" ht="8.1" customHeight="1" x14ac:dyDescent="0.25">
      <c r="B25" s="50"/>
      <c r="C25" s="50"/>
      <c r="D25" s="51"/>
      <c r="E25" s="54"/>
      <c r="F25" s="54"/>
      <c r="G25" s="54"/>
      <c r="H25" s="54"/>
      <c r="I25" s="54"/>
      <c r="J25" s="54"/>
      <c r="K25" s="54"/>
      <c r="L25" s="54"/>
    </row>
    <row r="26" spans="2:12" s="41" customFormat="1" x14ac:dyDescent="0.25">
      <c r="B26" s="169" t="s">
        <v>500</v>
      </c>
      <c r="C26" s="169"/>
      <c r="D26" s="49">
        <f>D22+D24</f>
        <v>987000</v>
      </c>
      <c r="E26" s="171"/>
      <c r="F26" s="171"/>
      <c r="G26" s="171"/>
      <c r="H26" s="171"/>
      <c r="I26" s="171"/>
      <c r="J26" s="171"/>
      <c r="K26" s="171"/>
      <c r="L26" s="171"/>
    </row>
    <row r="27" spans="2:12" s="41" customFormat="1" ht="30" customHeight="1" x14ac:dyDescent="0.25">
      <c r="B27" s="40"/>
      <c r="C27" s="40"/>
      <c r="D27" s="40"/>
      <c r="E27" s="40"/>
      <c r="F27" s="47"/>
      <c r="G27" s="40"/>
      <c r="H27" s="40"/>
      <c r="I27" s="40"/>
      <c r="J27" s="40"/>
      <c r="K27" s="40"/>
    </row>
    <row r="28" spans="2:12" s="41" customFormat="1" ht="24.95" customHeight="1" x14ac:dyDescent="0.25">
      <c r="B28" s="165" t="s">
        <v>375</v>
      </c>
      <c r="C28" s="165"/>
      <c r="D28" s="165"/>
      <c r="E28" s="165"/>
      <c r="F28" s="165"/>
      <c r="G28" s="165"/>
      <c r="H28" s="165"/>
      <c r="I28" s="165"/>
      <c r="J28" s="165"/>
      <c r="K28" s="165"/>
      <c r="L28" s="165"/>
    </row>
    <row r="29" spans="2:12" s="41" customFormat="1" ht="54" x14ac:dyDescent="0.25">
      <c r="B29" s="151" t="s">
        <v>335</v>
      </c>
      <c r="C29" s="56" t="s">
        <v>336</v>
      </c>
      <c r="D29" s="56" t="s">
        <v>0</v>
      </c>
      <c r="E29" s="57" t="s">
        <v>371</v>
      </c>
      <c r="F29" s="57" t="s">
        <v>493</v>
      </c>
      <c r="G29" s="57" t="s">
        <v>494</v>
      </c>
      <c r="H29" s="57" t="s">
        <v>495</v>
      </c>
      <c r="I29" s="57" t="s">
        <v>496</v>
      </c>
      <c r="J29" s="57" t="s">
        <v>497</v>
      </c>
      <c r="K29" s="58" t="s">
        <v>498</v>
      </c>
      <c r="L29" s="59" t="s">
        <v>486</v>
      </c>
    </row>
    <row r="30" spans="2:12" x14ac:dyDescent="0.25">
      <c r="B30" s="150" t="s">
        <v>15</v>
      </c>
      <c r="C30" s="65" t="s">
        <v>567</v>
      </c>
      <c r="D30" s="60" t="s">
        <v>53</v>
      </c>
      <c r="E30" s="61" t="str">
        <f>IFERROR(IF(D30&lt;&gt;"",VLOOKUP(D30,Rates!$B$5:$H$105,3,FALSE),""),"Country not found")</f>
        <v>Programme Countries</v>
      </c>
      <c r="F30" s="62">
        <f>SUMIF('1. Staff costs'!C:C,B30,'1. Staff costs'!I:I)+SUMIF('1. Staff costs'!C:C,B30,'1. Staff costs'!M:M)+SUMIF('1. Staff costs'!C:C,B30,'1. Staff costs'!Q:Q)+SUMIF('1. Staff costs'!C:C,B30,'1. Staff costs'!U:U)</f>
        <v>68432</v>
      </c>
      <c r="G30" s="62">
        <f>SUMIF('2-3. Travel Costs&amp;Costs of Stay'!C:C,B30,'2-3. Travel Costs&amp;Costs of Stay'!L:L)</f>
        <v>3195</v>
      </c>
      <c r="H30" s="62">
        <f>SUMIF('2-3. Travel Costs&amp;Costs of Stay'!C:C,B30,'2-3. Travel Costs&amp;Costs of Stay'!M:M)</f>
        <v>4920</v>
      </c>
      <c r="I30" s="62">
        <f>SUMIF('4. Equipment Costs'!C:C,B30,'4. Equipment Costs'!H:H)</f>
        <v>0</v>
      </c>
      <c r="J30" s="62">
        <f>SUMIF('5. Subcontracting Costs'!C:C,B30,'5. Subcontracting Costs'!H:H)</f>
        <v>0</v>
      </c>
      <c r="K30" s="63">
        <f>SUMIF('B. Special Mob Strand - Student'!B:B,B30,'B. Special Mob Strand - Student'!L:L)+SUMIF('B. Special Mob Strand - Student'!B:B,B30,'B. Special Mob Strand - Student'!M:M)+SUMIF('B. Special Mob Strand - Staff'!B:B,B30,'B. Special Mob Strand - Staff'!L:L)+SUMIF('B. Special Mob Strand - Staff'!B:B,B30,'B. Special Mob Strand - Staff'!M:M)</f>
        <v>0</v>
      </c>
      <c r="L30" s="64">
        <f>SUM(F30:K30)</f>
        <v>76547</v>
      </c>
    </row>
    <row r="31" spans="2:12" x14ac:dyDescent="0.25">
      <c r="B31" s="150" t="s">
        <v>16</v>
      </c>
      <c r="C31" s="65" t="s">
        <v>596</v>
      </c>
      <c r="D31" s="60" t="s">
        <v>51</v>
      </c>
      <c r="E31" s="61" t="str">
        <f>IFERROR(IF(D31&lt;&gt;"",VLOOKUP(D31,Rates!$B$5:$H$105,3,FALSE),""),"Country not found")</f>
        <v>Programme Countries</v>
      </c>
      <c r="F31" s="62">
        <f>SUMIF('1. Staff costs'!C:C,B31,'1. Staff costs'!I:I)+SUMIF('1. Staff costs'!C:C,B31,'1. Staff costs'!M:M)+SUMIF('1. Staff costs'!C:C,B31,'1. Staff costs'!Q:Q)+SUMIF('1. Staff costs'!C:C,B31,'1. Staff costs'!U:U)</f>
        <v>36680</v>
      </c>
      <c r="G31" s="62">
        <f>SUMIF('2-3. Travel Costs&amp;Costs of Stay'!C:C,B31,'2-3. Travel Costs&amp;Costs of Stay'!L:L)</f>
        <v>3850</v>
      </c>
      <c r="H31" s="62">
        <f>SUMIF('2-3. Travel Costs&amp;Costs of Stay'!C:C,B31,'2-3. Travel Costs&amp;Costs of Stay'!M:M)</f>
        <v>5880</v>
      </c>
      <c r="I31" s="62">
        <f>SUMIF('4. Equipment Costs'!C:C,B31,'4. Equipment Costs'!H:H)</f>
        <v>0</v>
      </c>
      <c r="J31" s="62">
        <f>SUMIF('5. Subcontracting Costs'!C:C,B31,'5. Subcontracting Costs'!H:H)</f>
        <v>0</v>
      </c>
      <c r="K31" s="63">
        <f>SUMIF('B. Special Mob Strand - Student'!B:B,B31,'B. Special Mob Strand - Student'!L:L)+SUMIF('B. Special Mob Strand - Student'!B:B,B31,'B. Special Mob Strand - Student'!M:M)+SUMIF('B. Special Mob Strand - Staff'!B:B,B31,'B. Special Mob Strand - Staff'!L:L)+SUMIF('B. Special Mob Strand - Staff'!B:B,B31,'B. Special Mob Strand - Staff'!M:M)</f>
        <v>0</v>
      </c>
      <c r="L31" s="64">
        <f t="shared" ref="L31:L84" si="0">SUM(F31:K31)</f>
        <v>46410</v>
      </c>
    </row>
    <row r="32" spans="2:12" x14ac:dyDescent="0.25">
      <c r="B32" s="150" t="s">
        <v>17</v>
      </c>
      <c r="C32" s="65" t="s">
        <v>627</v>
      </c>
      <c r="D32" s="60" t="s">
        <v>63</v>
      </c>
      <c r="E32" s="61" t="str">
        <f>IFERROR(IF(D32&lt;&gt;"",VLOOKUP(D32,Rates!$B$5:$H$105,3,FALSE),""),"Country not found")</f>
        <v>Programme Countries</v>
      </c>
      <c r="F32" s="62">
        <f>SUMIF('1. Staff costs'!C:C,B32,'1. Staff costs'!I:I)+SUMIF('1. Staff costs'!C:C,B32,'1. Staff costs'!M:M)+SUMIF('1. Staff costs'!C:C,B32,'1. Staff costs'!Q:Q)+SUMIF('1. Staff costs'!C:C,B32,'1. Staff costs'!U:U)</f>
        <v>16167</v>
      </c>
      <c r="G32" s="62">
        <f>SUMIF('2-3. Travel Costs&amp;Costs of Stay'!C:C,B32,'2-3. Travel Costs&amp;Costs of Stay'!L:L)</f>
        <v>3300</v>
      </c>
      <c r="H32" s="62">
        <f>SUMIF('2-3. Travel Costs&amp;Costs of Stay'!C:C,B32,'2-3. Travel Costs&amp;Costs of Stay'!M:M)</f>
        <v>5400</v>
      </c>
      <c r="I32" s="62">
        <f>SUMIF('4. Equipment Costs'!C:C,B32,'4. Equipment Costs'!H:H)</f>
        <v>0</v>
      </c>
      <c r="J32" s="62">
        <f>SUMIF('5. Subcontracting Costs'!C:C,B32,'5. Subcontracting Costs'!H:H)</f>
        <v>20000</v>
      </c>
      <c r="K32" s="63">
        <f>SUMIF('B. Special Mob Strand - Student'!B:B,B32,'B. Special Mob Strand - Student'!L:L)+SUMIF('B. Special Mob Strand - Student'!B:B,B32,'B. Special Mob Strand - Student'!M:M)+SUMIF('B. Special Mob Strand - Staff'!B:B,B32,'B. Special Mob Strand - Staff'!L:L)+SUMIF('B. Special Mob Strand - Staff'!B:B,B32,'B. Special Mob Strand - Staff'!M:M)</f>
        <v>0</v>
      </c>
      <c r="L32" s="64">
        <f t="shared" si="0"/>
        <v>44867</v>
      </c>
    </row>
    <row r="33" spans="2:12" x14ac:dyDescent="0.25">
      <c r="B33" s="150" t="s">
        <v>18</v>
      </c>
      <c r="C33" s="65" t="s">
        <v>568</v>
      </c>
      <c r="D33" s="60" t="s">
        <v>48</v>
      </c>
      <c r="E33" s="61" t="str">
        <f>IFERROR(IF(D33&lt;&gt;"",VLOOKUP(D33,Rates!$B$5:$H$105,3,FALSE),""),"Country not found")</f>
        <v>Programme Countries</v>
      </c>
      <c r="F33" s="62">
        <f>SUMIF('1. Staff costs'!C:C,B33,'1. Staff costs'!I:I)+SUMIF('1. Staff costs'!C:C,B33,'1. Staff costs'!M:M)+SUMIF('1. Staff costs'!C:C,B33,'1. Staff costs'!Q:Q)+SUMIF('1. Staff costs'!C:C,B33,'1. Staff costs'!U:U)</f>
        <v>52800</v>
      </c>
      <c r="G33" s="62">
        <f>SUMIF('2-3. Travel Costs&amp;Costs of Stay'!C:C,B33,'2-3. Travel Costs&amp;Costs of Stay'!L:L)</f>
        <v>2560</v>
      </c>
      <c r="H33" s="62">
        <f>SUMIF('2-3. Travel Costs&amp;Costs of Stay'!C:C,B33,'2-3. Travel Costs&amp;Costs of Stay'!M:M)</f>
        <v>4080</v>
      </c>
      <c r="I33" s="62">
        <f>SUMIF('4. Equipment Costs'!C:C,B33,'4. Equipment Costs'!H:H)</f>
        <v>0</v>
      </c>
      <c r="J33" s="62">
        <f>SUMIF('5. Subcontracting Costs'!C:C,B33,'5. Subcontracting Costs'!H:H)</f>
        <v>0</v>
      </c>
      <c r="K33" s="63">
        <f>SUMIF('B. Special Mob Strand - Student'!B:B,B33,'B. Special Mob Strand - Student'!L:L)+SUMIF('B. Special Mob Strand - Student'!B:B,B33,'B. Special Mob Strand - Student'!M:M)+SUMIF('B. Special Mob Strand - Staff'!B:B,B33,'B. Special Mob Strand - Staff'!L:L)+SUMIF('B. Special Mob Strand - Staff'!B:B,B33,'B. Special Mob Strand - Staff'!M:M)</f>
        <v>0</v>
      </c>
      <c r="L33" s="64">
        <f t="shared" si="0"/>
        <v>59440</v>
      </c>
    </row>
    <row r="34" spans="2:12" x14ac:dyDescent="0.25">
      <c r="B34" s="150" t="s">
        <v>19</v>
      </c>
      <c r="C34" s="65" t="s">
        <v>628</v>
      </c>
      <c r="D34" s="60" t="s">
        <v>43</v>
      </c>
      <c r="E34" s="61" t="str">
        <f>IFERROR(IF(D34&lt;&gt;"",VLOOKUP(D34,Rates!$B$5:$H$105,3,FALSE),""),"Country not found")</f>
        <v>Programme Countries</v>
      </c>
      <c r="F34" s="62">
        <f>SUMIF('1. Staff costs'!C:C,B34,'1. Staff costs'!I:I)+SUMIF('1. Staff costs'!C:C,B34,'1. Staff costs'!M:M)+SUMIF('1. Staff costs'!C:C,B34,'1. Staff costs'!Q:Q)+SUMIF('1. Staff costs'!C:C,B34,'1. Staff costs'!U:U)</f>
        <v>42050</v>
      </c>
      <c r="G34" s="62">
        <f>SUMIF('2-3. Travel Costs&amp;Costs of Stay'!C:C,B34,'2-3. Travel Costs&amp;Costs of Stay'!L:L)</f>
        <v>3440</v>
      </c>
      <c r="H34" s="62">
        <f>SUMIF('2-3. Travel Costs&amp;Costs of Stay'!C:C,B34,'2-3. Travel Costs&amp;Costs of Stay'!M:M)</f>
        <v>5160</v>
      </c>
      <c r="I34" s="62">
        <f>SUMIF('4. Equipment Costs'!C:C,B34,'4. Equipment Costs'!H:H)</f>
        <v>0</v>
      </c>
      <c r="J34" s="62">
        <f>SUMIF('5. Subcontracting Costs'!C:C,B34,'5. Subcontracting Costs'!H:H)</f>
        <v>0</v>
      </c>
      <c r="K34" s="63">
        <f>SUMIF('B. Special Mob Strand - Student'!B:B,B34,'B. Special Mob Strand - Student'!L:L)+SUMIF('B. Special Mob Strand - Student'!B:B,B34,'B. Special Mob Strand - Student'!M:M)+SUMIF('B. Special Mob Strand - Staff'!B:B,B34,'B. Special Mob Strand - Staff'!L:L)+SUMIF('B. Special Mob Strand - Staff'!B:B,B34,'B. Special Mob Strand - Staff'!M:M)</f>
        <v>0</v>
      </c>
      <c r="L34" s="64">
        <f t="shared" si="0"/>
        <v>50650</v>
      </c>
    </row>
    <row r="35" spans="2:12" x14ac:dyDescent="0.25">
      <c r="B35" s="150" t="s">
        <v>20</v>
      </c>
      <c r="C35" s="65" t="s">
        <v>569</v>
      </c>
      <c r="D35" s="60" t="s">
        <v>122</v>
      </c>
      <c r="E35" s="61" t="str">
        <f>IFERROR(IF(D35&lt;&gt;"",VLOOKUP(D35,Rates!$B$5:$H$105,3,FALSE),""),"Country not found")</f>
        <v>Partner Countries</v>
      </c>
      <c r="F35" s="62">
        <f>SUMIF('1. Staff costs'!C:C,B35,'1. Staff costs'!I:I)+SUMIF('1. Staff costs'!C:C,B35,'1. Staff costs'!M:M)+SUMIF('1. Staff costs'!C:C,B35,'1. Staff costs'!Q:Q)+SUMIF('1. Staff costs'!C:C,B35,'1. Staff costs'!U:U)</f>
        <v>10547</v>
      </c>
      <c r="G35" s="62">
        <f>SUMIF('2-3. Travel Costs&amp;Costs of Stay'!C:C,B35,'2-3. Travel Costs&amp;Costs of Stay'!L:L)</f>
        <v>14760</v>
      </c>
      <c r="H35" s="62">
        <f>SUMIF('2-3. Travel Costs&amp;Costs of Stay'!C:C,B35,'2-3. Travel Costs&amp;Costs of Stay'!M:M)</f>
        <v>8570</v>
      </c>
      <c r="I35" s="62">
        <f>SUMIF('4. Equipment Costs'!C:C,B35,'4. Equipment Costs'!H:H)</f>
        <v>20200</v>
      </c>
      <c r="J35" s="62">
        <f>SUMIF('5. Subcontracting Costs'!C:C,B35,'5. Subcontracting Costs'!H:H)</f>
        <v>0</v>
      </c>
      <c r="K35" s="63">
        <f>SUMIF('B. Special Mob Strand - Student'!B:B,B35,'B. Special Mob Strand - Student'!L:L)+SUMIF('B. Special Mob Strand - Student'!B:B,B35,'B. Special Mob Strand - Student'!M:M)+SUMIF('B. Special Mob Strand - Staff'!B:B,B35,'B. Special Mob Strand - Staff'!L:L)+SUMIF('B. Special Mob Strand - Staff'!B:B,B35,'B. Special Mob Strand - Staff'!M:M)</f>
        <v>0</v>
      </c>
      <c r="L35" s="64">
        <f t="shared" si="0"/>
        <v>54077</v>
      </c>
    </row>
    <row r="36" spans="2:12" x14ac:dyDescent="0.25">
      <c r="B36" s="150" t="s">
        <v>21</v>
      </c>
      <c r="C36" s="65" t="s">
        <v>598</v>
      </c>
      <c r="D36" s="60" t="s">
        <v>122</v>
      </c>
      <c r="E36" s="61" t="str">
        <f>IFERROR(IF(D36&lt;&gt;"",VLOOKUP(D36,Rates!$B$5:$H$105,3,FALSE),""),"Country not found")</f>
        <v>Partner Countries</v>
      </c>
      <c r="F36" s="62">
        <f>SUMIF('1. Staff costs'!C:C,B36,'1. Staff costs'!I:I)+SUMIF('1. Staff costs'!C:C,B36,'1. Staff costs'!M:M)+SUMIF('1. Staff costs'!C:C,B36,'1. Staff costs'!Q:Q)+SUMIF('1. Staff costs'!C:C,B36,'1. Staff costs'!U:U)</f>
        <v>11127</v>
      </c>
      <c r="G36" s="62">
        <f>SUMIF('2-3. Travel Costs&amp;Costs of Stay'!C:C,B36,'2-3. Travel Costs&amp;Costs of Stay'!L:L)</f>
        <v>17220</v>
      </c>
      <c r="H36" s="62">
        <f>SUMIF('2-3. Travel Costs&amp;Costs of Stay'!C:C,B36,'2-3. Travel Costs&amp;Costs of Stay'!M:M)</f>
        <v>11090</v>
      </c>
      <c r="I36" s="62">
        <f>SUMIF('4. Equipment Costs'!C:C,B36,'4. Equipment Costs'!H:H)</f>
        <v>5200</v>
      </c>
      <c r="J36" s="62">
        <f>SUMIF('5. Subcontracting Costs'!C:C,B36,'5. Subcontracting Costs'!H:H)</f>
        <v>0</v>
      </c>
      <c r="K36" s="63">
        <f>SUMIF('B. Special Mob Strand - Student'!B:B,B36,'B. Special Mob Strand - Student'!L:L)+SUMIF('B. Special Mob Strand - Student'!B:B,B36,'B. Special Mob Strand - Student'!M:M)+SUMIF('B. Special Mob Strand - Staff'!B:B,B36,'B. Special Mob Strand - Staff'!L:L)+SUMIF('B. Special Mob Strand - Staff'!B:B,B36,'B. Special Mob Strand - Staff'!M:M)</f>
        <v>0</v>
      </c>
      <c r="L36" s="64">
        <f t="shared" si="0"/>
        <v>44637</v>
      </c>
    </row>
    <row r="37" spans="2:12" x14ac:dyDescent="0.25">
      <c r="B37" s="150" t="s">
        <v>22</v>
      </c>
      <c r="C37" s="65" t="s">
        <v>610</v>
      </c>
      <c r="D37" s="60" t="s">
        <v>122</v>
      </c>
      <c r="E37" s="61" t="str">
        <f>IFERROR(IF(D37&lt;&gt;"",VLOOKUP(D37,Rates!$B$5:$H$105,3,FALSE),""),"Country not found")</f>
        <v>Partner Countries</v>
      </c>
      <c r="F37" s="62">
        <f>SUMIF('1. Staff costs'!C:C,B37,'1. Staff costs'!I:I)+SUMIF('1. Staff costs'!C:C,B37,'1. Staff costs'!M:M)+SUMIF('1. Staff costs'!C:C,B37,'1. Staff costs'!Q:Q)+SUMIF('1. Staff costs'!C:C,B37,'1. Staff costs'!U:U)</f>
        <v>330</v>
      </c>
      <c r="G37" s="62">
        <f>SUMIF('2-3. Travel Costs&amp;Costs of Stay'!C:C,B37,'2-3. Travel Costs&amp;Costs of Stay'!L:L)</f>
        <v>9840</v>
      </c>
      <c r="H37" s="62">
        <f>SUMIF('2-3. Travel Costs&amp;Costs of Stay'!C:C,B37,'2-3. Travel Costs&amp;Costs of Stay'!M:M)</f>
        <v>5400</v>
      </c>
      <c r="I37" s="62">
        <f>SUMIF('4. Equipment Costs'!C:C,B37,'4. Equipment Costs'!H:H)</f>
        <v>0</v>
      </c>
      <c r="J37" s="62">
        <f>SUMIF('5. Subcontracting Costs'!C:C,B37,'5. Subcontracting Costs'!H:H)</f>
        <v>0</v>
      </c>
      <c r="K37" s="63">
        <f>SUMIF('B. Special Mob Strand - Student'!B:B,B37,'B. Special Mob Strand - Student'!L:L)+SUMIF('B. Special Mob Strand - Student'!B:B,B37,'B. Special Mob Strand - Student'!M:M)+SUMIF('B. Special Mob Strand - Staff'!B:B,B37,'B. Special Mob Strand - Staff'!L:L)+SUMIF('B. Special Mob Strand - Staff'!B:B,B37,'B. Special Mob Strand - Staff'!M:M)</f>
        <v>0</v>
      </c>
      <c r="L37" s="64">
        <f t="shared" si="0"/>
        <v>15570</v>
      </c>
    </row>
    <row r="38" spans="2:12" x14ac:dyDescent="0.25">
      <c r="B38" s="150" t="s">
        <v>23</v>
      </c>
      <c r="C38" s="65" t="s">
        <v>619</v>
      </c>
      <c r="D38" s="60" t="s">
        <v>122</v>
      </c>
      <c r="E38" s="61" t="str">
        <f>IFERROR(IF(D38&lt;&gt;"",VLOOKUP(D38,Rates!$B$5:$H$105,3,FALSE),""),"Country not found")</f>
        <v>Partner Countries</v>
      </c>
      <c r="F38" s="62">
        <f>SUMIF('1. Staff costs'!C:C,B38,'1. Staff costs'!I:I)+SUMIF('1. Staff costs'!C:C,B38,'1. Staff costs'!M:M)+SUMIF('1. Staff costs'!C:C,B38,'1. Staff costs'!Q:Q)+SUMIF('1. Staff costs'!C:C,B38,'1. Staff costs'!U:U)</f>
        <v>0</v>
      </c>
      <c r="G38" s="62">
        <f>SUMIF('2-3. Travel Costs&amp;Costs of Stay'!C:C,B38,'2-3. Travel Costs&amp;Costs of Stay'!L:L)</f>
        <v>9020</v>
      </c>
      <c r="H38" s="62">
        <f>SUMIF('2-3. Travel Costs&amp;Costs of Stay'!C:C,B38,'2-3. Travel Costs&amp;Costs of Stay'!M:M)</f>
        <v>4560</v>
      </c>
      <c r="I38" s="62">
        <f>SUMIF('4. Equipment Costs'!C:C,B38,'4. Equipment Costs'!H:H)</f>
        <v>0</v>
      </c>
      <c r="J38" s="62">
        <f>SUMIF('5. Subcontracting Costs'!C:C,B38,'5. Subcontracting Costs'!H:H)</f>
        <v>0</v>
      </c>
      <c r="K38" s="63">
        <f>SUMIF('B. Special Mob Strand - Student'!B:B,B38,'B. Special Mob Strand - Student'!L:L)+SUMIF('B. Special Mob Strand - Student'!B:B,B38,'B. Special Mob Strand - Student'!M:M)+SUMIF('B. Special Mob Strand - Staff'!B:B,B38,'B. Special Mob Strand - Staff'!L:L)+SUMIF('B. Special Mob Strand - Staff'!B:B,B38,'B. Special Mob Strand - Staff'!M:M)</f>
        <v>0</v>
      </c>
      <c r="L38" s="64">
        <f t="shared" si="0"/>
        <v>13580</v>
      </c>
    </row>
    <row r="39" spans="2:12" x14ac:dyDescent="0.25">
      <c r="B39" s="150" t="s">
        <v>24</v>
      </c>
      <c r="C39" s="65" t="s">
        <v>570</v>
      </c>
      <c r="D39" s="60" t="s">
        <v>96</v>
      </c>
      <c r="E39" s="61" t="str">
        <f>IFERROR(IF(D39&lt;&gt;"",VLOOKUP(D39,Rates!$B$5:$H$105,3,FALSE),""),"Country not found")</f>
        <v>Partner Countries</v>
      </c>
      <c r="F39" s="62">
        <f>SUMIF('1. Staff costs'!C:C,B39,'1. Staff costs'!I:I)+SUMIF('1. Staff costs'!C:C,B39,'1. Staff costs'!M:M)+SUMIF('1. Staff costs'!C:C,B39,'1. Staff costs'!Q:Q)+SUMIF('1. Staff costs'!C:C,B39,'1. Staff costs'!U:U)</f>
        <v>14223</v>
      </c>
      <c r="G39" s="62">
        <f>SUMIF('2-3. Travel Costs&amp;Costs of Stay'!C:C,B39,'2-3. Travel Costs&amp;Costs of Stay'!L:L)</f>
        <v>15580</v>
      </c>
      <c r="H39" s="62">
        <f>SUMIF('2-3. Travel Costs&amp;Costs of Stay'!C:C,B39,'2-3. Travel Costs&amp;Costs of Stay'!M:M)</f>
        <v>9410</v>
      </c>
      <c r="I39" s="62">
        <f>SUMIF('4. Equipment Costs'!C:C,B39,'4. Equipment Costs'!H:H)</f>
        <v>21000</v>
      </c>
      <c r="J39" s="62">
        <f>SUMIF('5. Subcontracting Costs'!C:C,B39,'5. Subcontracting Costs'!H:H)</f>
        <v>0</v>
      </c>
      <c r="K39" s="63">
        <f>SUMIF('B. Special Mob Strand - Student'!B:B,B39,'B. Special Mob Strand - Student'!L:L)+SUMIF('B. Special Mob Strand - Student'!B:B,B39,'B. Special Mob Strand - Student'!M:M)+SUMIF('B. Special Mob Strand - Staff'!B:B,B39,'B. Special Mob Strand - Staff'!L:L)+SUMIF('B. Special Mob Strand - Staff'!B:B,B39,'B. Special Mob Strand - Staff'!M:M)</f>
        <v>0</v>
      </c>
      <c r="L39" s="64">
        <f t="shared" si="0"/>
        <v>60213</v>
      </c>
    </row>
    <row r="40" spans="2:12" x14ac:dyDescent="0.25">
      <c r="B40" s="150" t="s">
        <v>25</v>
      </c>
      <c r="C40" s="65" t="s">
        <v>618</v>
      </c>
      <c r="D40" s="60" t="s">
        <v>96</v>
      </c>
      <c r="E40" s="61" t="str">
        <f>IFERROR(IF(D40&lt;&gt;"",VLOOKUP(D40,Rates!$B$5:$H$105,3,FALSE),""),"Country not found")</f>
        <v>Partner Countries</v>
      </c>
      <c r="F40" s="62">
        <f>SUMIF('1. Staff costs'!C:C,B40,'1. Staff costs'!I:I)+SUMIF('1. Staff costs'!C:C,B40,'1. Staff costs'!M:M)+SUMIF('1. Staff costs'!C:C,B40,'1. Staff costs'!Q:Q)+SUMIF('1. Staff costs'!C:C,B40,'1. Staff costs'!U:U)</f>
        <v>13505</v>
      </c>
      <c r="G40" s="62">
        <f>SUMIF('2-3. Travel Costs&amp;Costs of Stay'!C:C,B40,'2-3. Travel Costs&amp;Costs of Stay'!L:L)</f>
        <v>14760</v>
      </c>
      <c r="H40" s="62">
        <f>SUMIF('2-3. Travel Costs&amp;Costs of Stay'!C:C,B40,'2-3. Travel Costs&amp;Costs of Stay'!M:M)</f>
        <v>8570</v>
      </c>
      <c r="I40" s="62">
        <f>SUMIF('4. Equipment Costs'!C:C,B40,'4. Equipment Costs'!H:H)</f>
        <v>5200</v>
      </c>
      <c r="J40" s="62">
        <f>SUMIF('5. Subcontracting Costs'!C:C,B40,'5. Subcontracting Costs'!H:H)</f>
        <v>0</v>
      </c>
      <c r="K40" s="63">
        <f>SUMIF('B. Special Mob Strand - Student'!B:B,B40,'B. Special Mob Strand - Student'!L:L)+SUMIF('B. Special Mob Strand - Student'!B:B,B40,'B. Special Mob Strand - Student'!M:M)+SUMIF('B. Special Mob Strand - Staff'!B:B,B40,'B. Special Mob Strand - Staff'!L:L)+SUMIF('B. Special Mob Strand - Staff'!B:B,B40,'B. Special Mob Strand - Staff'!M:M)</f>
        <v>0</v>
      </c>
      <c r="L40" s="64">
        <f t="shared" si="0"/>
        <v>42035</v>
      </c>
    </row>
    <row r="41" spans="2:12" x14ac:dyDescent="0.25">
      <c r="B41" s="150" t="s">
        <v>26</v>
      </c>
      <c r="C41" s="65" t="s">
        <v>571</v>
      </c>
      <c r="D41" s="60" t="s">
        <v>96</v>
      </c>
      <c r="E41" s="61" t="str">
        <f>IFERROR(IF(D41&lt;&gt;"",VLOOKUP(D41,Rates!$B$5:$H$105,3,FALSE),""),"Country not found")</f>
        <v>Partner Countries</v>
      </c>
      <c r="F41" s="62">
        <f>SUMIF('1. Staff costs'!C:C,B41,'1. Staff costs'!I:I)+SUMIF('1. Staff costs'!C:C,B41,'1. Staff costs'!M:M)+SUMIF('1. Staff costs'!C:C,B41,'1. Staff costs'!Q:Q)+SUMIF('1. Staff costs'!C:C,B41,'1. Staff costs'!U:U)</f>
        <v>12243</v>
      </c>
      <c r="G41" s="62">
        <f>SUMIF('2-3. Travel Costs&amp;Costs of Stay'!C:C,B41,'2-3. Travel Costs&amp;Costs of Stay'!L:L)</f>
        <v>17220</v>
      </c>
      <c r="H41" s="62">
        <f>SUMIF('2-3. Travel Costs&amp;Costs of Stay'!C:C,B41,'2-3. Travel Costs&amp;Costs of Stay'!M:M)</f>
        <v>11090</v>
      </c>
      <c r="I41" s="62">
        <f>SUMIF('4. Equipment Costs'!C:C,B41,'4. Equipment Costs'!H:H)</f>
        <v>5200</v>
      </c>
      <c r="J41" s="62">
        <f>SUMIF('5. Subcontracting Costs'!C:C,B41,'5. Subcontracting Costs'!H:H)</f>
        <v>0</v>
      </c>
      <c r="K41" s="63">
        <f>SUMIF('B. Special Mob Strand - Student'!B:B,B41,'B. Special Mob Strand - Student'!L:L)+SUMIF('B. Special Mob Strand - Student'!B:B,B41,'B. Special Mob Strand - Student'!M:M)+SUMIF('B. Special Mob Strand - Staff'!B:B,B41,'B. Special Mob Strand - Staff'!L:L)+SUMIF('B. Special Mob Strand - Staff'!B:B,B41,'B. Special Mob Strand - Staff'!M:M)</f>
        <v>0</v>
      </c>
      <c r="L41" s="64">
        <f t="shared" si="0"/>
        <v>45753</v>
      </c>
    </row>
    <row r="42" spans="2:12" x14ac:dyDescent="0.25">
      <c r="B42" s="150" t="s">
        <v>346</v>
      </c>
      <c r="C42" s="65" t="s">
        <v>609</v>
      </c>
      <c r="D42" s="60" t="s">
        <v>96</v>
      </c>
      <c r="E42" s="61" t="str">
        <f>IFERROR(IF(D42&lt;&gt;"",VLOOKUP(D42,Rates!$B$5:$H$105,3,FALSE),""),"Country not found")</f>
        <v>Partner Countries</v>
      </c>
      <c r="F42" s="62">
        <f>SUMIF('1. Staff costs'!C:C,B42,'1. Staff costs'!I:I)+SUMIF('1. Staff costs'!C:C,B42,'1. Staff costs'!M:M)+SUMIF('1. Staff costs'!C:C,B42,'1. Staff costs'!Q:Q)+SUMIF('1. Staff costs'!C:C,B42,'1. Staff costs'!U:U)</f>
        <v>330</v>
      </c>
      <c r="G42" s="62">
        <f>SUMIF('2-3. Travel Costs&amp;Costs of Stay'!C:C,B42,'2-3. Travel Costs&amp;Costs of Stay'!L:L)</f>
        <v>9840</v>
      </c>
      <c r="H42" s="62">
        <f>SUMIF('2-3. Travel Costs&amp;Costs of Stay'!C:C,B42,'2-3. Travel Costs&amp;Costs of Stay'!M:M)</f>
        <v>5400</v>
      </c>
      <c r="I42" s="62">
        <f>SUMIF('4. Equipment Costs'!C:C,B42,'4. Equipment Costs'!H:H)</f>
        <v>0</v>
      </c>
      <c r="J42" s="62">
        <f>SUMIF('5. Subcontracting Costs'!C:C,B42,'5. Subcontracting Costs'!H:H)</f>
        <v>0</v>
      </c>
      <c r="K42" s="63">
        <f>SUMIF('B. Special Mob Strand - Student'!B:B,B42,'B. Special Mob Strand - Student'!L:L)+SUMIF('B. Special Mob Strand - Student'!B:B,B42,'B. Special Mob Strand - Student'!M:M)+SUMIF('B. Special Mob Strand - Staff'!B:B,B42,'B. Special Mob Strand - Staff'!L:L)+SUMIF('B. Special Mob Strand - Staff'!B:B,B42,'B. Special Mob Strand - Staff'!M:M)</f>
        <v>0</v>
      </c>
      <c r="L42" s="64">
        <f t="shared" si="0"/>
        <v>15570</v>
      </c>
    </row>
    <row r="43" spans="2:12" x14ac:dyDescent="0.25">
      <c r="B43" s="150" t="s">
        <v>27</v>
      </c>
      <c r="C43" s="65" t="s">
        <v>621</v>
      </c>
      <c r="D43" s="60" t="s">
        <v>96</v>
      </c>
      <c r="E43" s="61" t="str">
        <f>IFERROR(IF(D43&lt;&gt;"",VLOOKUP(D43,Rates!$B$5:$H$105,3,FALSE),""),"Country not found")</f>
        <v>Partner Countries</v>
      </c>
      <c r="F43" s="62">
        <f>SUMIF('1. Staff costs'!C:C,B43,'1. Staff costs'!I:I)+SUMIF('1. Staff costs'!C:C,B43,'1. Staff costs'!M:M)+SUMIF('1. Staff costs'!C:C,B43,'1. Staff costs'!Q:Q)+SUMIF('1. Staff costs'!C:C,B43,'1. Staff costs'!U:U)</f>
        <v>0</v>
      </c>
      <c r="G43" s="62">
        <f>SUMIF('2-3. Travel Costs&amp;Costs of Stay'!C:C,B43,'2-3. Travel Costs&amp;Costs of Stay'!L:L)</f>
        <v>9020</v>
      </c>
      <c r="H43" s="62">
        <f>SUMIF('2-3. Travel Costs&amp;Costs of Stay'!C:C,B43,'2-3. Travel Costs&amp;Costs of Stay'!M:M)</f>
        <v>4560</v>
      </c>
      <c r="I43" s="62">
        <f>SUMIF('4. Equipment Costs'!C:C,B43,'4. Equipment Costs'!H:H)</f>
        <v>0</v>
      </c>
      <c r="J43" s="62">
        <f>SUMIF('5. Subcontracting Costs'!C:C,B43,'5. Subcontracting Costs'!H:H)</f>
        <v>0</v>
      </c>
      <c r="K43" s="63">
        <f>SUMIF('B. Special Mob Strand - Student'!B:B,B43,'B. Special Mob Strand - Student'!L:L)+SUMIF('B. Special Mob Strand - Student'!B:B,B43,'B. Special Mob Strand - Student'!M:M)+SUMIF('B. Special Mob Strand - Staff'!B:B,B43,'B. Special Mob Strand - Staff'!L:L)+SUMIF('B. Special Mob Strand - Staff'!B:B,B43,'B. Special Mob Strand - Staff'!M:M)</f>
        <v>0</v>
      </c>
      <c r="L43" s="64">
        <f t="shared" si="0"/>
        <v>13580</v>
      </c>
    </row>
    <row r="44" spans="2:12" x14ac:dyDescent="0.25">
      <c r="B44" s="150" t="s">
        <v>28</v>
      </c>
      <c r="C44" s="65" t="s">
        <v>572</v>
      </c>
      <c r="D44" s="60" t="s">
        <v>117</v>
      </c>
      <c r="E44" s="61" t="str">
        <f>IFERROR(IF(D44&lt;&gt;"",VLOOKUP(D44,Rates!$B$5:$H$105,3,FALSE),""),"Country not found")</f>
        <v>Partner Countries</v>
      </c>
      <c r="F44" s="62">
        <f>SUMIF('1. Staff costs'!C:C,B44,'1. Staff costs'!I:I)+SUMIF('1. Staff costs'!C:C,B44,'1. Staff costs'!M:M)+SUMIF('1. Staff costs'!C:C,B44,'1. Staff costs'!Q:Q)+SUMIF('1. Staff costs'!C:C,B44,'1. Staff costs'!U:U)</f>
        <v>10335</v>
      </c>
      <c r="G44" s="62">
        <f>SUMIF('2-3. Travel Costs&amp;Costs of Stay'!C:C,B44,'2-3. Travel Costs&amp;Costs of Stay'!L:L)</f>
        <v>14760</v>
      </c>
      <c r="H44" s="62">
        <f>SUMIF('2-3. Travel Costs&amp;Costs of Stay'!C:C,B44,'2-3. Travel Costs&amp;Costs of Stay'!M:M)</f>
        <v>8570</v>
      </c>
      <c r="I44" s="62">
        <f>SUMIF('4. Equipment Costs'!C:C,B44,'4. Equipment Costs'!H:H)</f>
        <v>5200</v>
      </c>
      <c r="J44" s="62">
        <f>SUMIF('5. Subcontracting Costs'!C:C,B44,'5. Subcontracting Costs'!H:H)</f>
        <v>0</v>
      </c>
      <c r="K44" s="63">
        <f>SUMIF('B. Special Mob Strand - Student'!B:B,B44,'B. Special Mob Strand - Student'!L:L)+SUMIF('B. Special Mob Strand - Student'!B:B,B44,'B. Special Mob Strand - Student'!M:M)+SUMIF('B. Special Mob Strand - Staff'!B:B,B44,'B. Special Mob Strand - Staff'!L:L)+SUMIF('B. Special Mob Strand - Staff'!B:B,B44,'B. Special Mob Strand - Staff'!M:M)</f>
        <v>0</v>
      </c>
      <c r="L44" s="64">
        <f t="shared" si="0"/>
        <v>38865</v>
      </c>
    </row>
    <row r="45" spans="2:12" x14ac:dyDescent="0.25">
      <c r="B45" s="150" t="s">
        <v>29</v>
      </c>
      <c r="C45" s="65" t="s">
        <v>573</v>
      </c>
      <c r="D45" s="60" t="s">
        <v>117</v>
      </c>
      <c r="E45" s="61" t="str">
        <f>IFERROR(IF(D45&lt;&gt;"",VLOOKUP(D45,Rates!$B$5:$H$105,3,FALSE),""),"Country not found")</f>
        <v>Partner Countries</v>
      </c>
      <c r="F45" s="62">
        <f>SUMIF('1. Staff costs'!C:C,B45,'1. Staff costs'!I:I)+SUMIF('1. Staff costs'!C:C,B45,'1. Staff costs'!M:M)+SUMIF('1. Staff costs'!C:C,B45,'1. Staff costs'!Q:Q)+SUMIF('1. Staff costs'!C:C,B45,'1. Staff costs'!U:U)</f>
        <v>9705</v>
      </c>
      <c r="G45" s="62">
        <f>SUMIF('2-3. Travel Costs&amp;Costs of Stay'!C:C,B45,'2-3. Travel Costs&amp;Costs of Stay'!L:L)</f>
        <v>14760</v>
      </c>
      <c r="H45" s="62">
        <f>SUMIF('2-3. Travel Costs&amp;Costs of Stay'!C:C,B45,'2-3. Travel Costs&amp;Costs of Stay'!M:M)</f>
        <v>8570</v>
      </c>
      <c r="I45" s="62">
        <f>SUMIF('4. Equipment Costs'!C:C,B45,'4. Equipment Costs'!H:H)</f>
        <v>5200</v>
      </c>
      <c r="J45" s="62">
        <f>SUMIF('5. Subcontracting Costs'!C:C,B45,'5. Subcontracting Costs'!H:H)</f>
        <v>0</v>
      </c>
      <c r="K45" s="63">
        <f>SUMIF('B. Special Mob Strand - Student'!B:B,B45,'B. Special Mob Strand - Student'!L:L)+SUMIF('B. Special Mob Strand - Student'!B:B,B45,'B. Special Mob Strand - Student'!M:M)+SUMIF('B. Special Mob Strand - Staff'!B:B,B45,'B. Special Mob Strand - Staff'!L:L)+SUMIF('B. Special Mob Strand - Staff'!B:B,B45,'B. Special Mob Strand - Staff'!M:M)</f>
        <v>0</v>
      </c>
      <c r="L45" s="64">
        <f t="shared" si="0"/>
        <v>38235</v>
      </c>
    </row>
    <row r="46" spans="2:12" x14ac:dyDescent="0.25">
      <c r="B46" s="150" t="s">
        <v>30</v>
      </c>
      <c r="C46" s="65" t="s">
        <v>574</v>
      </c>
      <c r="D46" s="60" t="s">
        <v>117</v>
      </c>
      <c r="E46" s="61" t="str">
        <f>IFERROR(IF(D46&lt;&gt;"",VLOOKUP(D46,Rates!$B$5:$H$105,3,FALSE),""),"Country not found")</f>
        <v>Partner Countries</v>
      </c>
      <c r="F46" s="62">
        <f>SUMIF('1. Staff costs'!C:C,B46,'1. Staff costs'!I:I)+SUMIF('1. Staff costs'!C:C,B46,'1. Staff costs'!M:M)+SUMIF('1. Staff costs'!C:C,B46,'1. Staff costs'!Q:Q)+SUMIF('1. Staff costs'!C:C,B46,'1. Staff costs'!U:U)</f>
        <v>9600</v>
      </c>
      <c r="G46" s="62">
        <f>SUMIF('2-3. Travel Costs&amp;Costs of Stay'!C:C,B46,'2-3. Travel Costs&amp;Costs of Stay'!L:L)</f>
        <v>17220</v>
      </c>
      <c r="H46" s="62">
        <f>SUMIF('2-3. Travel Costs&amp;Costs of Stay'!C:C,B46,'2-3. Travel Costs&amp;Costs of Stay'!M:M)</f>
        <v>11090</v>
      </c>
      <c r="I46" s="62">
        <f>SUMIF('4. Equipment Costs'!C:C,B46,'4. Equipment Costs'!H:H)</f>
        <v>20200</v>
      </c>
      <c r="J46" s="62">
        <f>SUMIF('5. Subcontracting Costs'!C:C,B46,'5. Subcontracting Costs'!H:H)</f>
        <v>0</v>
      </c>
      <c r="K46" s="63">
        <f>SUMIF('B. Special Mob Strand - Student'!B:B,B46,'B. Special Mob Strand - Student'!L:L)+SUMIF('B. Special Mob Strand - Student'!B:B,B46,'B. Special Mob Strand - Student'!M:M)+SUMIF('B. Special Mob Strand - Staff'!B:B,B46,'B. Special Mob Strand - Staff'!L:L)+SUMIF('B. Special Mob Strand - Staff'!B:B,B46,'B. Special Mob Strand - Staff'!M:M)</f>
        <v>0</v>
      </c>
      <c r="L46" s="64">
        <f t="shared" si="0"/>
        <v>58110</v>
      </c>
    </row>
    <row r="47" spans="2:12" ht="36" x14ac:dyDescent="0.25">
      <c r="B47" s="150" t="s">
        <v>31</v>
      </c>
      <c r="C47" s="65" t="s">
        <v>620</v>
      </c>
      <c r="D47" s="60" t="s">
        <v>117</v>
      </c>
      <c r="E47" s="61" t="str">
        <f>IFERROR(IF(D47&lt;&gt;"",VLOOKUP(D47,Rates!$B$5:$H$105,3,FALSE),""),"Country not found")</f>
        <v>Partner Countries</v>
      </c>
      <c r="F47" s="62">
        <f>SUMIF('1. Staff costs'!C:C,B47,'1. Staff costs'!I:I)+SUMIF('1. Staff costs'!C:C,B47,'1. Staff costs'!M:M)+SUMIF('1. Staff costs'!C:C,B47,'1. Staff costs'!Q:Q)+SUMIF('1. Staff costs'!C:C,B47,'1. Staff costs'!U:U)</f>
        <v>330</v>
      </c>
      <c r="G47" s="62">
        <f>SUMIF('2-3. Travel Costs&amp;Costs of Stay'!C:C,B47,'2-3. Travel Costs&amp;Costs of Stay'!L:L)</f>
        <v>9840</v>
      </c>
      <c r="H47" s="62">
        <f>SUMIF('2-3. Travel Costs&amp;Costs of Stay'!C:C,B47,'2-3. Travel Costs&amp;Costs of Stay'!M:M)</f>
        <v>5400</v>
      </c>
      <c r="I47" s="62">
        <f>SUMIF('4. Equipment Costs'!C:C,B47,'4. Equipment Costs'!H:H)</f>
        <v>0</v>
      </c>
      <c r="J47" s="62">
        <f>SUMIF('5. Subcontracting Costs'!C:C,B47,'5. Subcontracting Costs'!H:H)</f>
        <v>0</v>
      </c>
      <c r="K47" s="63">
        <f>SUMIF('B. Special Mob Strand - Student'!B:B,B47,'B. Special Mob Strand - Student'!L:L)+SUMIF('B. Special Mob Strand - Student'!B:B,B47,'B. Special Mob Strand - Student'!M:M)+SUMIF('B. Special Mob Strand - Staff'!B:B,B47,'B. Special Mob Strand - Staff'!L:L)+SUMIF('B. Special Mob Strand - Staff'!B:B,B47,'B. Special Mob Strand - Staff'!M:M)</f>
        <v>0</v>
      </c>
      <c r="L47" s="64">
        <f t="shared" si="0"/>
        <v>15570</v>
      </c>
    </row>
    <row r="48" spans="2:12" x14ac:dyDescent="0.25">
      <c r="B48" s="150" t="s">
        <v>32</v>
      </c>
      <c r="C48" s="65" t="s">
        <v>622</v>
      </c>
      <c r="D48" s="60" t="s">
        <v>117</v>
      </c>
      <c r="E48" s="61" t="str">
        <f>IFERROR(IF(D48&lt;&gt;"",VLOOKUP(D48,Rates!$B$5:$H$105,3,FALSE),""),"Country not found")</f>
        <v>Partner Countries</v>
      </c>
      <c r="F48" s="62">
        <f>SUMIF('1. Staff costs'!C:C,B48,'1. Staff costs'!I:I)+SUMIF('1. Staff costs'!C:C,B48,'1. Staff costs'!M:M)+SUMIF('1. Staff costs'!C:C,B48,'1. Staff costs'!Q:Q)+SUMIF('1. Staff costs'!C:C,B48,'1. Staff costs'!U:U)</f>
        <v>0</v>
      </c>
      <c r="G48" s="62">
        <f>SUMIF('2-3. Travel Costs&amp;Costs of Stay'!C:C,B48,'2-3. Travel Costs&amp;Costs of Stay'!L:L)</f>
        <v>9020</v>
      </c>
      <c r="H48" s="62">
        <f>SUMIF('2-3. Travel Costs&amp;Costs of Stay'!C:C,B48,'2-3. Travel Costs&amp;Costs of Stay'!M:M)</f>
        <v>4560</v>
      </c>
      <c r="I48" s="62">
        <f>SUMIF('4. Equipment Costs'!C:C,B48,'4. Equipment Costs'!H:H)</f>
        <v>0</v>
      </c>
      <c r="J48" s="62">
        <f>SUMIF('5. Subcontracting Costs'!C:C,B48,'5. Subcontracting Costs'!H:H)</f>
        <v>0</v>
      </c>
      <c r="K48" s="63">
        <f>SUMIF('B. Special Mob Strand - Student'!B:B,B48,'B. Special Mob Strand - Student'!L:L)+SUMIF('B. Special Mob Strand - Student'!B:B,B48,'B. Special Mob Strand - Student'!M:M)+SUMIF('B. Special Mob Strand - Staff'!B:B,B48,'B. Special Mob Strand - Staff'!L:L)+SUMIF('B. Special Mob Strand - Staff'!B:B,B48,'B. Special Mob Strand - Staff'!M:M)</f>
        <v>0</v>
      </c>
      <c r="L48" s="64">
        <f t="shared" si="0"/>
        <v>13580</v>
      </c>
    </row>
    <row r="49" spans="2:12" x14ac:dyDescent="0.25">
      <c r="B49" s="150" t="s">
        <v>33</v>
      </c>
      <c r="C49" s="65" t="s">
        <v>624</v>
      </c>
      <c r="D49" s="60" t="s">
        <v>95</v>
      </c>
      <c r="E49" s="61" t="str">
        <f>IFERROR(IF(D49&lt;&gt;"",VLOOKUP(D49,Rates!$B$5:$H$105,3,FALSE),""),"Country not found")</f>
        <v>Partner Countries</v>
      </c>
      <c r="F49" s="62">
        <f>SUMIF('1. Staff costs'!C:C,B49,'1. Staff costs'!I:I)+SUMIF('1. Staff costs'!C:C,B49,'1. Staff costs'!M:M)+SUMIF('1. Staff costs'!C:C,B49,'1. Staff costs'!Q:Q)+SUMIF('1. Staff costs'!C:C,B49,'1. Staff costs'!U:U)</f>
        <v>16290</v>
      </c>
      <c r="G49" s="62">
        <f>SUMIF('2-3. Travel Costs&amp;Costs of Stay'!C:C,B49,'2-3. Travel Costs&amp;Costs of Stay'!L:L)</f>
        <v>14760</v>
      </c>
      <c r="H49" s="62">
        <f>SUMIF('2-3. Travel Costs&amp;Costs of Stay'!C:C,B49,'2-3. Travel Costs&amp;Costs of Stay'!M:M)</f>
        <v>8570</v>
      </c>
      <c r="I49" s="62">
        <f>SUMIF('4. Equipment Costs'!C:C,B49,'4. Equipment Costs'!H:H)</f>
        <v>20200</v>
      </c>
      <c r="J49" s="62">
        <f>SUMIF('5. Subcontracting Costs'!C:C,B49,'5. Subcontracting Costs'!H:H)</f>
        <v>0</v>
      </c>
      <c r="K49" s="63">
        <f>SUMIF('B. Special Mob Strand - Student'!B:B,B49,'B. Special Mob Strand - Student'!L:L)+SUMIF('B. Special Mob Strand - Student'!B:B,B49,'B. Special Mob Strand - Student'!M:M)+SUMIF('B. Special Mob Strand - Staff'!B:B,B49,'B. Special Mob Strand - Staff'!L:L)+SUMIF('B. Special Mob Strand - Staff'!B:B,B49,'B. Special Mob Strand - Staff'!M:M)</f>
        <v>0</v>
      </c>
      <c r="L49" s="64">
        <f t="shared" si="0"/>
        <v>59820</v>
      </c>
    </row>
    <row r="50" spans="2:12" x14ac:dyDescent="0.25">
      <c r="B50" s="150" t="s">
        <v>126</v>
      </c>
      <c r="C50" s="65" t="s">
        <v>575</v>
      </c>
      <c r="D50" s="60" t="s">
        <v>95</v>
      </c>
      <c r="E50" s="61" t="str">
        <f>IFERROR(IF(D50&lt;&gt;"",VLOOKUP(D50,Rates!$B$5:$H$105,3,FALSE),""),"Country not found")</f>
        <v>Partner Countries</v>
      </c>
      <c r="F50" s="62">
        <f>SUMIF('1. Staff costs'!C:C,B50,'1. Staff costs'!I:I)+SUMIF('1. Staff costs'!C:C,B50,'1. Staff costs'!M:M)+SUMIF('1. Staff costs'!C:C,B50,'1. Staff costs'!Q:Q)+SUMIF('1. Staff costs'!C:C,B50,'1. Staff costs'!U:U)</f>
        <v>21338</v>
      </c>
      <c r="G50" s="62">
        <f>SUMIF('2-3. Travel Costs&amp;Costs of Stay'!C:C,B50,'2-3. Travel Costs&amp;Costs of Stay'!L:L)</f>
        <v>14760</v>
      </c>
      <c r="H50" s="62">
        <f>SUMIF('2-3. Travel Costs&amp;Costs of Stay'!C:C,B50,'2-3. Travel Costs&amp;Costs of Stay'!M:M)</f>
        <v>8570</v>
      </c>
      <c r="I50" s="62">
        <f>SUMIF('4. Equipment Costs'!C:C,B50,'4. Equipment Costs'!H:H)</f>
        <v>5200</v>
      </c>
      <c r="J50" s="62">
        <f>SUMIF('5. Subcontracting Costs'!C:C,B50,'5. Subcontracting Costs'!H:H)</f>
        <v>0</v>
      </c>
      <c r="K50" s="63">
        <f>SUMIF('B. Special Mob Strand - Student'!B:B,B50,'B. Special Mob Strand - Student'!L:L)+SUMIF('B. Special Mob Strand - Student'!B:B,B50,'B. Special Mob Strand - Student'!M:M)+SUMIF('B. Special Mob Strand - Staff'!B:B,B50,'B. Special Mob Strand - Staff'!L:L)+SUMIF('B. Special Mob Strand - Staff'!B:B,B50,'B. Special Mob Strand - Staff'!M:M)</f>
        <v>0</v>
      </c>
      <c r="L50" s="64">
        <f t="shared" si="0"/>
        <v>49868</v>
      </c>
    </row>
    <row r="51" spans="2:12" x14ac:dyDescent="0.25">
      <c r="B51" s="150" t="s">
        <v>127</v>
      </c>
      <c r="C51" s="65" t="s">
        <v>599</v>
      </c>
      <c r="D51" s="60" t="s">
        <v>95</v>
      </c>
      <c r="E51" s="61" t="str">
        <f>IFERROR(IF(D51&lt;&gt;"",VLOOKUP(D51,Rates!$B$5:$H$105,3,FALSE),""),"Country not found")</f>
        <v>Partner Countries</v>
      </c>
      <c r="F51" s="62">
        <f>SUMIF('1. Staff costs'!C:C,B51,'1. Staff costs'!I:I)+SUMIF('1. Staff costs'!C:C,B51,'1. Staff costs'!M:M)+SUMIF('1. Staff costs'!C:C,B51,'1. Staff costs'!Q:Q)+SUMIF('1. Staff costs'!C:C,B51,'1. Staff costs'!U:U)</f>
        <v>20473</v>
      </c>
      <c r="G51" s="62">
        <f>SUMIF('2-3. Travel Costs&amp;Costs of Stay'!C:C,B51,'2-3. Travel Costs&amp;Costs of Stay'!L:L)</f>
        <v>17220</v>
      </c>
      <c r="H51" s="62">
        <f>SUMIF('2-3. Travel Costs&amp;Costs of Stay'!C:C,B51,'2-3. Travel Costs&amp;Costs of Stay'!M:M)</f>
        <v>11090</v>
      </c>
      <c r="I51" s="62">
        <f>SUMIF('4. Equipment Costs'!C:C,B51,'4. Equipment Costs'!H:H)</f>
        <v>5200</v>
      </c>
      <c r="J51" s="62">
        <f>SUMIF('5. Subcontracting Costs'!C:C,B51,'5. Subcontracting Costs'!H:H)</f>
        <v>0</v>
      </c>
      <c r="K51" s="63">
        <f>SUMIF('B. Special Mob Strand - Student'!B:B,B51,'B. Special Mob Strand - Student'!L:L)+SUMIF('B. Special Mob Strand - Student'!B:B,B51,'B. Special Mob Strand - Student'!M:M)+SUMIF('B. Special Mob Strand - Staff'!B:B,B51,'B. Special Mob Strand - Staff'!L:L)+SUMIF('B. Special Mob Strand - Staff'!B:B,B51,'B. Special Mob Strand - Staff'!M:M)</f>
        <v>0</v>
      </c>
      <c r="L51" s="64">
        <f t="shared" si="0"/>
        <v>53983</v>
      </c>
    </row>
    <row r="52" spans="2:12" x14ac:dyDescent="0.25">
      <c r="B52" s="150" t="s">
        <v>128</v>
      </c>
      <c r="C52" s="65" t="s">
        <v>625</v>
      </c>
      <c r="D52" s="60" t="s">
        <v>95</v>
      </c>
      <c r="E52" s="61" t="str">
        <f>IFERROR(IF(D52&lt;&gt;"",VLOOKUP(D52,Rates!$B$5:$H$105,3,FALSE),""),"Country not found")</f>
        <v>Partner Countries</v>
      </c>
      <c r="F52" s="62">
        <f>SUMIF('1. Staff costs'!C:C,B52,'1. Staff costs'!I:I)+SUMIF('1. Staff costs'!C:C,B52,'1. Staff costs'!M:M)+SUMIF('1. Staff costs'!C:C,B52,'1. Staff costs'!Q:Q)+SUMIF('1. Staff costs'!C:C,B52,'1. Staff costs'!U:U)</f>
        <v>13140</v>
      </c>
      <c r="G52" s="62">
        <f>SUMIF('2-3. Travel Costs&amp;Costs of Stay'!C:C,B52,'2-3. Travel Costs&amp;Costs of Stay'!L:L)</f>
        <v>17220</v>
      </c>
      <c r="H52" s="62">
        <f>SUMIF('2-3. Travel Costs&amp;Costs of Stay'!C:C,B52,'2-3. Travel Costs&amp;Costs of Stay'!M:M)</f>
        <v>11090</v>
      </c>
      <c r="I52" s="62">
        <f>SUMIF('4. Equipment Costs'!C:C,B52,'4. Equipment Costs'!H:H)</f>
        <v>5200</v>
      </c>
      <c r="J52" s="62">
        <f>SUMIF('5. Subcontracting Costs'!C:C,B52,'5. Subcontracting Costs'!H:H)</f>
        <v>0</v>
      </c>
      <c r="K52" s="63">
        <f>SUMIF('B. Special Mob Strand - Student'!B:B,B52,'B. Special Mob Strand - Student'!L:L)+SUMIF('B. Special Mob Strand - Student'!B:B,B52,'B. Special Mob Strand - Student'!M:M)+SUMIF('B. Special Mob Strand - Staff'!B:B,B52,'B. Special Mob Strand - Staff'!L:L)+SUMIF('B. Special Mob Strand - Staff'!B:B,B52,'B. Special Mob Strand - Staff'!M:M)</f>
        <v>0</v>
      </c>
      <c r="L52" s="64">
        <f t="shared" si="0"/>
        <v>46650</v>
      </c>
    </row>
    <row r="53" spans="2:12" x14ac:dyDescent="0.25">
      <c r="B53" s="150" t="s">
        <v>129</v>
      </c>
      <c r="C53" s="65" t="s">
        <v>626</v>
      </c>
      <c r="D53" s="60" t="s">
        <v>95</v>
      </c>
      <c r="E53" s="61" t="str">
        <f>IFERROR(IF(D53&lt;&gt;"",VLOOKUP(D53,Rates!$B$5:$H$105,3,FALSE),""),"Country not found")</f>
        <v>Partner Countries</v>
      </c>
      <c r="F53" s="62">
        <f>SUMIF('1. Staff costs'!C:C,B53,'1. Staff costs'!I:I)+SUMIF('1. Staff costs'!C:C,B53,'1. Staff costs'!M:M)+SUMIF('1. Staff costs'!C:C,B53,'1. Staff costs'!Q:Q)+SUMIF('1. Staff costs'!C:C,B53,'1. Staff costs'!U:U)</f>
        <v>570</v>
      </c>
      <c r="G53" s="62">
        <f>SUMIF('2-3. Travel Costs&amp;Costs of Stay'!C:C,B53,'2-3. Travel Costs&amp;Costs of Stay'!L:L)</f>
        <v>9840</v>
      </c>
      <c r="H53" s="62">
        <f>SUMIF('2-3. Travel Costs&amp;Costs of Stay'!C:C,B53,'2-3. Travel Costs&amp;Costs of Stay'!M:M)</f>
        <v>5400</v>
      </c>
      <c r="I53" s="62">
        <f>SUMIF('4. Equipment Costs'!C:C,B53,'4. Equipment Costs'!H:H)</f>
        <v>0</v>
      </c>
      <c r="J53" s="62">
        <f>SUMIF('5. Subcontracting Costs'!C:C,B53,'5. Subcontracting Costs'!H:H)</f>
        <v>0</v>
      </c>
      <c r="K53" s="63">
        <f>SUMIF('B. Special Mob Strand - Student'!B:B,B53,'B. Special Mob Strand - Student'!L:L)+SUMIF('B. Special Mob Strand - Student'!B:B,B53,'B. Special Mob Strand - Student'!M:M)+SUMIF('B. Special Mob Strand - Staff'!B:B,B53,'B. Special Mob Strand - Staff'!L:L)+SUMIF('B. Special Mob Strand - Staff'!B:B,B53,'B. Special Mob Strand - Staff'!M:M)</f>
        <v>0</v>
      </c>
      <c r="L53" s="64">
        <f t="shared" si="0"/>
        <v>15810</v>
      </c>
    </row>
    <row r="54" spans="2:12" x14ac:dyDescent="0.25">
      <c r="B54" s="150" t="s">
        <v>130</v>
      </c>
      <c r="C54" s="65" t="s">
        <v>623</v>
      </c>
      <c r="D54" s="60" t="s">
        <v>95</v>
      </c>
      <c r="E54" s="61" t="str">
        <f>IFERROR(IF(D54&lt;&gt;"",VLOOKUP(D54,Rates!$B$5:$H$105,3,FALSE),""),"Country not found")</f>
        <v>Partner Countries</v>
      </c>
      <c r="F54" s="62">
        <f>SUMIF('1. Staff costs'!C:C,B54,'1. Staff costs'!I:I)+SUMIF('1. Staff costs'!C:C,B54,'1. Staff costs'!M:M)+SUMIF('1. Staff costs'!C:C,B54,'1. Staff costs'!Q:Q)+SUMIF('1. Staff costs'!C:C,B54,'1. Staff costs'!U:U)</f>
        <v>0</v>
      </c>
      <c r="G54" s="62">
        <f>SUMIF('2-3. Travel Costs&amp;Costs of Stay'!C:C,B54,'2-3. Travel Costs&amp;Costs of Stay'!L:L)</f>
        <v>9020</v>
      </c>
      <c r="H54" s="62">
        <f>SUMIF('2-3. Travel Costs&amp;Costs of Stay'!C:C,B54,'2-3. Travel Costs&amp;Costs of Stay'!M:M)</f>
        <v>4560</v>
      </c>
      <c r="I54" s="62">
        <f>SUMIF('4. Equipment Costs'!C:C,B54,'4. Equipment Costs'!H:H)</f>
        <v>0</v>
      </c>
      <c r="J54" s="62">
        <f>SUMIF('5. Subcontracting Costs'!C:C,B54,'5. Subcontracting Costs'!H:H)</f>
        <v>0</v>
      </c>
      <c r="K54" s="63">
        <f>SUMIF('B. Special Mob Strand - Student'!B:B,B54,'B. Special Mob Strand - Student'!L:L)+SUMIF('B. Special Mob Strand - Student'!B:B,B54,'B. Special Mob Strand - Student'!M:M)+SUMIF('B. Special Mob Strand - Staff'!B:B,B54,'B. Special Mob Strand - Staff'!L:L)+SUMIF('B. Special Mob Strand - Staff'!B:B,B54,'B. Special Mob Strand - Staff'!M:M)</f>
        <v>0</v>
      </c>
      <c r="L54" s="64">
        <f t="shared" si="0"/>
        <v>13580</v>
      </c>
    </row>
    <row r="55" spans="2:12" x14ac:dyDescent="0.25">
      <c r="B55" s="150" t="s">
        <v>131</v>
      </c>
      <c r="C55" s="65"/>
      <c r="D55" s="60"/>
      <c r="E55" s="61" t="str">
        <f>IFERROR(IF(D55&lt;&gt;"",VLOOKUP(D55,Rates!$B$5:$H$105,3,FALSE),""),"Country not found")</f>
        <v/>
      </c>
      <c r="F55" s="62">
        <f>SUMIF('1. Staff costs'!C:C,B55,'1. Staff costs'!I:I)+SUMIF('1. Staff costs'!C:C,B55,'1. Staff costs'!M:M)+SUMIF('1. Staff costs'!C:C,B55,'1. Staff costs'!Q:Q)+SUMIF('1. Staff costs'!C:C,B55,'1. Staff costs'!U:U)</f>
        <v>0</v>
      </c>
      <c r="G55" s="62">
        <f>SUMIF('2-3. Travel Costs&amp;Costs of Stay'!C:C,B55,'2-3. Travel Costs&amp;Costs of Stay'!L:L)</f>
        <v>0</v>
      </c>
      <c r="H55" s="62">
        <f>SUMIF('2-3. Travel Costs&amp;Costs of Stay'!C:C,B55,'2-3. Travel Costs&amp;Costs of Stay'!M:M)</f>
        <v>0</v>
      </c>
      <c r="I55" s="62">
        <f>SUMIF('4. Equipment Costs'!C:C,B55,'4. Equipment Costs'!H:H)</f>
        <v>0</v>
      </c>
      <c r="J55" s="62">
        <f>SUMIF('5. Subcontracting Costs'!C:C,B55,'5. Subcontracting Costs'!H:H)</f>
        <v>0</v>
      </c>
      <c r="K55" s="63">
        <f>SUMIF('B. Special Mob Strand - Student'!B:B,B55,'B. Special Mob Strand - Student'!L:L)+SUMIF('B. Special Mob Strand - Student'!B:B,B55,'B. Special Mob Strand - Student'!M:M)+SUMIF('B. Special Mob Strand - Staff'!B:B,B55,'B. Special Mob Strand - Staff'!L:L)+SUMIF('B. Special Mob Strand - Staff'!B:B,B55,'B. Special Mob Strand - Staff'!M:M)</f>
        <v>0</v>
      </c>
      <c r="L55" s="64">
        <f t="shared" si="0"/>
        <v>0</v>
      </c>
    </row>
    <row r="56" spans="2:12" x14ac:dyDescent="0.25">
      <c r="B56" s="150" t="s">
        <v>132</v>
      </c>
      <c r="C56" s="65"/>
      <c r="D56" s="60"/>
      <c r="E56" s="61" t="str">
        <f>IFERROR(IF(D56&lt;&gt;"",VLOOKUP(D56,Rates!$B$5:$H$105,3,FALSE),""),"Country not found")</f>
        <v/>
      </c>
      <c r="F56" s="62">
        <f>SUMIF('1. Staff costs'!C:C,B56,'1. Staff costs'!I:I)+SUMIF('1. Staff costs'!C:C,B56,'1. Staff costs'!M:M)+SUMIF('1. Staff costs'!C:C,B56,'1. Staff costs'!Q:Q)+SUMIF('1. Staff costs'!C:C,B56,'1. Staff costs'!U:U)</f>
        <v>0</v>
      </c>
      <c r="G56" s="62">
        <f>SUMIF('2-3. Travel Costs&amp;Costs of Stay'!C:C,B56,'2-3. Travel Costs&amp;Costs of Stay'!L:L)</f>
        <v>0</v>
      </c>
      <c r="H56" s="62">
        <f>SUMIF('2-3. Travel Costs&amp;Costs of Stay'!C:C,B56,'2-3. Travel Costs&amp;Costs of Stay'!M:M)</f>
        <v>0</v>
      </c>
      <c r="I56" s="62">
        <f>SUMIF('4. Equipment Costs'!C:C,B56,'4. Equipment Costs'!H:H)</f>
        <v>0</v>
      </c>
      <c r="J56" s="62">
        <f>SUMIF('5. Subcontracting Costs'!C:C,B56,'5. Subcontracting Costs'!H:H)</f>
        <v>0</v>
      </c>
      <c r="K56" s="63">
        <f>SUMIF('B. Special Mob Strand - Student'!B:B,B56,'B. Special Mob Strand - Student'!L:L)+SUMIF('B. Special Mob Strand - Student'!B:B,B56,'B. Special Mob Strand - Student'!M:M)+SUMIF('B. Special Mob Strand - Staff'!B:B,B56,'B. Special Mob Strand - Staff'!L:L)+SUMIF('B. Special Mob Strand - Staff'!B:B,B56,'B. Special Mob Strand - Staff'!M:M)</f>
        <v>0</v>
      </c>
      <c r="L56" s="64">
        <f t="shared" si="0"/>
        <v>0</v>
      </c>
    </row>
    <row r="57" spans="2:12" x14ac:dyDescent="0.25">
      <c r="B57" s="150" t="s">
        <v>133</v>
      </c>
      <c r="C57" s="65"/>
      <c r="D57" s="60"/>
      <c r="E57" s="61" t="str">
        <f>IFERROR(IF(D57&lt;&gt;"",VLOOKUP(D57,Rates!$B$5:$H$105,3,FALSE),""),"Country not found")</f>
        <v/>
      </c>
      <c r="F57" s="62">
        <f>SUMIF('1. Staff costs'!C:C,B57,'1. Staff costs'!I:I)+SUMIF('1. Staff costs'!C:C,B57,'1. Staff costs'!M:M)+SUMIF('1. Staff costs'!C:C,B57,'1. Staff costs'!Q:Q)+SUMIF('1. Staff costs'!C:C,B57,'1. Staff costs'!U:U)</f>
        <v>0</v>
      </c>
      <c r="G57" s="62">
        <f>SUMIF('2-3. Travel Costs&amp;Costs of Stay'!C:C,B57,'2-3. Travel Costs&amp;Costs of Stay'!L:L)</f>
        <v>0</v>
      </c>
      <c r="H57" s="62">
        <f>SUMIF('2-3. Travel Costs&amp;Costs of Stay'!C:C,B57,'2-3. Travel Costs&amp;Costs of Stay'!M:M)</f>
        <v>0</v>
      </c>
      <c r="I57" s="62">
        <f>SUMIF('4. Equipment Costs'!C:C,B57,'4. Equipment Costs'!H:H)</f>
        <v>0</v>
      </c>
      <c r="J57" s="62">
        <f>SUMIF('5. Subcontracting Costs'!C:C,B57,'5. Subcontracting Costs'!H:H)</f>
        <v>0</v>
      </c>
      <c r="K57" s="63">
        <f>SUMIF('B. Special Mob Strand - Student'!B:B,B57,'B. Special Mob Strand - Student'!L:L)+SUMIF('B. Special Mob Strand - Student'!B:B,B57,'B. Special Mob Strand - Student'!M:M)+SUMIF('B. Special Mob Strand - Staff'!B:B,B57,'B. Special Mob Strand - Staff'!L:L)+SUMIF('B. Special Mob Strand - Staff'!B:B,B57,'B. Special Mob Strand - Staff'!M:M)</f>
        <v>0</v>
      </c>
      <c r="L57" s="64">
        <f t="shared" si="0"/>
        <v>0</v>
      </c>
    </row>
    <row r="58" spans="2:12" x14ac:dyDescent="0.25">
      <c r="B58" s="150" t="s">
        <v>134</v>
      </c>
      <c r="C58" s="65"/>
      <c r="D58" s="60"/>
      <c r="E58" s="61" t="str">
        <f>IFERROR(IF(D58&lt;&gt;"",VLOOKUP(D58,Rates!$B$5:$H$105,3,FALSE),""),"Country not found")</f>
        <v/>
      </c>
      <c r="F58" s="62">
        <f>SUMIF('1. Staff costs'!C:C,B58,'1. Staff costs'!I:I)+SUMIF('1. Staff costs'!C:C,B58,'1. Staff costs'!M:M)+SUMIF('1. Staff costs'!C:C,B58,'1. Staff costs'!Q:Q)+SUMIF('1. Staff costs'!C:C,B58,'1. Staff costs'!U:U)</f>
        <v>0</v>
      </c>
      <c r="G58" s="62">
        <f>SUMIF('2-3. Travel Costs&amp;Costs of Stay'!C:C,B58,'2-3. Travel Costs&amp;Costs of Stay'!L:L)</f>
        <v>0</v>
      </c>
      <c r="H58" s="62">
        <f>SUMIF('2-3. Travel Costs&amp;Costs of Stay'!C:C,B58,'2-3. Travel Costs&amp;Costs of Stay'!M:M)</f>
        <v>0</v>
      </c>
      <c r="I58" s="62">
        <f>SUMIF('4. Equipment Costs'!C:C,B58,'4. Equipment Costs'!H:H)</f>
        <v>0</v>
      </c>
      <c r="J58" s="62">
        <f>SUMIF('5. Subcontracting Costs'!C:C,B58,'5. Subcontracting Costs'!H:H)</f>
        <v>0</v>
      </c>
      <c r="K58" s="63">
        <f>SUMIF('B. Special Mob Strand - Student'!B:B,B58,'B. Special Mob Strand - Student'!L:L)+SUMIF('B. Special Mob Strand - Student'!B:B,B58,'B. Special Mob Strand - Student'!M:M)+SUMIF('B. Special Mob Strand - Staff'!B:B,B58,'B. Special Mob Strand - Staff'!L:L)+SUMIF('B. Special Mob Strand - Staff'!B:B,B58,'B. Special Mob Strand - Staff'!M:M)</f>
        <v>0</v>
      </c>
      <c r="L58" s="64">
        <f t="shared" si="0"/>
        <v>0</v>
      </c>
    </row>
    <row r="59" spans="2:12" x14ac:dyDescent="0.25">
      <c r="B59" s="150" t="s">
        <v>135</v>
      </c>
      <c r="C59" s="65"/>
      <c r="D59" s="60"/>
      <c r="E59" s="61" t="str">
        <f>IFERROR(IF(D59&lt;&gt;"",VLOOKUP(D59,Rates!$B$5:$H$105,3,FALSE),""),"Country not found")</f>
        <v/>
      </c>
      <c r="F59" s="62">
        <f>SUMIF('1. Staff costs'!C:C,B59,'1. Staff costs'!I:I)+SUMIF('1. Staff costs'!C:C,B59,'1. Staff costs'!M:M)+SUMIF('1. Staff costs'!C:C,B59,'1. Staff costs'!Q:Q)+SUMIF('1. Staff costs'!C:C,B59,'1. Staff costs'!U:U)</f>
        <v>0</v>
      </c>
      <c r="G59" s="62">
        <f>SUMIF('2-3. Travel Costs&amp;Costs of Stay'!C:C,B59,'2-3. Travel Costs&amp;Costs of Stay'!L:L)</f>
        <v>0</v>
      </c>
      <c r="H59" s="62">
        <f>SUMIF('2-3. Travel Costs&amp;Costs of Stay'!C:C,B59,'2-3. Travel Costs&amp;Costs of Stay'!M:M)</f>
        <v>0</v>
      </c>
      <c r="I59" s="62">
        <f>SUMIF('4. Equipment Costs'!C:C,B59,'4. Equipment Costs'!H:H)</f>
        <v>0</v>
      </c>
      <c r="J59" s="62">
        <f>SUMIF('5. Subcontracting Costs'!C:C,B59,'5. Subcontracting Costs'!H:H)</f>
        <v>0</v>
      </c>
      <c r="K59" s="63">
        <f>SUMIF('B. Special Mob Strand - Student'!B:B,B59,'B. Special Mob Strand - Student'!L:L)+SUMIF('B. Special Mob Strand - Student'!B:B,B59,'B. Special Mob Strand - Student'!M:M)+SUMIF('B. Special Mob Strand - Staff'!B:B,B59,'B. Special Mob Strand - Staff'!L:L)+SUMIF('B. Special Mob Strand - Staff'!B:B,B59,'B. Special Mob Strand - Staff'!M:M)</f>
        <v>0</v>
      </c>
      <c r="L59" s="64">
        <f t="shared" si="0"/>
        <v>0</v>
      </c>
    </row>
    <row r="60" spans="2:12" x14ac:dyDescent="0.25">
      <c r="B60" s="150" t="s">
        <v>136</v>
      </c>
      <c r="C60" s="65"/>
      <c r="D60" s="60"/>
      <c r="E60" s="61" t="str">
        <f>IFERROR(IF(D60&lt;&gt;"",VLOOKUP(D60,Rates!$B$5:$H$105,3,FALSE),""),"Country not found")</f>
        <v/>
      </c>
      <c r="F60" s="62">
        <f>SUMIF('1. Staff costs'!C:C,B60,'1. Staff costs'!I:I)+SUMIF('1. Staff costs'!C:C,B60,'1. Staff costs'!M:M)+SUMIF('1. Staff costs'!C:C,B60,'1. Staff costs'!Q:Q)+SUMIF('1. Staff costs'!C:C,B60,'1. Staff costs'!U:U)</f>
        <v>0</v>
      </c>
      <c r="G60" s="62">
        <f>SUMIF('2-3. Travel Costs&amp;Costs of Stay'!C:C,B60,'2-3. Travel Costs&amp;Costs of Stay'!L:L)</f>
        <v>0</v>
      </c>
      <c r="H60" s="62">
        <f>SUMIF('2-3. Travel Costs&amp;Costs of Stay'!C:C,B60,'2-3. Travel Costs&amp;Costs of Stay'!M:M)</f>
        <v>0</v>
      </c>
      <c r="I60" s="62">
        <f>SUMIF('4. Equipment Costs'!C:C,B60,'4. Equipment Costs'!H:H)</f>
        <v>0</v>
      </c>
      <c r="J60" s="62">
        <f>SUMIF('5. Subcontracting Costs'!C:C,B60,'5. Subcontracting Costs'!H:H)</f>
        <v>0</v>
      </c>
      <c r="K60" s="63">
        <f>SUMIF('B. Special Mob Strand - Student'!B:B,B60,'B. Special Mob Strand - Student'!L:L)+SUMIF('B. Special Mob Strand - Student'!B:B,B60,'B. Special Mob Strand - Student'!M:M)+SUMIF('B. Special Mob Strand - Staff'!B:B,B60,'B. Special Mob Strand - Staff'!L:L)+SUMIF('B. Special Mob Strand - Staff'!B:B,B60,'B. Special Mob Strand - Staff'!M:M)</f>
        <v>0</v>
      </c>
      <c r="L60" s="64">
        <f t="shared" si="0"/>
        <v>0</v>
      </c>
    </row>
    <row r="61" spans="2:12" x14ac:dyDescent="0.25">
      <c r="B61" s="150" t="s">
        <v>137</v>
      </c>
      <c r="C61" s="65"/>
      <c r="D61" s="60"/>
      <c r="E61" s="61" t="str">
        <f>IFERROR(IF(D61&lt;&gt;"",VLOOKUP(D61,Rates!$B$5:$H$105,3,FALSE),""),"Country not found")</f>
        <v/>
      </c>
      <c r="F61" s="62">
        <f>SUMIF('1. Staff costs'!C:C,B61,'1. Staff costs'!I:I)+SUMIF('1. Staff costs'!C:C,B61,'1. Staff costs'!M:M)+SUMIF('1. Staff costs'!C:C,B61,'1. Staff costs'!Q:Q)+SUMIF('1. Staff costs'!C:C,B61,'1. Staff costs'!U:U)</f>
        <v>0</v>
      </c>
      <c r="G61" s="62">
        <f>SUMIF('2-3. Travel Costs&amp;Costs of Stay'!C:C,B61,'2-3. Travel Costs&amp;Costs of Stay'!L:L)</f>
        <v>0</v>
      </c>
      <c r="H61" s="62">
        <f>SUMIF('2-3. Travel Costs&amp;Costs of Stay'!C:C,B61,'2-3. Travel Costs&amp;Costs of Stay'!M:M)</f>
        <v>0</v>
      </c>
      <c r="I61" s="62">
        <f>SUMIF('4. Equipment Costs'!C:C,B61,'4. Equipment Costs'!H:H)</f>
        <v>0</v>
      </c>
      <c r="J61" s="62">
        <f>SUMIF('5. Subcontracting Costs'!C:C,B61,'5. Subcontracting Costs'!H:H)</f>
        <v>0</v>
      </c>
      <c r="K61" s="63">
        <f>SUMIF('B. Special Mob Strand - Student'!B:B,B61,'B. Special Mob Strand - Student'!L:L)+SUMIF('B. Special Mob Strand - Student'!B:B,B61,'B. Special Mob Strand - Student'!M:M)+SUMIF('B. Special Mob Strand - Staff'!B:B,B61,'B. Special Mob Strand - Staff'!L:L)+SUMIF('B. Special Mob Strand - Staff'!B:B,B61,'B. Special Mob Strand - Staff'!M:M)</f>
        <v>0</v>
      </c>
      <c r="L61" s="64">
        <f t="shared" si="0"/>
        <v>0</v>
      </c>
    </row>
    <row r="62" spans="2:12" x14ac:dyDescent="0.25">
      <c r="B62" s="150" t="s">
        <v>138</v>
      </c>
      <c r="C62" s="65"/>
      <c r="D62" s="60"/>
      <c r="E62" s="61" t="str">
        <f>IFERROR(IF(D62&lt;&gt;"",VLOOKUP(D62,Rates!$B$5:$H$105,3,FALSE),""),"Country not found")</f>
        <v/>
      </c>
      <c r="F62" s="62">
        <f>SUMIF('1. Staff costs'!C:C,B62,'1. Staff costs'!I:I)+SUMIF('1. Staff costs'!C:C,B62,'1. Staff costs'!M:M)+SUMIF('1. Staff costs'!C:C,B62,'1. Staff costs'!Q:Q)+SUMIF('1. Staff costs'!C:C,B62,'1. Staff costs'!U:U)</f>
        <v>0</v>
      </c>
      <c r="G62" s="62">
        <f>SUMIF('2-3. Travel Costs&amp;Costs of Stay'!C:C,B62,'2-3. Travel Costs&amp;Costs of Stay'!L:L)</f>
        <v>0</v>
      </c>
      <c r="H62" s="62">
        <f>SUMIF('2-3. Travel Costs&amp;Costs of Stay'!C:C,B62,'2-3. Travel Costs&amp;Costs of Stay'!M:M)</f>
        <v>0</v>
      </c>
      <c r="I62" s="62">
        <f>SUMIF('4. Equipment Costs'!C:C,B62,'4. Equipment Costs'!H:H)</f>
        <v>0</v>
      </c>
      <c r="J62" s="62">
        <f>SUMIF('5. Subcontracting Costs'!C:C,B62,'5. Subcontracting Costs'!H:H)</f>
        <v>0</v>
      </c>
      <c r="K62" s="63">
        <f>SUMIF('B. Special Mob Strand - Student'!B:B,B62,'B. Special Mob Strand - Student'!L:L)+SUMIF('B. Special Mob Strand - Student'!B:B,B62,'B. Special Mob Strand - Student'!M:M)+SUMIF('B. Special Mob Strand - Staff'!B:B,B62,'B. Special Mob Strand - Staff'!L:L)+SUMIF('B. Special Mob Strand - Staff'!B:B,B62,'B. Special Mob Strand - Staff'!M:M)</f>
        <v>0</v>
      </c>
      <c r="L62" s="64">
        <f t="shared" si="0"/>
        <v>0</v>
      </c>
    </row>
    <row r="63" spans="2:12" x14ac:dyDescent="0.25">
      <c r="B63" s="150" t="s">
        <v>139</v>
      </c>
      <c r="C63" s="65"/>
      <c r="D63" s="60"/>
      <c r="E63" s="61" t="str">
        <f>IFERROR(IF(D63&lt;&gt;"",VLOOKUP(D63,Rates!$B$5:$H$105,3,FALSE),""),"Country not found")</f>
        <v/>
      </c>
      <c r="F63" s="62">
        <f>SUMIF('1. Staff costs'!C:C,B63,'1. Staff costs'!I:I)+SUMIF('1. Staff costs'!C:C,B63,'1. Staff costs'!M:M)+SUMIF('1. Staff costs'!C:C,B63,'1. Staff costs'!Q:Q)+SUMIF('1. Staff costs'!C:C,B63,'1. Staff costs'!U:U)</f>
        <v>0</v>
      </c>
      <c r="G63" s="62">
        <f>SUMIF('2-3. Travel Costs&amp;Costs of Stay'!C:C,B63,'2-3. Travel Costs&amp;Costs of Stay'!L:L)</f>
        <v>0</v>
      </c>
      <c r="H63" s="62">
        <f>SUMIF('2-3. Travel Costs&amp;Costs of Stay'!C:C,B63,'2-3. Travel Costs&amp;Costs of Stay'!M:M)</f>
        <v>0</v>
      </c>
      <c r="I63" s="62">
        <f>SUMIF('4. Equipment Costs'!C:C,B63,'4. Equipment Costs'!H:H)</f>
        <v>0</v>
      </c>
      <c r="J63" s="62">
        <f>SUMIF('5. Subcontracting Costs'!C:C,B63,'5. Subcontracting Costs'!H:H)</f>
        <v>0</v>
      </c>
      <c r="K63" s="63">
        <f>SUMIF('B. Special Mob Strand - Student'!B:B,B63,'B. Special Mob Strand - Student'!L:L)+SUMIF('B. Special Mob Strand - Student'!B:B,B63,'B. Special Mob Strand - Student'!M:M)+SUMIF('B. Special Mob Strand - Staff'!B:B,B63,'B. Special Mob Strand - Staff'!L:L)+SUMIF('B. Special Mob Strand - Staff'!B:B,B63,'B. Special Mob Strand - Staff'!M:M)</f>
        <v>0</v>
      </c>
      <c r="L63" s="64">
        <f t="shared" si="0"/>
        <v>0</v>
      </c>
    </row>
    <row r="64" spans="2:12" x14ac:dyDescent="0.25">
      <c r="B64" s="150" t="s">
        <v>140</v>
      </c>
      <c r="C64" s="65"/>
      <c r="D64" s="60"/>
      <c r="E64" s="61" t="str">
        <f>IFERROR(IF(D64&lt;&gt;"",VLOOKUP(D64,Rates!$B$5:$H$105,3,FALSE),""),"Country not found")</f>
        <v/>
      </c>
      <c r="F64" s="62">
        <f>SUMIF('1. Staff costs'!C:C,B64,'1. Staff costs'!I:I)+SUMIF('1. Staff costs'!C:C,B64,'1. Staff costs'!M:M)+SUMIF('1. Staff costs'!C:C,B64,'1. Staff costs'!Q:Q)+SUMIF('1. Staff costs'!C:C,B64,'1. Staff costs'!U:U)</f>
        <v>0</v>
      </c>
      <c r="G64" s="62">
        <f>SUMIF('2-3. Travel Costs&amp;Costs of Stay'!C:C,B64,'2-3. Travel Costs&amp;Costs of Stay'!L:L)</f>
        <v>0</v>
      </c>
      <c r="H64" s="62">
        <f>SUMIF('2-3. Travel Costs&amp;Costs of Stay'!C:C,B64,'2-3. Travel Costs&amp;Costs of Stay'!M:M)</f>
        <v>0</v>
      </c>
      <c r="I64" s="62">
        <f>SUMIF('4. Equipment Costs'!C:C,B64,'4. Equipment Costs'!H:H)</f>
        <v>0</v>
      </c>
      <c r="J64" s="62">
        <f>SUMIF('5. Subcontracting Costs'!C:C,B64,'5. Subcontracting Costs'!H:H)</f>
        <v>0</v>
      </c>
      <c r="K64" s="63">
        <f>SUMIF('B. Special Mob Strand - Student'!B:B,B64,'B. Special Mob Strand - Student'!L:L)+SUMIF('B. Special Mob Strand - Student'!B:B,B64,'B. Special Mob Strand - Student'!M:M)+SUMIF('B. Special Mob Strand - Staff'!B:B,B64,'B. Special Mob Strand - Staff'!L:L)+SUMIF('B. Special Mob Strand - Staff'!B:B,B64,'B. Special Mob Strand - Staff'!M:M)</f>
        <v>0</v>
      </c>
      <c r="L64" s="64">
        <f t="shared" si="0"/>
        <v>0</v>
      </c>
    </row>
    <row r="65" spans="2:12" x14ac:dyDescent="0.25">
      <c r="B65" s="150" t="s">
        <v>141</v>
      </c>
      <c r="C65" s="65"/>
      <c r="D65" s="60"/>
      <c r="E65" s="61" t="str">
        <f>IFERROR(IF(D65&lt;&gt;"",VLOOKUP(D65,Rates!$B$5:$H$105,3,FALSE),""),"Country not found")</f>
        <v/>
      </c>
      <c r="F65" s="62">
        <f>SUMIF('1. Staff costs'!C:C,B65,'1. Staff costs'!I:I)+SUMIF('1. Staff costs'!C:C,B65,'1. Staff costs'!M:M)+SUMIF('1. Staff costs'!C:C,B65,'1. Staff costs'!Q:Q)+SUMIF('1. Staff costs'!C:C,B65,'1. Staff costs'!U:U)</f>
        <v>0</v>
      </c>
      <c r="G65" s="62">
        <f>SUMIF('2-3. Travel Costs&amp;Costs of Stay'!C:C,B65,'2-3. Travel Costs&amp;Costs of Stay'!L:L)</f>
        <v>0</v>
      </c>
      <c r="H65" s="62">
        <f>SUMIF('2-3. Travel Costs&amp;Costs of Stay'!C:C,B65,'2-3. Travel Costs&amp;Costs of Stay'!M:M)</f>
        <v>0</v>
      </c>
      <c r="I65" s="62">
        <f>SUMIF('4. Equipment Costs'!C:C,B65,'4. Equipment Costs'!H:H)</f>
        <v>0</v>
      </c>
      <c r="J65" s="62">
        <f>SUMIF('5. Subcontracting Costs'!C:C,B65,'5. Subcontracting Costs'!H:H)</f>
        <v>0</v>
      </c>
      <c r="K65" s="63">
        <f>SUMIF('B. Special Mob Strand - Student'!B:B,B65,'B. Special Mob Strand - Student'!L:L)+SUMIF('B. Special Mob Strand - Student'!B:B,B65,'B. Special Mob Strand - Student'!M:M)+SUMIF('B. Special Mob Strand - Staff'!B:B,B65,'B. Special Mob Strand - Staff'!L:L)+SUMIF('B. Special Mob Strand - Staff'!B:B,B65,'B. Special Mob Strand - Staff'!M:M)</f>
        <v>0</v>
      </c>
      <c r="L65" s="64">
        <f t="shared" si="0"/>
        <v>0</v>
      </c>
    </row>
    <row r="66" spans="2:12" x14ac:dyDescent="0.25">
      <c r="B66" s="150" t="s">
        <v>142</v>
      </c>
      <c r="C66" s="65"/>
      <c r="D66" s="60"/>
      <c r="E66" s="61" t="str">
        <f>IFERROR(IF(D66&lt;&gt;"",VLOOKUP(D66,Rates!$B$5:$H$105,3,FALSE),""),"Country not found")</f>
        <v/>
      </c>
      <c r="F66" s="62">
        <f>SUMIF('1. Staff costs'!C:C,B66,'1. Staff costs'!I:I)+SUMIF('1. Staff costs'!C:C,B66,'1. Staff costs'!M:M)+SUMIF('1. Staff costs'!C:C,B66,'1. Staff costs'!Q:Q)+SUMIF('1. Staff costs'!C:C,B66,'1. Staff costs'!U:U)</f>
        <v>0</v>
      </c>
      <c r="G66" s="62">
        <f>SUMIF('2-3. Travel Costs&amp;Costs of Stay'!C:C,B66,'2-3. Travel Costs&amp;Costs of Stay'!L:L)</f>
        <v>0</v>
      </c>
      <c r="H66" s="62">
        <f>SUMIF('2-3. Travel Costs&amp;Costs of Stay'!C:C,B66,'2-3. Travel Costs&amp;Costs of Stay'!M:M)</f>
        <v>0</v>
      </c>
      <c r="I66" s="62">
        <f>SUMIF('4. Equipment Costs'!C:C,B66,'4. Equipment Costs'!H:H)</f>
        <v>0</v>
      </c>
      <c r="J66" s="62">
        <f>SUMIF('5. Subcontracting Costs'!C:C,B66,'5. Subcontracting Costs'!H:H)</f>
        <v>0</v>
      </c>
      <c r="K66" s="63">
        <f>SUMIF('B. Special Mob Strand - Student'!B:B,B66,'B. Special Mob Strand - Student'!L:L)+SUMIF('B. Special Mob Strand - Student'!B:B,B66,'B. Special Mob Strand - Student'!M:M)+SUMIF('B. Special Mob Strand - Staff'!B:B,B66,'B. Special Mob Strand - Staff'!L:L)+SUMIF('B. Special Mob Strand - Staff'!B:B,B66,'B. Special Mob Strand - Staff'!M:M)</f>
        <v>0</v>
      </c>
      <c r="L66" s="64">
        <f t="shared" si="0"/>
        <v>0</v>
      </c>
    </row>
    <row r="67" spans="2:12" x14ac:dyDescent="0.25">
      <c r="B67" s="150" t="s">
        <v>143</v>
      </c>
      <c r="C67" s="65"/>
      <c r="D67" s="60"/>
      <c r="E67" s="61" t="str">
        <f>IFERROR(IF(D67&lt;&gt;"",VLOOKUP(D67,Rates!$B$5:$H$105,3,FALSE),""),"Country not found")</f>
        <v/>
      </c>
      <c r="F67" s="62">
        <f>SUMIF('1. Staff costs'!C:C,B67,'1. Staff costs'!I:I)+SUMIF('1. Staff costs'!C:C,B67,'1. Staff costs'!M:M)+SUMIF('1. Staff costs'!C:C,B67,'1. Staff costs'!Q:Q)+SUMIF('1. Staff costs'!C:C,B67,'1. Staff costs'!U:U)</f>
        <v>0</v>
      </c>
      <c r="G67" s="62">
        <f>SUMIF('2-3. Travel Costs&amp;Costs of Stay'!C:C,B67,'2-3. Travel Costs&amp;Costs of Stay'!L:L)</f>
        <v>0</v>
      </c>
      <c r="H67" s="62">
        <f>SUMIF('2-3. Travel Costs&amp;Costs of Stay'!C:C,B67,'2-3. Travel Costs&amp;Costs of Stay'!M:M)</f>
        <v>0</v>
      </c>
      <c r="I67" s="62">
        <f>SUMIF('4. Equipment Costs'!C:C,B67,'4. Equipment Costs'!H:H)</f>
        <v>0</v>
      </c>
      <c r="J67" s="62">
        <f>SUMIF('5. Subcontracting Costs'!C:C,B67,'5. Subcontracting Costs'!H:H)</f>
        <v>0</v>
      </c>
      <c r="K67" s="63">
        <f>SUMIF('B. Special Mob Strand - Student'!B:B,B67,'B. Special Mob Strand - Student'!L:L)+SUMIF('B. Special Mob Strand - Student'!B:B,B67,'B. Special Mob Strand - Student'!M:M)+SUMIF('B. Special Mob Strand - Staff'!B:B,B67,'B. Special Mob Strand - Staff'!L:L)+SUMIF('B. Special Mob Strand - Staff'!B:B,B67,'B. Special Mob Strand - Staff'!M:M)</f>
        <v>0</v>
      </c>
      <c r="L67" s="64">
        <f t="shared" si="0"/>
        <v>0</v>
      </c>
    </row>
    <row r="68" spans="2:12" x14ac:dyDescent="0.25">
      <c r="B68" s="150" t="s">
        <v>144</v>
      </c>
      <c r="C68" s="65"/>
      <c r="D68" s="60"/>
      <c r="E68" s="61" t="str">
        <f>IFERROR(IF(D68&lt;&gt;"",VLOOKUP(D68,Rates!$B$5:$H$105,3,FALSE),""),"Country not found")</f>
        <v/>
      </c>
      <c r="F68" s="62">
        <f>SUMIF('1. Staff costs'!C:C,B68,'1. Staff costs'!I:I)+SUMIF('1. Staff costs'!C:C,B68,'1. Staff costs'!M:M)+SUMIF('1. Staff costs'!C:C,B68,'1. Staff costs'!Q:Q)+SUMIF('1. Staff costs'!C:C,B68,'1. Staff costs'!U:U)</f>
        <v>0</v>
      </c>
      <c r="G68" s="62">
        <f>SUMIF('2-3. Travel Costs&amp;Costs of Stay'!C:C,B68,'2-3. Travel Costs&amp;Costs of Stay'!L:L)</f>
        <v>0</v>
      </c>
      <c r="H68" s="62">
        <f>SUMIF('2-3. Travel Costs&amp;Costs of Stay'!C:C,B68,'2-3. Travel Costs&amp;Costs of Stay'!M:M)</f>
        <v>0</v>
      </c>
      <c r="I68" s="62">
        <f>SUMIF('4. Equipment Costs'!C:C,B68,'4. Equipment Costs'!H:H)</f>
        <v>0</v>
      </c>
      <c r="J68" s="62">
        <f>SUMIF('5. Subcontracting Costs'!C:C,B68,'5. Subcontracting Costs'!H:H)</f>
        <v>0</v>
      </c>
      <c r="K68" s="63">
        <f>SUMIF('B. Special Mob Strand - Student'!B:B,B68,'B. Special Mob Strand - Student'!L:L)+SUMIF('B. Special Mob Strand - Student'!B:B,B68,'B. Special Mob Strand - Student'!M:M)+SUMIF('B. Special Mob Strand - Staff'!B:B,B68,'B. Special Mob Strand - Staff'!L:L)+SUMIF('B. Special Mob Strand - Staff'!B:B,B68,'B. Special Mob Strand - Staff'!M:M)</f>
        <v>0</v>
      </c>
      <c r="L68" s="64">
        <f t="shared" si="0"/>
        <v>0</v>
      </c>
    </row>
    <row r="69" spans="2:12" x14ac:dyDescent="0.25">
      <c r="B69" s="150" t="s">
        <v>145</v>
      </c>
      <c r="C69" s="65"/>
      <c r="D69" s="60"/>
      <c r="E69" s="61" t="str">
        <f>IFERROR(IF(D69&lt;&gt;"",VLOOKUP(D69,Rates!$B$5:$H$105,3,FALSE),""),"Country not found")</f>
        <v/>
      </c>
      <c r="F69" s="62">
        <f>SUMIF('1. Staff costs'!C:C,B69,'1. Staff costs'!I:I)+SUMIF('1. Staff costs'!C:C,B69,'1. Staff costs'!M:M)+SUMIF('1. Staff costs'!C:C,B69,'1. Staff costs'!Q:Q)+SUMIF('1. Staff costs'!C:C,B69,'1. Staff costs'!U:U)</f>
        <v>0</v>
      </c>
      <c r="G69" s="62">
        <f>SUMIF('2-3. Travel Costs&amp;Costs of Stay'!C:C,B69,'2-3. Travel Costs&amp;Costs of Stay'!L:L)</f>
        <v>0</v>
      </c>
      <c r="H69" s="62">
        <f>SUMIF('2-3. Travel Costs&amp;Costs of Stay'!C:C,B69,'2-3. Travel Costs&amp;Costs of Stay'!M:M)</f>
        <v>0</v>
      </c>
      <c r="I69" s="62">
        <f>SUMIF('4. Equipment Costs'!C:C,B69,'4. Equipment Costs'!H:H)</f>
        <v>0</v>
      </c>
      <c r="J69" s="62">
        <f>SUMIF('5. Subcontracting Costs'!C:C,B69,'5. Subcontracting Costs'!H:H)</f>
        <v>0</v>
      </c>
      <c r="K69" s="63">
        <f>SUMIF('B. Special Mob Strand - Student'!B:B,B69,'B. Special Mob Strand - Student'!L:L)+SUMIF('B. Special Mob Strand - Student'!B:B,B69,'B. Special Mob Strand - Student'!M:M)+SUMIF('B. Special Mob Strand - Staff'!B:B,B69,'B. Special Mob Strand - Staff'!L:L)+SUMIF('B. Special Mob Strand - Staff'!B:B,B69,'B. Special Mob Strand - Staff'!M:M)</f>
        <v>0</v>
      </c>
      <c r="L69" s="64">
        <f t="shared" si="0"/>
        <v>0</v>
      </c>
    </row>
    <row r="70" spans="2:12" x14ac:dyDescent="0.25">
      <c r="B70" s="150" t="s">
        <v>322</v>
      </c>
      <c r="C70" s="65"/>
      <c r="D70" s="60"/>
      <c r="E70" s="61" t="str">
        <f>IFERROR(IF(D70&lt;&gt;"",VLOOKUP(D70,Rates!$B$5:$H$105,3,FALSE),""),"Country not found")</f>
        <v/>
      </c>
      <c r="F70" s="62">
        <f>SUMIF('1. Staff costs'!C:C,B70,'1. Staff costs'!I:I)+SUMIF('1. Staff costs'!C:C,B70,'1. Staff costs'!M:M)+SUMIF('1. Staff costs'!C:C,B70,'1. Staff costs'!Q:Q)+SUMIF('1. Staff costs'!C:C,B70,'1. Staff costs'!U:U)</f>
        <v>0</v>
      </c>
      <c r="G70" s="62">
        <f>SUMIF('2-3. Travel Costs&amp;Costs of Stay'!C:C,B70,'2-3. Travel Costs&amp;Costs of Stay'!L:L)</f>
        <v>0</v>
      </c>
      <c r="H70" s="62">
        <f>SUMIF('2-3. Travel Costs&amp;Costs of Stay'!C:C,B70,'2-3. Travel Costs&amp;Costs of Stay'!M:M)</f>
        <v>0</v>
      </c>
      <c r="I70" s="62">
        <f>SUMIF('4. Equipment Costs'!C:C,B70,'4. Equipment Costs'!H:H)</f>
        <v>0</v>
      </c>
      <c r="J70" s="62">
        <f>SUMIF('5. Subcontracting Costs'!C:C,B70,'5. Subcontracting Costs'!H:H)</f>
        <v>0</v>
      </c>
      <c r="K70" s="63">
        <f>SUMIF('B. Special Mob Strand - Student'!B:B,B70,'B. Special Mob Strand - Student'!L:L)+SUMIF('B. Special Mob Strand - Student'!B:B,B70,'B. Special Mob Strand - Student'!M:M)+SUMIF('B. Special Mob Strand - Staff'!B:B,B70,'B. Special Mob Strand - Staff'!L:L)+SUMIF('B. Special Mob Strand - Staff'!B:B,B70,'B. Special Mob Strand - Staff'!M:M)</f>
        <v>0</v>
      </c>
      <c r="L70" s="64">
        <f t="shared" si="0"/>
        <v>0</v>
      </c>
    </row>
    <row r="71" spans="2:12" x14ac:dyDescent="0.25">
      <c r="B71" s="150" t="s">
        <v>323</v>
      </c>
      <c r="C71" s="65"/>
      <c r="D71" s="60"/>
      <c r="E71" s="61" t="str">
        <f>IFERROR(IF(D71&lt;&gt;"",VLOOKUP(D71,Rates!$B$5:$H$105,3,FALSE),""),"Country not found")</f>
        <v/>
      </c>
      <c r="F71" s="62">
        <f>SUMIF('1. Staff costs'!C:C,B71,'1. Staff costs'!I:I)+SUMIF('1. Staff costs'!C:C,B71,'1. Staff costs'!M:M)+SUMIF('1. Staff costs'!C:C,B71,'1. Staff costs'!Q:Q)+SUMIF('1. Staff costs'!C:C,B71,'1. Staff costs'!U:U)</f>
        <v>0</v>
      </c>
      <c r="G71" s="62">
        <f>SUMIF('2-3. Travel Costs&amp;Costs of Stay'!C:C,B71,'2-3. Travel Costs&amp;Costs of Stay'!L:L)</f>
        <v>0</v>
      </c>
      <c r="H71" s="62">
        <f>SUMIF('2-3. Travel Costs&amp;Costs of Stay'!C:C,B71,'2-3. Travel Costs&amp;Costs of Stay'!M:M)</f>
        <v>0</v>
      </c>
      <c r="I71" s="62">
        <f>SUMIF('4. Equipment Costs'!C:C,B71,'4. Equipment Costs'!H:H)</f>
        <v>0</v>
      </c>
      <c r="J71" s="62">
        <f>SUMIF('5. Subcontracting Costs'!C:C,B71,'5. Subcontracting Costs'!H:H)</f>
        <v>0</v>
      </c>
      <c r="K71" s="63">
        <f>SUMIF('B. Special Mob Strand - Student'!B:B,B71,'B. Special Mob Strand - Student'!L:L)+SUMIF('B. Special Mob Strand - Student'!B:B,B71,'B. Special Mob Strand - Student'!M:M)+SUMIF('B. Special Mob Strand - Staff'!B:B,B71,'B. Special Mob Strand - Staff'!L:L)+SUMIF('B. Special Mob Strand - Staff'!B:B,B71,'B. Special Mob Strand - Staff'!M:M)</f>
        <v>0</v>
      </c>
      <c r="L71" s="64">
        <f t="shared" si="0"/>
        <v>0</v>
      </c>
    </row>
    <row r="72" spans="2:12" x14ac:dyDescent="0.25">
      <c r="B72" s="150" t="s">
        <v>324</v>
      </c>
      <c r="C72" s="65"/>
      <c r="D72" s="60"/>
      <c r="E72" s="61" t="str">
        <f>IFERROR(IF(D72&lt;&gt;"",VLOOKUP(D72,Rates!$B$5:$H$105,3,FALSE),""),"Country not found")</f>
        <v/>
      </c>
      <c r="F72" s="62">
        <f>SUMIF('1. Staff costs'!C:C,B72,'1. Staff costs'!I:I)+SUMIF('1. Staff costs'!C:C,B72,'1. Staff costs'!M:M)+SUMIF('1. Staff costs'!C:C,B72,'1. Staff costs'!Q:Q)+SUMIF('1. Staff costs'!C:C,B72,'1. Staff costs'!U:U)</f>
        <v>0</v>
      </c>
      <c r="G72" s="62">
        <f>SUMIF('2-3. Travel Costs&amp;Costs of Stay'!C:C,B72,'2-3. Travel Costs&amp;Costs of Stay'!L:L)</f>
        <v>0</v>
      </c>
      <c r="H72" s="62">
        <f>SUMIF('2-3. Travel Costs&amp;Costs of Stay'!C:C,B72,'2-3. Travel Costs&amp;Costs of Stay'!M:M)</f>
        <v>0</v>
      </c>
      <c r="I72" s="62">
        <f>SUMIF('4. Equipment Costs'!C:C,B72,'4. Equipment Costs'!H:H)</f>
        <v>0</v>
      </c>
      <c r="J72" s="62">
        <f>SUMIF('5. Subcontracting Costs'!C:C,B72,'5. Subcontracting Costs'!H:H)</f>
        <v>0</v>
      </c>
      <c r="K72" s="63">
        <f>SUMIF('B. Special Mob Strand - Student'!B:B,B72,'B. Special Mob Strand - Student'!L:L)+SUMIF('B. Special Mob Strand - Student'!B:B,B72,'B. Special Mob Strand - Student'!M:M)+SUMIF('B. Special Mob Strand - Staff'!B:B,B72,'B. Special Mob Strand - Staff'!L:L)+SUMIF('B. Special Mob Strand - Staff'!B:B,B72,'B. Special Mob Strand - Staff'!M:M)</f>
        <v>0</v>
      </c>
      <c r="L72" s="64">
        <f t="shared" si="0"/>
        <v>0</v>
      </c>
    </row>
    <row r="73" spans="2:12" x14ac:dyDescent="0.25">
      <c r="B73" s="150" t="s">
        <v>325</v>
      </c>
      <c r="C73" s="65"/>
      <c r="D73" s="60"/>
      <c r="E73" s="61" t="str">
        <f>IFERROR(IF(D73&lt;&gt;"",VLOOKUP(D73,Rates!$B$5:$H$105,3,FALSE),""),"Country not found")</f>
        <v/>
      </c>
      <c r="F73" s="62">
        <f>SUMIF('1. Staff costs'!C:C,B73,'1. Staff costs'!I:I)+SUMIF('1. Staff costs'!C:C,B73,'1. Staff costs'!M:M)+SUMIF('1. Staff costs'!C:C,B73,'1. Staff costs'!Q:Q)+SUMIF('1. Staff costs'!C:C,B73,'1. Staff costs'!U:U)</f>
        <v>0</v>
      </c>
      <c r="G73" s="62">
        <f>SUMIF('2-3. Travel Costs&amp;Costs of Stay'!C:C,B73,'2-3. Travel Costs&amp;Costs of Stay'!L:L)</f>
        <v>0</v>
      </c>
      <c r="H73" s="62">
        <f>SUMIF('2-3. Travel Costs&amp;Costs of Stay'!C:C,B73,'2-3. Travel Costs&amp;Costs of Stay'!M:M)</f>
        <v>0</v>
      </c>
      <c r="I73" s="62">
        <f>SUMIF('4. Equipment Costs'!C:C,B73,'4. Equipment Costs'!H:H)</f>
        <v>0</v>
      </c>
      <c r="J73" s="62">
        <f>SUMIF('5. Subcontracting Costs'!C:C,B73,'5. Subcontracting Costs'!H:H)</f>
        <v>0</v>
      </c>
      <c r="K73" s="63">
        <f>SUMIF('B. Special Mob Strand - Student'!B:B,B73,'B. Special Mob Strand - Student'!L:L)+SUMIF('B. Special Mob Strand - Student'!B:B,B73,'B. Special Mob Strand - Student'!M:M)+SUMIF('B. Special Mob Strand - Staff'!B:B,B73,'B. Special Mob Strand - Staff'!L:L)+SUMIF('B. Special Mob Strand - Staff'!B:B,B73,'B. Special Mob Strand - Staff'!M:M)</f>
        <v>0</v>
      </c>
      <c r="L73" s="64">
        <f t="shared" si="0"/>
        <v>0</v>
      </c>
    </row>
    <row r="74" spans="2:12" x14ac:dyDescent="0.25">
      <c r="B74" s="150" t="s">
        <v>326</v>
      </c>
      <c r="C74" s="65"/>
      <c r="D74" s="60"/>
      <c r="E74" s="61" t="str">
        <f>IFERROR(IF(D74&lt;&gt;"",VLOOKUP(D74,Rates!$B$5:$H$105,3,FALSE),""),"Country not found")</f>
        <v/>
      </c>
      <c r="F74" s="62">
        <f>SUMIF('1. Staff costs'!C:C,B74,'1. Staff costs'!I:I)+SUMIF('1. Staff costs'!C:C,B74,'1. Staff costs'!M:M)+SUMIF('1. Staff costs'!C:C,B74,'1. Staff costs'!Q:Q)+SUMIF('1. Staff costs'!C:C,B74,'1. Staff costs'!U:U)</f>
        <v>0</v>
      </c>
      <c r="G74" s="62">
        <f>SUMIF('2-3. Travel Costs&amp;Costs of Stay'!C:C,B74,'2-3. Travel Costs&amp;Costs of Stay'!L:L)</f>
        <v>0</v>
      </c>
      <c r="H74" s="62">
        <f>SUMIF('2-3. Travel Costs&amp;Costs of Stay'!C:C,B74,'2-3. Travel Costs&amp;Costs of Stay'!M:M)</f>
        <v>0</v>
      </c>
      <c r="I74" s="62">
        <f>SUMIF('4. Equipment Costs'!C:C,B74,'4. Equipment Costs'!H:H)</f>
        <v>0</v>
      </c>
      <c r="J74" s="62">
        <f>SUMIF('5. Subcontracting Costs'!C:C,B74,'5. Subcontracting Costs'!H:H)</f>
        <v>0</v>
      </c>
      <c r="K74" s="63">
        <f>SUMIF('B. Special Mob Strand - Student'!B:B,B74,'B. Special Mob Strand - Student'!L:L)+SUMIF('B. Special Mob Strand - Student'!B:B,B74,'B. Special Mob Strand - Student'!M:M)+SUMIF('B. Special Mob Strand - Staff'!B:B,B74,'B. Special Mob Strand - Staff'!L:L)+SUMIF('B. Special Mob Strand - Staff'!B:B,B74,'B. Special Mob Strand - Staff'!M:M)</f>
        <v>0</v>
      </c>
      <c r="L74" s="64">
        <f t="shared" si="0"/>
        <v>0</v>
      </c>
    </row>
    <row r="75" spans="2:12" x14ac:dyDescent="0.25">
      <c r="B75" s="150" t="s">
        <v>327</v>
      </c>
      <c r="C75" s="65"/>
      <c r="D75" s="60"/>
      <c r="E75" s="61" t="str">
        <f>IFERROR(IF(D75&lt;&gt;"",VLOOKUP(D75,Rates!$B$5:$H$105,3,FALSE),""),"Country not found")</f>
        <v/>
      </c>
      <c r="F75" s="62">
        <f>SUMIF('1. Staff costs'!C:C,B75,'1. Staff costs'!I:I)+SUMIF('1. Staff costs'!C:C,B75,'1. Staff costs'!M:M)+SUMIF('1. Staff costs'!C:C,B75,'1. Staff costs'!Q:Q)+SUMIF('1. Staff costs'!C:C,B75,'1. Staff costs'!U:U)</f>
        <v>0</v>
      </c>
      <c r="G75" s="62">
        <f>SUMIF('2-3. Travel Costs&amp;Costs of Stay'!C:C,B75,'2-3. Travel Costs&amp;Costs of Stay'!L:L)</f>
        <v>0</v>
      </c>
      <c r="H75" s="62">
        <f>SUMIF('2-3. Travel Costs&amp;Costs of Stay'!C:C,B75,'2-3. Travel Costs&amp;Costs of Stay'!M:M)</f>
        <v>0</v>
      </c>
      <c r="I75" s="62">
        <f>SUMIF('4. Equipment Costs'!C:C,B75,'4. Equipment Costs'!H:H)</f>
        <v>0</v>
      </c>
      <c r="J75" s="62">
        <f>SUMIF('5. Subcontracting Costs'!C:C,B75,'5. Subcontracting Costs'!H:H)</f>
        <v>0</v>
      </c>
      <c r="K75" s="63">
        <f>SUMIF('B. Special Mob Strand - Student'!B:B,B75,'B. Special Mob Strand - Student'!L:L)+SUMIF('B. Special Mob Strand - Student'!B:B,B75,'B. Special Mob Strand - Student'!M:M)+SUMIF('B. Special Mob Strand - Staff'!B:B,B75,'B. Special Mob Strand - Staff'!L:L)+SUMIF('B. Special Mob Strand - Staff'!B:B,B75,'B. Special Mob Strand - Staff'!M:M)</f>
        <v>0</v>
      </c>
      <c r="L75" s="64">
        <f t="shared" si="0"/>
        <v>0</v>
      </c>
    </row>
    <row r="76" spans="2:12" x14ac:dyDescent="0.25">
      <c r="B76" s="150" t="s">
        <v>328</v>
      </c>
      <c r="C76" s="65"/>
      <c r="D76" s="60"/>
      <c r="E76" s="61" t="str">
        <f>IFERROR(IF(D76&lt;&gt;"",VLOOKUP(D76,Rates!$B$5:$H$105,3,FALSE),""),"Country not found")</f>
        <v/>
      </c>
      <c r="F76" s="62">
        <f>SUMIF('1. Staff costs'!C:C,B76,'1. Staff costs'!I:I)+SUMIF('1. Staff costs'!C:C,B76,'1. Staff costs'!M:M)+SUMIF('1. Staff costs'!C:C,B76,'1. Staff costs'!Q:Q)+SUMIF('1. Staff costs'!C:C,B76,'1. Staff costs'!U:U)</f>
        <v>0</v>
      </c>
      <c r="G76" s="62">
        <f>SUMIF('2-3. Travel Costs&amp;Costs of Stay'!C:C,B76,'2-3. Travel Costs&amp;Costs of Stay'!L:L)</f>
        <v>0</v>
      </c>
      <c r="H76" s="62">
        <f>SUMIF('2-3. Travel Costs&amp;Costs of Stay'!C:C,B76,'2-3. Travel Costs&amp;Costs of Stay'!M:M)</f>
        <v>0</v>
      </c>
      <c r="I76" s="62">
        <f>SUMIF('4. Equipment Costs'!C:C,B76,'4. Equipment Costs'!H:H)</f>
        <v>0</v>
      </c>
      <c r="J76" s="62">
        <f>SUMIF('5. Subcontracting Costs'!C:C,B76,'5. Subcontracting Costs'!H:H)</f>
        <v>0</v>
      </c>
      <c r="K76" s="63">
        <f>SUMIF('B. Special Mob Strand - Student'!B:B,B76,'B. Special Mob Strand - Student'!L:L)+SUMIF('B. Special Mob Strand - Student'!B:B,B76,'B. Special Mob Strand - Student'!M:M)+SUMIF('B. Special Mob Strand - Staff'!B:B,B76,'B. Special Mob Strand - Staff'!L:L)+SUMIF('B. Special Mob Strand - Staff'!B:B,B76,'B. Special Mob Strand - Staff'!M:M)</f>
        <v>0</v>
      </c>
      <c r="L76" s="64">
        <f t="shared" si="0"/>
        <v>0</v>
      </c>
    </row>
    <row r="77" spans="2:12" x14ac:dyDescent="0.25">
      <c r="B77" s="150" t="s">
        <v>329</v>
      </c>
      <c r="C77" s="65"/>
      <c r="D77" s="60"/>
      <c r="E77" s="61" t="str">
        <f>IFERROR(IF(D77&lt;&gt;"",VLOOKUP(D77,Rates!$B$5:$H$105,3,FALSE),""),"Country not found")</f>
        <v/>
      </c>
      <c r="F77" s="62">
        <f>SUMIF('1. Staff costs'!C:C,B77,'1. Staff costs'!I:I)+SUMIF('1. Staff costs'!C:C,B77,'1. Staff costs'!M:M)+SUMIF('1. Staff costs'!C:C,B77,'1. Staff costs'!Q:Q)+SUMIF('1. Staff costs'!C:C,B77,'1. Staff costs'!U:U)</f>
        <v>0</v>
      </c>
      <c r="G77" s="62">
        <f>SUMIF('2-3. Travel Costs&amp;Costs of Stay'!C:C,B77,'2-3. Travel Costs&amp;Costs of Stay'!L:L)</f>
        <v>0</v>
      </c>
      <c r="H77" s="62">
        <f>SUMIF('2-3. Travel Costs&amp;Costs of Stay'!C:C,B77,'2-3. Travel Costs&amp;Costs of Stay'!M:M)</f>
        <v>0</v>
      </c>
      <c r="I77" s="62">
        <f>SUMIF('4. Equipment Costs'!C:C,B77,'4. Equipment Costs'!H:H)</f>
        <v>0</v>
      </c>
      <c r="J77" s="62">
        <f>SUMIF('5. Subcontracting Costs'!C:C,B77,'5. Subcontracting Costs'!H:H)</f>
        <v>0</v>
      </c>
      <c r="K77" s="63">
        <f>SUMIF('B. Special Mob Strand - Student'!B:B,B77,'B. Special Mob Strand - Student'!L:L)+SUMIF('B. Special Mob Strand - Student'!B:B,B77,'B. Special Mob Strand - Student'!M:M)+SUMIF('B. Special Mob Strand - Staff'!B:B,B77,'B. Special Mob Strand - Staff'!L:L)+SUMIF('B. Special Mob Strand - Staff'!B:B,B77,'B. Special Mob Strand - Staff'!M:M)</f>
        <v>0</v>
      </c>
      <c r="L77" s="64">
        <f t="shared" si="0"/>
        <v>0</v>
      </c>
    </row>
    <row r="78" spans="2:12" x14ac:dyDescent="0.25">
      <c r="B78" s="150" t="s">
        <v>330</v>
      </c>
      <c r="C78" s="65"/>
      <c r="D78" s="60"/>
      <c r="E78" s="61" t="str">
        <f>IFERROR(IF(D78&lt;&gt;"",VLOOKUP(D78,Rates!$B$5:$H$105,3,FALSE),""),"Country not found")</f>
        <v/>
      </c>
      <c r="F78" s="62">
        <f>SUMIF('1. Staff costs'!C:C,B78,'1. Staff costs'!I:I)+SUMIF('1. Staff costs'!C:C,B78,'1. Staff costs'!M:M)+SUMIF('1. Staff costs'!C:C,B78,'1. Staff costs'!Q:Q)+SUMIF('1. Staff costs'!C:C,B78,'1. Staff costs'!U:U)</f>
        <v>0</v>
      </c>
      <c r="G78" s="62">
        <f>SUMIF('2-3. Travel Costs&amp;Costs of Stay'!C:C,B78,'2-3. Travel Costs&amp;Costs of Stay'!L:L)</f>
        <v>0</v>
      </c>
      <c r="H78" s="62">
        <f>SUMIF('2-3. Travel Costs&amp;Costs of Stay'!C:C,B78,'2-3. Travel Costs&amp;Costs of Stay'!M:M)</f>
        <v>0</v>
      </c>
      <c r="I78" s="62">
        <f>SUMIF('4. Equipment Costs'!C:C,B78,'4. Equipment Costs'!H:H)</f>
        <v>0</v>
      </c>
      <c r="J78" s="62">
        <f>SUMIF('5. Subcontracting Costs'!C:C,B78,'5. Subcontracting Costs'!H:H)</f>
        <v>0</v>
      </c>
      <c r="K78" s="63">
        <f>SUMIF('B. Special Mob Strand - Student'!B:B,B78,'B. Special Mob Strand - Student'!L:L)+SUMIF('B. Special Mob Strand - Student'!B:B,B78,'B. Special Mob Strand - Student'!M:M)+SUMIF('B. Special Mob Strand - Staff'!B:B,B78,'B. Special Mob Strand - Staff'!L:L)+SUMIF('B. Special Mob Strand - Staff'!B:B,B78,'B. Special Mob Strand - Staff'!M:M)</f>
        <v>0</v>
      </c>
      <c r="L78" s="64">
        <f t="shared" si="0"/>
        <v>0</v>
      </c>
    </row>
    <row r="79" spans="2:12" x14ac:dyDescent="0.25">
      <c r="B79" s="150" t="s">
        <v>331</v>
      </c>
      <c r="C79" s="65"/>
      <c r="D79" s="60"/>
      <c r="E79" s="61" t="str">
        <f>IFERROR(IF(D79&lt;&gt;"",VLOOKUP(D79,Rates!$B$5:$H$105,3,FALSE),""),"Country not found")</f>
        <v/>
      </c>
      <c r="F79" s="62">
        <f>SUMIF('1. Staff costs'!C:C,B79,'1. Staff costs'!I:I)+SUMIF('1. Staff costs'!C:C,B79,'1. Staff costs'!M:M)+SUMIF('1. Staff costs'!C:C,B79,'1. Staff costs'!Q:Q)+SUMIF('1. Staff costs'!C:C,B79,'1. Staff costs'!U:U)</f>
        <v>0</v>
      </c>
      <c r="G79" s="62">
        <f>SUMIF('2-3. Travel Costs&amp;Costs of Stay'!C:C,B79,'2-3. Travel Costs&amp;Costs of Stay'!L:L)</f>
        <v>0</v>
      </c>
      <c r="H79" s="62">
        <f>SUMIF('2-3. Travel Costs&amp;Costs of Stay'!C:C,B79,'2-3. Travel Costs&amp;Costs of Stay'!M:M)</f>
        <v>0</v>
      </c>
      <c r="I79" s="62">
        <f>SUMIF('4. Equipment Costs'!C:C,B79,'4. Equipment Costs'!H:H)</f>
        <v>0</v>
      </c>
      <c r="J79" s="62">
        <f>SUMIF('5. Subcontracting Costs'!C:C,B79,'5. Subcontracting Costs'!H:H)</f>
        <v>0</v>
      </c>
      <c r="K79" s="63">
        <f>SUMIF('B. Special Mob Strand - Student'!B:B,B79,'B. Special Mob Strand - Student'!L:L)+SUMIF('B. Special Mob Strand - Student'!B:B,B79,'B. Special Mob Strand - Student'!M:M)+SUMIF('B. Special Mob Strand - Staff'!B:B,B79,'B. Special Mob Strand - Staff'!L:L)+SUMIF('B. Special Mob Strand - Staff'!B:B,B79,'B. Special Mob Strand - Staff'!M:M)</f>
        <v>0</v>
      </c>
      <c r="L79" s="64">
        <f t="shared" si="0"/>
        <v>0</v>
      </c>
    </row>
    <row r="80" spans="2:12" x14ac:dyDescent="0.25">
      <c r="B80" s="150" t="s">
        <v>348</v>
      </c>
      <c r="C80" s="65"/>
      <c r="D80" s="60"/>
      <c r="E80" s="61" t="str">
        <f>IFERROR(IF(D80&lt;&gt;"",VLOOKUP(D80,Rates!$B$5:$H$105,3,FALSE),""),"Country not found")</f>
        <v/>
      </c>
      <c r="F80" s="62">
        <f>SUMIF('1. Staff costs'!C:C,B80,'1. Staff costs'!I:I)+SUMIF('1. Staff costs'!C:C,B80,'1. Staff costs'!M:M)+SUMIF('1. Staff costs'!C:C,B80,'1. Staff costs'!Q:Q)+SUMIF('1. Staff costs'!C:C,B80,'1. Staff costs'!U:U)</f>
        <v>0</v>
      </c>
      <c r="G80" s="62">
        <f>SUMIF('2-3. Travel Costs&amp;Costs of Stay'!C:C,B80,'2-3. Travel Costs&amp;Costs of Stay'!L:L)</f>
        <v>0</v>
      </c>
      <c r="H80" s="62">
        <f>SUMIF('2-3. Travel Costs&amp;Costs of Stay'!C:C,B80,'2-3. Travel Costs&amp;Costs of Stay'!M:M)</f>
        <v>0</v>
      </c>
      <c r="I80" s="62">
        <f>SUMIF('4. Equipment Costs'!C:C,B80,'4. Equipment Costs'!H:H)</f>
        <v>0</v>
      </c>
      <c r="J80" s="62">
        <f>SUMIF('5. Subcontracting Costs'!C:C,B80,'5. Subcontracting Costs'!H:H)</f>
        <v>0</v>
      </c>
      <c r="K80" s="63">
        <f>SUMIF('B. Special Mob Strand - Student'!B:B,B80,'B. Special Mob Strand - Student'!L:L)+SUMIF('B. Special Mob Strand - Student'!B:B,B80,'B. Special Mob Strand - Student'!M:M)+SUMIF('B. Special Mob Strand - Staff'!B:B,B80,'B. Special Mob Strand - Staff'!L:L)+SUMIF('B. Special Mob Strand - Staff'!B:B,B80,'B. Special Mob Strand - Staff'!M:M)</f>
        <v>0</v>
      </c>
      <c r="L80" s="64">
        <f t="shared" si="0"/>
        <v>0</v>
      </c>
    </row>
    <row r="81" spans="2:12" x14ac:dyDescent="0.25">
      <c r="B81" s="150" t="s">
        <v>349</v>
      </c>
      <c r="C81" s="65"/>
      <c r="D81" s="60"/>
      <c r="E81" s="61" t="str">
        <f>IFERROR(IF(D81&lt;&gt;"",VLOOKUP(D81,Rates!$B$5:$H$105,3,FALSE),""),"Country not found")</f>
        <v/>
      </c>
      <c r="F81" s="62">
        <f>SUMIF('1. Staff costs'!C:C,B81,'1. Staff costs'!I:I)+SUMIF('1. Staff costs'!C:C,B81,'1. Staff costs'!M:M)+SUMIF('1. Staff costs'!C:C,B81,'1. Staff costs'!Q:Q)+SUMIF('1. Staff costs'!C:C,B81,'1. Staff costs'!U:U)</f>
        <v>0</v>
      </c>
      <c r="G81" s="62">
        <f>SUMIF('2-3. Travel Costs&amp;Costs of Stay'!C:C,B81,'2-3. Travel Costs&amp;Costs of Stay'!L:L)</f>
        <v>0</v>
      </c>
      <c r="H81" s="62">
        <f>SUMIF('2-3. Travel Costs&amp;Costs of Stay'!C:C,B81,'2-3. Travel Costs&amp;Costs of Stay'!M:M)</f>
        <v>0</v>
      </c>
      <c r="I81" s="62">
        <f>SUMIF('4. Equipment Costs'!C:C,B81,'4. Equipment Costs'!H:H)</f>
        <v>0</v>
      </c>
      <c r="J81" s="62">
        <f>SUMIF('5. Subcontracting Costs'!C:C,B81,'5. Subcontracting Costs'!H:H)</f>
        <v>0</v>
      </c>
      <c r="K81" s="63">
        <f>SUMIF('B. Special Mob Strand - Student'!B:B,B81,'B. Special Mob Strand - Student'!L:L)+SUMIF('B. Special Mob Strand - Student'!B:B,B81,'B. Special Mob Strand - Student'!M:M)+SUMIF('B. Special Mob Strand - Staff'!B:B,B81,'B. Special Mob Strand - Staff'!L:L)+SUMIF('B. Special Mob Strand - Staff'!B:B,B81,'B. Special Mob Strand - Staff'!M:M)</f>
        <v>0</v>
      </c>
      <c r="L81" s="64">
        <f t="shared" si="0"/>
        <v>0</v>
      </c>
    </row>
    <row r="82" spans="2:12" x14ac:dyDescent="0.25">
      <c r="B82" s="150" t="s">
        <v>350</v>
      </c>
      <c r="C82" s="65"/>
      <c r="D82" s="60"/>
      <c r="E82" s="61" t="str">
        <f>IFERROR(IF(D82&lt;&gt;"",VLOOKUP(D82,Rates!$B$5:$H$105,3,FALSE),""),"Country not found")</f>
        <v/>
      </c>
      <c r="F82" s="62">
        <f>SUMIF('1. Staff costs'!C:C,B82,'1. Staff costs'!I:I)+SUMIF('1. Staff costs'!C:C,B82,'1. Staff costs'!M:M)+SUMIF('1. Staff costs'!C:C,B82,'1. Staff costs'!Q:Q)+SUMIF('1. Staff costs'!C:C,B82,'1. Staff costs'!U:U)</f>
        <v>0</v>
      </c>
      <c r="G82" s="62">
        <f>SUMIF('2-3. Travel Costs&amp;Costs of Stay'!C:C,B82,'2-3. Travel Costs&amp;Costs of Stay'!L:L)</f>
        <v>0</v>
      </c>
      <c r="H82" s="62">
        <f>SUMIF('2-3. Travel Costs&amp;Costs of Stay'!C:C,B82,'2-3. Travel Costs&amp;Costs of Stay'!M:M)</f>
        <v>0</v>
      </c>
      <c r="I82" s="62">
        <f>SUMIF('4. Equipment Costs'!C:C,B82,'4. Equipment Costs'!H:H)</f>
        <v>0</v>
      </c>
      <c r="J82" s="62">
        <f>SUMIF('5. Subcontracting Costs'!C:C,B82,'5. Subcontracting Costs'!H:H)</f>
        <v>0</v>
      </c>
      <c r="K82" s="63">
        <f>SUMIF('B. Special Mob Strand - Student'!B:B,B82,'B. Special Mob Strand - Student'!L:L)+SUMIF('B. Special Mob Strand - Student'!B:B,B82,'B. Special Mob Strand - Student'!M:M)+SUMIF('B. Special Mob Strand - Staff'!B:B,B82,'B. Special Mob Strand - Staff'!L:L)+SUMIF('B. Special Mob Strand - Staff'!B:B,B82,'B. Special Mob Strand - Staff'!M:M)</f>
        <v>0</v>
      </c>
      <c r="L82" s="64">
        <f t="shared" si="0"/>
        <v>0</v>
      </c>
    </row>
    <row r="83" spans="2:12" x14ac:dyDescent="0.25">
      <c r="B83" s="150" t="s">
        <v>351</v>
      </c>
      <c r="C83" s="65"/>
      <c r="D83" s="60"/>
      <c r="E83" s="61" t="str">
        <f>IFERROR(IF(D83&lt;&gt;"",VLOOKUP(D83,Rates!$B$5:$H$105,3,FALSE),""),"Country not found")</f>
        <v/>
      </c>
      <c r="F83" s="62">
        <f>SUMIF('1. Staff costs'!C:C,B83,'1. Staff costs'!I:I)+SUMIF('1. Staff costs'!C:C,B83,'1. Staff costs'!M:M)+SUMIF('1. Staff costs'!C:C,B83,'1. Staff costs'!Q:Q)+SUMIF('1. Staff costs'!C:C,B83,'1. Staff costs'!U:U)</f>
        <v>0</v>
      </c>
      <c r="G83" s="62">
        <f>SUMIF('2-3. Travel Costs&amp;Costs of Stay'!C:C,B83,'2-3. Travel Costs&amp;Costs of Stay'!L:L)</f>
        <v>0</v>
      </c>
      <c r="H83" s="62">
        <f>SUMIF('2-3. Travel Costs&amp;Costs of Stay'!C:C,B83,'2-3. Travel Costs&amp;Costs of Stay'!M:M)</f>
        <v>0</v>
      </c>
      <c r="I83" s="62">
        <f>SUMIF('4. Equipment Costs'!C:C,B83,'4. Equipment Costs'!H:H)</f>
        <v>0</v>
      </c>
      <c r="J83" s="62">
        <f>SUMIF('5. Subcontracting Costs'!C:C,B83,'5. Subcontracting Costs'!H:H)</f>
        <v>0</v>
      </c>
      <c r="K83" s="63">
        <f>SUMIF('B. Special Mob Strand - Student'!B:B,B83,'B. Special Mob Strand - Student'!L:L)+SUMIF('B. Special Mob Strand - Student'!B:B,B83,'B. Special Mob Strand - Student'!M:M)+SUMIF('B. Special Mob Strand - Staff'!B:B,B83,'B. Special Mob Strand - Staff'!L:L)+SUMIF('B. Special Mob Strand - Staff'!B:B,B83,'B. Special Mob Strand - Staff'!M:M)</f>
        <v>0</v>
      </c>
      <c r="L83" s="64">
        <f t="shared" si="0"/>
        <v>0</v>
      </c>
    </row>
    <row r="84" spans="2:12" x14ac:dyDescent="0.25">
      <c r="B84" s="150" t="s">
        <v>352</v>
      </c>
      <c r="C84" s="65"/>
      <c r="D84" s="60"/>
      <c r="E84" s="61" t="str">
        <f>IFERROR(IF(D84&lt;&gt;"",VLOOKUP(D84,Rates!$B$5:$H$105,3,FALSE),""),"Country not found")</f>
        <v/>
      </c>
      <c r="F84" s="62">
        <f>SUMIF('1. Staff costs'!C:C,B84,'1. Staff costs'!I:I)+SUMIF('1. Staff costs'!C:C,B84,'1. Staff costs'!M:M)+SUMIF('1. Staff costs'!C:C,B84,'1. Staff costs'!Q:Q)+SUMIF('1. Staff costs'!C:C,B84,'1. Staff costs'!U:U)</f>
        <v>0</v>
      </c>
      <c r="G84" s="62">
        <f>SUMIF('2-3. Travel Costs&amp;Costs of Stay'!C:C,B84,'2-3. Travel Costs&amp;Costs of Stay'!L:L)</f>
        <v>0</v>
      </c>
      <c r="H84" s="62">
        <f>SUMIF('2-3. Travel Costs&amp;Costs of Stay'!C:C,B84,'2-3. Travel Costs&amp;Costs of Stay'!M:M)</f>
        <v>0</v>
      </c>
      <c r="I84" s="62">
        <f>SUMIF('4. Equipment Costs'!C:C,B84,'4. Equipment Costs'!H:H)</f>
        <v>0</v>
      </c>
      <c r="J84" s="62">
        <f>SUMIF('5. Subcontracting Costs'!C:C,B84,'5. Subcontracting Costs'!H:H)</f>
        <v>0</v>
      </c>
      <c r="K84" s="63">
        <f>SUMIF('B. Special Mob Strand - Student'!B:B,B84,'B. Special Mob Strand - Student'!L:L)+SUMIF('B. Special Mob Strand - Student'!B:B,B84,'B. Special Mob Strand - Student'!M:M)+SUMIF('B. Special Mob Strand - Staff'!B:B,B84,'B. Special Mob Strand - Staff'!L:L)+SUMIF('B. Special Mob Strand - Staff'!B:B,B84,'B. Special Mob Strand - Staff'!M:M)</f>
        <v>0</v>
      </c>
      <c r="L84" s="64">
        <f t="shared" si="0"/>
        <v>0</v>
      </c>
    </row>
  </sheetData>
  <sheetProtection password="E359" sheet="1" objects="1" scenarios="1" selectLockedCells="1"/>
  <mergeCells count="29">
    <mergeCell ref="B24:C24"/>
    <mergeCell ref="B28:L28"/>
    <mergeCell ref="B18:C18"/>
    <mergeCell ref="B19:C19"/>
    <mergeCell ref="B20:C20"/>
    <mergeCell ref="B21:C21"/>
    <mergeCell ref="B26:C26"/>
    <mergeCell ref="B22:C22"/>
    <mergeCell ref="E22:L22"/>
    <mergeCell ref="E26:L26"/>
    <mergeCell ref="E24:L24"/>
    <mergeCell ref="E21:L21"/>
    <mergeCell ref="E20:L20"/>
    <mergeCell ref="E19:L19"/>
    <mergeCell ref="E18:L18"/>
    <mergeCell ref="E17:L17"/>
    <mergeCell ref="B7:L7"/>
    <mergeCell ref="B8:L8"/>
    <mergeCell ref="B9:L9"/>
    <mergeCell ref="B11:C11"/>
    <mergeCell ref="B12:C12"/>
    <mergeCell ref="B13:C13"/>
    <mergeCell ref="B16:L16"/>
    <mergeCell ref="B17:C17"/>
    <mergeCell ref="E13:L13"/>
    <mergeCell ref="E12:L12"/>
    <mergeCell ref="E11:L11"/>
    <mergeCell ref="B14:C14"/>
    <mergeCell ref="D14:L14"/>
  </mergeCells>
  <conditionalFormatting sqref="D17">
    <cfRule type="expression" dxfId="912" priority="15">
      <formula>"D17&gt;ROUND(D22*0,4;2)"</formula>
    </cfRule>
  </conditionalFormatting>
  <conditionalFormatting sqref="D20">
    <cfRule type="expression" dxfId="911" priority="13">
      <formula>D20&gt;ROUND(D22*0.3,2)</formula>
    </cfRule>
  </conditionalFormatting>
  <conditionalFormatting sqref="D21">
    <cfRule type="expression" dxfId="910" priority="11">
      <formula>D21&gt;ROUND(D22*0.1,2)</formula>
    </cfRule>
  </conditionalFormatting>
  <conditionalFormatting sqref="D22">
    <cfRule type="expression" dxfId="909" priority="9">
      <formula>$E$23=1</formula>
    </cfRule>
  </conditionalFormatting>
  <conditionalFormatting sqref="D24">
    <cfRule type="expression" dxfId="908" priority="7">
      <formula>D24&gt;ROUND(D22*0.8,2)</formula>
    </cfRule>
  </conditionalFormatting>
  <dataValidations xWindow="331" yWindow="265" count="5">
    <dataValidation type="list" allowBlank="1" showInputMessage="1" showErrorMessage="1" error="Click arrow to select Action Type" prompt="Click arrow to select Action Type" sqref="D11">
      <formula1>"Joint Project,Structural Project"</formula1>
    </dataValidation>
    <dataValidation type="list" allowBlank="1" showInputMessage="1" showErrorMessage="1" error="Click arrow to select Duration" prompt="Click arrow to select Duration" sqref="D12">
      <formula1>"24,36"</formula1>
    </dataValidation>
    <dataValidation type="textLength" allowBlank="1" showInputMessage="1" showErrorMessage="1" error="Max 25 characters" prompt="Max 25 characters" sqref="D13">
      <formula1>0</formula1>
      <formula2>25</formula2>
    </dataValidation>
    <dataValidation type="textLength" allowBlank="1" showInputMessage="1" showErrorMessage="1" error="Max 130 characters" prompt="Max 130 characters" sqref="D14:L14">
      <formula1>0</formula1>
      <formula2>130</formula2>
    </dataValidation>
    <dataValidation type="textLength" allowBlank="1" showInputMessage="1" showErrorMessage="1" error="Max 60 characters" prompt="Max 60 characters" sqref="C30:C84">
      <formula1>0</formula1>
      <formula2>60</formula2>
    </dataValidation>
  </dataValidations>
  <printOptions horizontalCentered="1"/>
  <pageMargins left="0.39370078740157483" right="0.39370078740157483" top="0.74803149606299213" bottom="0.74803149606299213" header="0.31496062992125984" footer="0.31496062992125984"/>
  <pageSetup paperSize="9" scale="35" orientation="portrait" r:id="rId1"/>
  <headerFooter>
    <oddFooter>&amp;CPage &amp;P of 3</oddFooter>
  </headerFooter>
  <drawing r:id="rId2"/>
  <extLst>
    <ext xmlns:x14="http://schemas.microsoft.com/office/spreadsheetml/2009/9/main" uri="{78C0D931-6437-407d-A8EE-F0AAD7539E65}">
      <x14:conditionalFormattings>
        <x14:conditionalFormatting xmlns:xm="http://schemas.microsoft.com/office/excel/2006/main">
          <x14:cfRule type="containsText" priority="24" operator="containsText" id="{1B2D6468-AC9A-4981-99A3-37812F17ADE2}">
            <xm:f>NOT(ISERROR(SEARCH("Country not found",E30)))</xm:f>
            <xm:f>"Country not found"</xm:f>
            <x14:dxf>
              <font>
                <b/>
                <i val="0"/>
                <color theme="1"/>
              </font>
              <fill>
                <patternFill>
                  <bgColor rgb="FFFF0000"/>
                </patternFill>
              </fill>
            </x14:dxf>
          </x14:cfRule>
          <xm:sqref>E30:E84</xm:sqref>
        </x14:conditionalFormatting>
      </x14:conditionalFormattings>
    </ext>
    <ext xmlns:x14="http://schemas.microsoft.com/office/spreadsheetml/2009/9/main" uri="{CCE6A557-97BC-4b89-ADB6-D9C93CAAB3DF}">
      <x14:dataValidations xmlns:xm="http://schemas.microsoft.com/office/excel/2006/main" xWindow="331" yWindow="265" count="1">
        <x14:dataValidation type="list" allowBlank="1" showInputMessage="1" showErrorMessage="1" error="Click arrow to select Country " prompt="Click arrow to select Country ">
          <x14:formula1>
            <xm:f>Rates!$B$5:$B$105</xm:f>
          </x14:formula1>
          <xm:sqref>D30:D84</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D70"/>
  <sheetViews>
    <sheetView workbookViewId="0"/>
  </sheetViews>
  <sheetFormatPr defaultRowHeight="15" x14ac:dyDescent="0.25"/>
  <cols>
    <col min="1" max="3" width="44.7109375" customWidth="1"/>
  </cols>
  <sheetData>
    <row r="1" spans="1:4" ht="19.5" thickBot="1" x14ac:dyDescent="0.3">
      <c r="A1" s="11" t="s">
        <v>317</v>
      </c>
      <c r="B1" s="1" t="s">
        <v>318</v>
      </c>
      <c r="C1" s="6" t="s">
        <v>319</v>
      </c>
    </row>
    <row r="2" spans="1:4" ht="15" customHeight="1" x14ac:dyDescent="0.25">
      <c r="A2" s="12" t="s">
        <v>163</v>
      </c>
      <c r="B2" s="2" t="s">
        <v>212</v>
      </c>
      <c r="C2" s="7" t="s">
        <v>257</v>
      </c>
    </row>
    <row r="3" spans="1:4" ht="15" customHeight="1" x14ac:dyDescent="0.25">
      <c r="A3" s="13" t="s">
        <v>293</v>
      </c>
      <c r="B3" s="3" t="s">
        <v>190</v>
      </c>
      <c r="C3" s="8" t="s">
        <v>239</v>
      </c>
    </row>
    <row r="4" spans="1:4" ht="15" customHeight="1" x14ac:dyDescent="0.25">
      <c r="A4" s="13" t="s">
        <v>294</v>
      </c>
      <c r="B4" s="3" t="s">
        <v>192</v>
      </c>
      <c r="C4" s="8" t="s">
        <v>241</v>
      </c>
    </row>
    <row r="5" spans="1:4" ht="15" customHeight="1" x14ac:dyDescent="0.25">
      <c r="A5" s="14" t="s">
        <v>152</v>
      </c>
      <c r="B5" s="4" t="s">
        <v>183</v>
      </c>
      <c r="C5" s="9" t="s">
        <v>283</v>
      </c>
    </row>
    <row r="6" spans="1:4" ht="15" customHeight="1" x14ac:dyDescent="0.25">
      <c r="A6" s="13" t="s">
        <v>300</v>
      </c>
      <c r="B6" s="3" t="s">
        <v>193</v>
      </c>
      <c r="C6" s="8" t="s">
        <v>242</v>
      </c>
    </row>
    <row r="7" spans="1:4" ht="15" customHeight="1" x14ac:dyDescent="0.25">
      <c r="A7" s="14" t="s">
        <v>153</v>
      </c>
      <c r="B7" s="4" t="s">
        <v>184</v>
      </c>
      <c r="C7" s="9" t="s">
        <v>284</v>
      </c>
    </row>
    <row r="8" spans="1:4" ht="15" customHeight="1" x14ac:dyDescent="0.25">
      <c r="A8" s="13" t="s">
        <v>292</v>
      </c>
      <c r="B8" s="3"/>
      <c r="C8" s="8"/>
    </row>
    <row r="9" spans="1:4" ht="15" customHeight="1" x14ac:dyDescent="0.25">
      <c r="A9" s="13" t="s">
        <v>291</v>
      </c>
      <c r="B9" s="3"/>
      <c r="C9" s="8"/>
    </row>
    <row r="10" spans="1:4" ht="15" customHeight="1" x14ac:dyDescent="0.25">
      <c r="A10" s="13" t="s">
        <v>288</v>
      </c>
      <c r="B10" s="3" t="s">
        <v>189</v>
      </c>
      <c r="C10" s="8" t="s">
        <v>238</v>
      </c>
    </row>
    <row r="11" spans="1:4" ht="15" customHeight="1" x14ac:dyDescent="0.25">
      <c r="A11" s="13" t="s">
        <v>6</v>
      </c>
      <c r="B11" s="3" t="s">
        <v>6</v>
      </c>
      <c r="C11" s="8" t="s">
        <v>230</v>
      </c>
      <c r="D11" t="s">
        <v>332</v>
      </c>
    </row>
    <row r="12" spans="1:4" ht="15" customHeight="1" x14ac:dyDescent="0.25">
      <c r="A12" s="14" t="s">
        <v>274</v>
      </c>
      <c r="B12" s="4" t="s">
        <v>275</v>
      </c>
      <c r="C12" s="9" t="s">
        <v>276</v>
      </c>
    </row>
    <row r="13" spans="1:4" ht="15" customHeight="1" x14ac:dyDescent="0.25">
      <c r="A13" s="13" t="s">
        <v>41</v>
      </c>
      <c r="B13" s="3" t="s">
        <v>218</v>
      </c>
      <c r="C13" s="8" t="s">
        <v>264</v>
      </c>
    </row>
    <row r="14" spans="1:4" ht="15" customHeight="1" x14ac:dyDescent="0.25">
      <c r="A14" s="13" t="s">
        <v>39</v>
      </c>
      <c r="B14" s="3" t="s">
        <v>217</v>
      </c>
      <c r="C14" s="8" t="s">
        <v>263</v>
      </c>
    </row>
    <row r="15" spans="1:4" ht="15" customHeight="1" x14ac:dyDescent="0.25">
      <c r="A15" s="13" t="s">
        <v>40</v>
      </c>
      <c r="B15" s="3" t="s">
        <v>216</v>
      </c>
      <c r="C15" s="8" t="s">
        <v>262</v>
      </c>
    </row>
    <row r="16" spans="1:4" ht="15" customHeight="1" x14ac:dyDescent="0.25">
      <c r="A16" s="13" t="s">
        <v>38</v>
      </c>
      <c r="B16" s="3" t="s">
        <v>215</v>
      </c>
      <c r="C16" s="8" t="s">
        <v>261</v>
      </c>
    </row>
    <row r="17" spans="1:4" ht="15" customHeight="1" x14ac:dyDescent="0.25">
      <c r="A17" s="13" t="s">
        <v>166</v>
      </c>
      <c r="B17" s="3" t="s">
        <v>214</v>
      </c>
      <c r="C17" s="8" t="s">
        <v>260</v>
      </c>
    </row>
    <row r="18" spans="1:4" ht="15" customHeight="1" x14ac:dyDescent="0.25">
      <c r="A18" s="13" t="s">
        <v>162</v>
      </c>
      <c r="B18" s="3" t="s">
        <v>211</v>
      </c>
      <c r="C18" s="8" t="s">
        <v>256</v>
      </c>
    </row>
    <row r="19" spans="1:4" ht="15" customHeight="1" x14ac:dyDescent="0.25">
      <c r="A19" s="13" t="s">
        <v>3</v>
      </c>
      <c r="B19" s="3" t="s">
        <v>203</v>
      </c>
      <c r="C19" s="8" t="s">
        <v>248</v>
      </c>
    </row>
    <row r="20" spans="1:4" ht="15" customHeight="1" x14ac:dyDescent="0.25">
      <c r="A20" s="13" t="s">
        <v>289</v>
      </c>
      <c r="B20" s="3" t="s">
        <v>191</v>
      </c>
      <c r="C20" s="8" t="s">
        <v>240</v>
      </c>
    </row>
    <row r="21" spans="1:4" ht="15" customHeight="1" x14ac:dyDescent="0.25">
      <c r="A21" s="13" t="s">
        <v>4</v>
      </c>
      <c r="B21" s="3" t="s">
        <v>178</v>
      </c>
      <c r="C21" s="8" t="s">
        <v>227</v>
      </c>
      <c r="D21" t="s">
        <v>332</v>
      </c>
    </row>
    <row r="22" spans="1:4" ht="15" customHeight="1" x14ac:dyDescent="0.25">
      <c r="A22" s="13" t="s">
        <v>286</v>
      </c>
      <c r="B22" s="3" t="s">
        <v>179</v>
      </c>
      <c r="C22" s="8" t="s">
        <v>228</v>
      </c>
      <c r="D22" t="s">
        <v>332</v>
      </c>
    </row>
    <row r="23" spans="1:4" ht="15" customHeight="1" x14ac:dyDescent="0.25">
      <c r="A23" s="13" t="s">
        <v>287</v>
      </c>
      <c r="B23" s="3" t="s">
        <v>224</v>
      </c>
      <c r="C23" s="8" t="s">
        <v>226</v>
      </c>
      <c r="D23" t="s">
        <v>332</v>
      </c>
    </row>
    <row r="24" spans="1:4" ht="15" customHeight="1" x14ac:dyDescent="0.25">
      <c r="A24" s="13" t="s">
        <v>164</v>
      </c>
      <c r="B24" s="3" t="s">
        <v>220</v>
      </c>
      <c r="C24" s="8" t="s">
        <v>266</v>
      </c>
    </row>
    <row r="25" spans="1:4" ht="15" customHeight="1" x14ac:dyDescent="0.25">
      <c r="A25" s="13" t="s">
        <v>314</v>
      </c>
      <c r="B25" s="3" t="s">
        <v>315</v>
      </c>
      <c r="C25" s="8" t="s">
        <v>316</v>
      </c>
    </row>
    <row r="26" spans="1:4" ht="15" customHeight="1" x14ac:dyDescent="0.25">
      <c r="A26" s="13" t="s">
        <v>0</v>
      </c>
      <c r="B26" s="3" t="s">
        <v>197</v>
      </c>
      <c r="C26" s="8" t="s">
        <v>244</v>
      </c>
    </row>
    <row r="27" spans="1:4" ht="15" customHeight="1" x14ac:dyDescent="0.25">
      <c r="A27" s="13" t="s">
        <v>34</v>
      </c>
      <c r="B27" s="3" t="s">
        <v>34</v>
      </c>
      <c r="C27" s="8" t="s">
        <v>258</v>
      </c>
    </row>
    <row r="28" spans="1:4" ht="15" customHeight="1" x14ac:dyDescent="0.25">
      <c r="A28" s="13" t="s">
        <v>295</v>
      </c>
      <c r="B28" s="3" t="s">
        <v>333</v>
      </c>
      <c r="C28" s="8" t="s">
        <v>334</v>
      </c>
    </row>
    <row r="29" spans="1:4" ht="15" customHeight="1" x14ac:dyDescent="0.25">
      <c r="A29" s="14" t="s">
        <v>149</v>
      </c>
      <c r="B29" s="4" t="s">
        <v>182</v>
      </c>
      <c r="C29" s="9" t="s">
        <v>233</v>
      </c>
    </row>
    <row r="30" spans="1:4" ht="15" customHeight="1" x14ac:dyDescent="0.25">
      <c r="A30" s="13" t="s">
        <v>307</v>
      </c>
      <c r="B30" s="3" t="s">
        <v>308</v>
      </c>
      <c r="C30" s="8" t="s">
        <v>231</v>
      </c>
      <c r="D30" t="s">
        <v>332</v>
      </c>
    </row>
    <row r="31" spans="1:4" ht="15" customHeight="1" x14ac:dyDescent="0.25">
      <c r="A31" s="14" t="s">
        <v>154</v>
      </c>
      <c r="B31" s="4" t="s">
        <v>181</v>
      </c>
      <c r="C31" s="9" t="s">
        <v>232</v>
      </c>
    </row>
    <row r="32" spans="1:4" ht="15" customHeight="1" x14ac:dyDescent="0.25">
      <c r="A32" s="13" t="s">
        <v>320</v>
      </c>
      <c r="B32" s="3" t="s">
        <v>321</v>
      </c>
      <c r="C32" s="8"/>
    </row>
    <row r="33" spans="1:4" ht="15" customHeight="1" x14ac:dyDescent="0.25">
      <c r="A33" s="13" t="s">
        <v>12</v>
      </c>
      <c r="B33" s="3" t="s">
        <v>188</v>
      </c>
      <c r="C33" s="8" t="s">
        <v>245</v>
      </c>
    </row>
    <row r="34" spans="1:4" ht="15" customHeight="1" x14ac:dyDescent="0.25">
      <c r="A34" s="13" t="s">
        <v>160</v>
      </c>
      <c r="B34" s="3" t="s">
        <v>208</v>
      </c>
      <c r="C34" s="8" t="s">
        <v>253</v>
      </c>
    </row>
    <row r="35" spans="1:4" ht="15" customHeight="1" x14ac:dyDescent="0.25">
      <c r="A35" s="14" t="s">
        <v>298</v>
      </c>
      <c r="B35" s="4" t="s">
        <v>277</v>
      </c>
      <c r="C35" s="9" t="s">
        <v>225</v>
      </c>
    </row>
    <row r="36" spans="1:4" ht="15" customHeight="1" x14ac:dyDescent="0.25">
      <c r="A36" s="13" t="s">
        <v>297</v>
      </c>
      <c r="B36" s="3" t="s">
        <v>155</v>
      </c>
      <c r="C36" s="8" t="s">
        <v>225</v>
      </c>
      <c r="D36" t="s">
        <v>332</v>
      </c>
    </row>
    <row r="37" spans="1:4" ht="15" customHeight="1" x14ac:dyDescent="0.25">
      <c r="A37" s="13" t="s">
        <v>151</v>
      </c>
      <c r="B37" s="3" t="s">
        <v>156</v>
      </c>
      <c r="C37" s="8" t="s">
        <v>157</v>
      </c>
      <c r="D37" t="s">
        <v>332</v>
      </c>
    </row>
    <row r="38" spans="1:4" ht="15" customHeight="1" x14ac:dyDescent="0.25">
      <c r="A38" s="13" t="s">
        <v>309</v>
      </c>
      <c r="B38" s="3" t="s">
        <v>310</v>
      </c>
      <c r="C38" s="8" t="s">
        <v>311</v>
      </c>
    </row>
    <row r="39" spans="1:4" ht="15" customHeight="1" x14ac:dyDescent="0.25">
      <c r="A39" s="13" t="s">
        <v>1</v>
      </c>
      <c r="B39" s="3" t="s">
        <v>200</v>
      </c>
      <c r="C39" s="8" t="s">
        <v>200</v>
      </c>
    </row>
    <row r="40" spans="1:4" ht="15" customHeight="1" x14ac:dyDescent="0.25">
      <c r="A40" s="14" t="s">
        <v>302</v>
      </c>
      <c r="B40" s="3" t="s">
        <v>271</v>
      </c>
      <c r="C40" s="8" t="s">
        <v>273</v>
      </c>
    </row>
    <row r="41" spans="1:4" ht="15" customHeight="1" x14ac:dyDescent="0.25">
      <c r="A41" s="14" t="s">
        <v>301</v>
      </c>
      <c r="B41" s="3" t="s">
        <v>270</v>
      </c>
      <c r="C41" s="8" t="s">
        <v>272</v>
      </c>
    </row>
    <row r="42" spans="1:4" ht="15" customHeight="1" x14ac:dyDescent="0.25">
      <c r="A42" s="13" t="s">
        <v>296</v>
      </c>
      <c r="B42" s="3" t="s">
        <v>187</v>
      </c>
      <c r="C42" s="8" t="s">
        <v>236</v>
      </c>
    </row>
    <row r="43" spans="1:4" ht="15" customHeight="1" x14ac:dyDescent="0.25">
      <c r="A43" s="14" t="s">
        <v>280</v>
      </c>
      <c r="B43" s="4" t="s">
        <v>281</v>
      </c>
      <c r="C43" s="9" t="s">
        <v>282</v>
      </c>
    </row>
    <row r="44" spans="1:4" ht="15" customHeight="1" x14ac:dyDescent="0.25">
      <c r="A44" s="13" t="s">
        <v>167</v>
      </c>
      <c r="B44" s="3" t="s">
        <v>196</v>
      </c>
      <c r="C44" s="8" t="s">
        <v>167</v>
      </c>
    </row>
    <row r="45" spans="1:4" ht="15" customHeight="1" x14ac:dyDescent="0.25">
      <c r="A45" s="13" t="s">
        <v>312</v>
      </c>
      <c r="B45" s="3" t="s">
        <v>313</v>
      </c>
      <c r="C45" s="8" t="s">
        <v>312</v>
      </c>
    </row>
    <row r="46" spans="1:4" ht="15" customHeight="1" x14ac:dyDescent="0.25">
      <c r="A46" s="13" t="s">
        <v>159</v>
      </c>
      <c r="B46" s="3" t="s">
        <v>204</v>
      </c>
      <c r="C46" s="8" t="s">
        <v>249</v>
      </c>
    </row>
    <row r="47" spans="1:4" ht="15" customHeight="1" x14ac:dyDescent="0.25">
      <c r="A47" s="13" t="s">
        <v>285</v>
      </c>
      <c r="B47" s="3" t="s">
        <v>219</v>
      </c>
      <c r="C47" s="8" t="s">
        <v>265</v>
      </c>
    </row>
    <row r="48" spans="1:4" ht="15" customHeight="1" x14ac:dyDescent="0.25">
      <c r="A48" s="13" t="s">
        <v>161</v>
      </c>
      <c r="B48" s="3" t="s">
        <v>210</v>
      </c>
      <c r="C48" s="8" t="s">
        <v>255</v>
      </c>
    </row>
    <row r="49" spans="1:4" ht="15" customHeight="1" x14ac:dyDescent="0.25">
      <c r="A49" s="13" t="s">
        <v>168</v>
      </c>
      <c r="B49" s="3" t="s">
        <v>195</v>
      </c>
      <c r="C49" s="8" t="s">
        <v>169</v>
      </c>
    </row>
    <row r="50" spans="1:4" ht="15" customHeight="1" x14ac:dyDescent="0.25">
      <c r="A50" s="13" t="s">
        <v>176</v>
      </c>
      <c r="B50" s="3" t="s">
        <v>180</v>
      </c>
      <c r="C50" s="8" t="s">
        <v>229</v>
      </c>
    </row>
    <row r="51" spans="1:4" ht="15" customHeight="1" x14ac:dyDescent="0.25">
      <c r="A51" s="13" t="s">
        <v>175</v>
      </c>
      <c r="B51" s="3" t="s">
        <v>185</v>
      </c>
      <c r="C51" s="8" t="s">
        <v>234</v>
      </c>
      <c r="D51" t="s">
        <v>332</v>
      </c>
    </row>
    <row r="52" spans="1:4" ht="15" customHeight="1" x14ac:dyDescent="0.25">
      <c r="A52" s="13" t="s">
        <v>174</v>
      </c>
      <c r="B52" s="3" t="s">
        <v>186</v>
      </c>
      <c r="C52" s="8" t="s">
        <v>235</v>
      </c>
      <c r="D52" t="s">
        <v>332</v>
      </c>
    </row>
    <row r="53" spans="1:4" ht="15" customHeight="1" x14ac:dyDescent="0.25">
      <c r="A53" s="13" t="s">
        <v>172</v>
      </c>
      <c r="B53" s="3" t="s">
        <v>223</v>
      </c>
      <c r="C53" s="8" t="s">
        <v>269</v>
      </c>
    </row>
    <row r="54" spans="1:4" ht="15" customHeight="1" x14ac:dyDescent="0.25">
      <c r="A54" s="13" t="s">
        <v>13</v>
      </c>
      <c r="B54" s="3" t="s">
        <v>198</v>
      </c>
      <c r="C54" s="8" t="s">
        <v>239</v>
      </c>
    </row>
    <row r="55" spans="1:4" ht="15" customHeight="1" x14ac:dyDescent="0.25">
      <c r="A55" s="14" t="s">
        <v>299</v>
      </c>
      <c r="B55" s="4" t="s">
        <v>278</v>
      </c>
      <c r="C55" s="9" t="s">
        <v>279</v>
      </c>
    </row>
    <row r="56" spans="1:4" ht="15" customHeight="1" x14ac:dyDescent="0.25">
      <c r="A56" s="13" t="s">
        <v>37</v>
      </c>
      <c r="B56" s="3" t="s">
        <v>193</v>
      </c>
      <c r="C56" s="8" t="s">
        <v>242</v>
      </c>
    </row>
    <row r="57" spans="1:4" ht="15" customHeight="1" x14ac:dyDescent="0.25">
      <c r="A57" s="13" t="s">
        <v>158</v>
      </c>
      <c r="B57" s="3" t="s">
        <v>201</v>
      </c>
      <c r="C57" s="8" t="s">
        <v>246</v>
      </c>
    </row>
    <row r="58" spans="1:4" ht="15" customHeight="1" x14ac:dyDescent="0.25">
      <c r="A58" s="13" t="s">
        <v>2</v>
      </c>
      <c r="B58" s="3" t="s">
        <v>202</v>
      </c>
      <c r="C58" s="8" t="s">
        <v>247</v>
      </c>
    </row>
    <row r="59" spans="1:4" ht="15" customHeight="1" x14ac:dyDescent="0.25">
      <c r="A59" s="13" t="s">
        <v>146</v>
      </c>
      <c r="B59" s="3" t="s">
        <v>146</v>
      </c>
      <c r="C59" s="8" t="s">
        <v>237</v>
      </c>
    </row>
    <row r="60" spans="1:4" ht="15" customHeight="1" x14ac:dyDescent="0.25">
      <c r="A60" s="13" t="s">
        <v>5</v>
      </c>
      <c r="B60" s="3" t="s">
        <v>5</v>
      </c>
      <c r="C60" s="8" t="s">
        <v>237</v>
      </c>
    </row>
    <row r="61" spans="1:4" ht="15" customHeight="1" x14ac:dyDescent="0.25">
      <c r="A61" s="13" t="s">
        <v>147</v>
      </c>
      <c r="B61" s="3" t="s">
        <v>206</v>
      </c>
      <c r="C61" s="8" t="s">
        <v>251</v>
      </c>
    </row>
    <row r="62" spans="1:4" ht="15" customHeight="1" x14ac:dyDescent="0.25">
      <c r="A62" s="13" t="s">
        <v>150</v>
      </c>
      <c r="B62" s="3" t="s">
        <v>207</v>
      </c>
      <c r="C62" s="8" t="s">
        <v>252</v>
      </c>
    </row>
    <row r="63" spans="1:4" ht="15" customHeight="1" x14ac:dyDescent="0.25">
      <c r="A63" s="13" t="s">
        <v>170</v>
      </c>
      <c r="B63" s="3" t="s">
        <v>209</v>
      </c>
      <c r="C63" s="8" t="s">
        <v>254</v>
      </c>
    </row>
    <row r="64" spans="1:4" ht="15" customHeight="1" x14ac:dyDescent="0.25">
      <c r="A64" s="13" t="s">
        <v>171</v>
      </c>
      <c r="B64" s="3" t="s">
        <v>222</v>
      </c>
      <c r="C64" s="8" t="s">
        <v>268</v>
      </c>
    </row>
    <row r="65" spans="1:3" ht="15" customHeight="1" x14ac:dyDescent="0.25">
      <c r="A65" s="13" t="s">
        <v>177</v>
      </c>
      <c r="B65" s="3" t="s">
        <v>199</v>
      </c>
      <c r="C65" s="8" t="s">
        <v>241</v>
      </c>
    </row>
    <row r="66" spans="1:3" ht="15" customHeight="1" x14ac:dyDescent="0.25">
      <c r="A66" s="13" t="s">
        <v>173</v>
      </c>
      <c r="B66" s="3" t="s">
        <v>205</v>
      </c>
      <c r="C66" s="8" t="s">
        <v>250</v>
      </c>
    </row>
    <row r="67" spans="1:3" ht="15" customHeight="1" x14ac:dyDescent="0.25">
      <c r="A67" s="13" t="s">
        <v>165</v>
      </c>
      <c r="B67" s="3" t="s">
        <v>213</v>
      </c>
      <c r="C67" s="8" t="s">
        <v>259</v>
      </c>
    </row>
    <row r="68" spans="1:3" ht="15" customHeight="1" x14ac:dyDescent="0.25">
      <c r="A68" s="13" t="s">
        <v>14</v>
      </c>
      <c r="B68" s="3" t="s">
        <v>194</v>
      </c>
      <c r="C68" s="8" t="s">
        <v>243</v>
      </c>
    </row>
    <row r="69" spans="1:3" ht="15" customHeight="1" thickBot="1" x14ac:dyDescent="0.3">
      <c r="A69" s="15" t="s">
        <v>148</v>
      </c>
      <c r="B69" s="5" t="s">
        <v>221</v>
      </c>
      <c r="C69" s="10" t="s">
        <v>267</v>
      </c>
    </row>
    <row r="70" spans="1:3" ht="15" customHeight="1" x14ac:dyDescent="0.25"/>
  </sheetData>
  <sheetProtection password="E359" sheet="1" objects="1" scenarios="1" selectLockedCells="1" selectUnlockedCells="1"/>
  <sortState ref="A2:C69">
    <sortCondition ref="A2"/>
  </sortState>
  <customSheetViews>
    <customSheetView guid="{D7932BCF-3472-4742-BE90-75070A4D3346}">
      <selection activeCell="A2" sqref="A2"/>
      <pageMargins left="0.7" right="0.7" top="0.75" bottom="0.75" header="0.3" footer="0.3"/>
    </customSheetView>
  </customSheetViews>
  <pageMargins left="0.7" right="0.7" top="0.75" bottom="0.75" header="0.3" footer="0.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tabColor theme="3" tint="0.39997558519241921"/>
  </sheetPr>
  <dimension ref="B1:X109"/>
  <sheetViews>
    <sheetView showGridLines="0" zoomScale="60" zoomScaleNormal="60" zoomScaleSheetLayoutView="85" workbookViewId="0">
      <pane ySplit="13" topLeftCell="A68" activePane="bottomLeft" state="frozen"/>
      <selection pane="bottomLeft" activeCell="F71" sqref="F61:F71"/>
    </sheetView>
  </sheetViews>
  <sheetFormatPr defaultColWidth="9.140625" defaultRowHeight="18" x14ac:dyDescent="0.25"/>
  <cols>
    <col min="1" max="1" width="1.7109375" style="36" customWidth="1"/>
    <col min="2" max="2" width="30.7109375" style="36" customWidth="1"/>
    <col min="3" max="3" width="10.7109375" style="36" customWidth="1"/>
    <col min="4" max="5" width="50.7109375" style="37" customWidth="1"/>
    <col min="6" max="6" width="20.7109375" style="37" customWidth="1"/>
    <col min="7" max="7" width="20.7109375" style="37" hidden="1" customWidth="1"/>
    <col min="8" max="10" width="20.7109375" style="36" customWidth="1"/>
    <col min="11" max="11" width="20.7109375" style="36" hidden="1" customWidth="1"/>
    <col min="12" max="14" width="20.7109375" style="36" customWidth="1"/>
    <col min="15" max="15" width="20.7109375" style="36" hidden="1" customWidth="1"/>
    <col min="16" max="18" width="20.7109375" style="36" customWidth="1"/>
    <col min="19" max="19" width="20.7109375" style="36" hidden="1" customWidth="1"/>
    <col min="20" max="23" width="20.7109375" style="36" customWidth="1"/>
    <col min="24" max="24" width="11.7109375" style="36" bestFit="1" customWidth="1"/>
    <col min="25" max="25" width="1.7109375" style="36" customWidth="1"/>
    <col min="26" max="16384" width="9.140625" style="36"/>
  </cols>
  <sheetData>
    <row r="1" spans="2:24" ht="8.1" customHeight="1" x14ac:dyDescent="0.25"/>
    <row r="2" spans="2:24" s="67" customFormat="1" ht="39.950000000000003" customHeight="1" x14ac:dyDescent="0.25">
      <c r="B2" s="185" t="s">
        <v>357</v>
      </c>
      <c r="C2" s="185"/>
      <c r="D2" s="185"/>
      <c r="E2" s="185"/>
      <c r="F2" s="185"/>
      <c r="G2" s="185"/>
      <c r="H2" s="185"/>
      <c r="I2" s="185"/>
      <c r="J2" s="185"/>
      <c r="K2" s="185"/>
      <c r="L2" s="185"/>
      <c r="M2" s="185"/>
      <c r="N2" s="185"/>
      <c r="O2" s="185"/>
      <c r="P2" s="185"/>
      <c r="Q2" s="185"/>
      <c r="R2" s="185"/>
      <c r="S2" s="185"/>
      <c r="T2" s="185"/>
      <c r="U2" s="185"/>
      <c r="V2" s="185"/>
      <c r="W2" s="185"/>
      <c r="X2" s="185"/>
    </row>
    <row r="3" spans="2:24" s="67" customFormat="1" ht="8.1" customHeight="1" x14ac:dyDescent="0.25">
      <c r="B3" s="181"/>
      <c r="C3" s="182"/>
      <c r="D3" s="182"/>
      <c r="E3" s="182"/>
      <c r="F3" s="182"/>
      <c r="G3" s="182"/>
      <c r="H3" s="182"/>
      <c r="I3" s="182"/>
      <c r="J3" s="182"/>
      <c r="K3" s="182"/>
      <c r="L3" s="182"/>
      <c r="M3" s="182"/>
      <c r="N3" s="182"/>
      <c r="O3" s="182"/>
      <c r="P3" s="182"/>
      <c r="Q3" s="182"/>
      <c r="R3" s="182"/>
      <c r="S3" s="182"/>
      <c r="T3" s="182"/>
      <c r="U3" s="182"/>
      <c r="V3" s="182"/>
      <c r="W3" s="182"/>
      <c r="X3" s="88"/>
    </row>
    <row r="4" spans="2:24" s="67" customFormat="1" x14ac:dyDescent="0.25">
      <c r="B4" s="177"/>
      <c r="C4" s="178"/>
      <c r="D4" s="155" t="s">
        <v>480</v>
      </c>
      <c r="E4" s="155" t="s">
        <v>482</v>
      </c>
      <c r="F4" s="191"/>
      <c r="G4" s="191"/>
      <c r="H4" s="191"/>
      <c r="I4" s="191"/>
      <c r="J4" s="191"/>
      <c r="K4" s="191"/>
      <c r="L4" s="191"/>
      <c r="M4" s="191"/>
      <c r="N4" s="191"/>
      <c r="O4" s="191"/>
      <c r="P4" s="191"/>
      <c r="Q4" s="191"/>
      <c r="R4" s="191"/>
      <c r="S4" s="191"/>
      <c r="T4" s="191"/>
      <c r="U4" s="191"/>
      <c r="V4" s="191"/>
      <c r="W4" s="191"/>
      <c r="X4" s="88"/>
    </row>
    <row r="5" spans="2:24" s="67" customFormat="1" ht="16.5" customHeight="1" x14ac:dyDescent="0.25">
      <c r="B5" s="175" t="s">
        <v>200</v>
      </c>
      <c r="C5" s="176"/>
      <c r="D5" s="89">
        <f>SUM(G:G)</f>
        <v>2400</v>
      </c>
      <c r="E5" s="158">
        <f>SUM(I:I)</f>
        <v>229344</v>
      </c>
      <c r="F5" s="191"/>
      <c r="G5" s="191"/>
      <c r="H5" s="191"/>
      <c r="I5" s="191"/>
      <c r="J5" s="191"/>
      <c r="K5" s="191"/>
      <c r="L5" s="191"/>
      <c r="M5" s="191"/>
      <c r="N5" s="191"/>
      <c r="O5" s="191"/>
      <c r="P5" s="191"/>
      <c r="Q5" s="191"/>
      <c r="R5" s="191"/>
      <c r="S5" s="191"/>
      <c r="T5" s="191"/>
      <c r="U5" s="191"/>
      <c r="V5" s="191"/>
      <c r="W5" s="191"/>
      <c r="X5" s="88"/>
    </row>
    <row r="6" spans="2:24" s="67" customFormat="1" ht="16.5" customHeight="1" x14ac:dyDescent="0.25">
      <c r="B6" s="175" t="s">
        <v>158</v>
      </c>
      <c r="C6" s="176"/>
      <c r="D6" s="89">
        <f>SUM(K:K)</f>
        <v>1129</v>
      </c>
      <c r="E6" s="158">
        <f>SUM(M:M)</f>
        <v>76060</v>
      </c>
      <c r="F6" s="191"/>
      <c r="G6" s="191"/>
      <c r="H6" s="191"/>
      <c r="I6" s="191"/>
      <c r="J6" s="191"/>
      <c r="K6" s="191"/>
      <c r="L6" s="191"/>
      <c r="M6" s="191"/>
      <c r="N6" s="191"/>
      <c r="O6" s="191"/>
      <c r="P6" s="191"/>
      <c r="Q6" s="191"/>
      <c r="R6" s="191"/>
      <c r="S6" s="191"/>
      <c r="T6" s="191"/>
      <c r="U6" s="191"/>
      <c r="V6" s="191"/>
      <c r="W6" s="191"/>
      <c r="X6" s="88"/>
    </row>
    <row r="7" spans="2:24" s="67" customFormat="1" ht="16.5" customHeight="1" x14ac:dyDescent="0.25">
      <c r="B7" s="175" t="s">
        <v>2</v>
      </c>
      <c r="C7" s="176"/>
      <c r="D7" s="89">
        <f>SUM(O:O)</f>
        <v>239</v>
      </c>
      <c r="E7" s="158">
        <f>SUM(Q:Q)</f>
        <v>7418</v>
      </c>
      <c r="F7" s="191"/>
      <c r="G7" s="191"/>
      <c r="H7" s="191"/>
      <c r="I7" s="191"/>
      <c r="J7" s="191"/>
      <c r="K7" s="191"/>
      <c r="L7" s="191"/>
      <c r="M7" s="191"/>
      <c r="N7" s="191"/>
      <c r="O7" s="191"/>
      <c r="P7" s="191"/>
      <c r="Q7" s="191"/>
      <c r="R7" s="191"/>
      <c r="S7" s="191"/>
      <c r="T7" s="191"/>
      <c r="U7" s="191"/>
      <c r="V7" s="191"/>
      <c r="W7" s="191"/>
      <c r="X7" s="88"/>
    </row>
    <row r="8" spans="2:24" s="67" customFormat="1" ht="16.5" customHeight="1" x14ac:dyDescent="0.25">
      <c r="B8" s="175" t="s">
        <v>303</v>
      </c>
      <c r="C8" s="176"/>
      <c r="D8" s="89">
        <f>SUM(S:S)</f>
        <v>1492</v>
      </c>
      <c r="E8" s="158">
        <f>SUM(U:U)</f>
        <v>67393</v>
      </c>
      <c r="F8" s="191"/>
      <c r="G8" s="191"/>
      <c r="H8" s="191"/>
      <c r="I8" s="191"/>
      <c r="J8" s="191"/>
      <c r="K8" s="191"/>
      <c r="L8" s="191"/>
      <c r="M8" s="191"/>
      <c r="N8" s="191"/>
      <c r="O8" s="191"/>
      <c r="P8" s="191"/>
      <c r="Q8" s="191"/>
      <c r="R8" s="191"/>
      <c r="S8" s="191"/>
      <c r="T8" s="191"/>
      <c r="U8" s="191"/>
      <c r="V8" s="191"/>
      <c r="W8" s="191"/>
      <c r="X8" s="88"/>
    </row>
    <row r="9" spans="2:24" s="67" customFormat="1" ht="16.5" customHeight="1" x14ac:dyDescent="0.25">
      <c r="B9" s="179"/>
      <c r="C9" s="180"/>
      <c r="D9" s="90">
        <f>SUM(D5:D8)</f>
        <v>5260</v>
      </c>
      <c r="E9" s="91">
        <f>SUM(E5:E8)</f>
        <v>380215</v>
      </c>
      <c r="F9" s="191"/>
      <c r="G9" s="191"/>
      <c r="H9" s="191"/>
      <c r="I9" s="191"/>
      <c r="J9" s="191"/>
      <c r="K9" s="191"/>
      <c r="L9" s="191"/>
      <c r="M9" s="191"/>
      <c r="N9" s="191"/>
      <c r="O9" s="191"/>
      <c r="P9" s="191"/>
      <c r="Q9" s="191"/>
      <c r="R9" s="191"/>
      <c r="S9" s="191"/>
      <c r="T9" s="191"/>
      <c r="U9" s="191"/>
      <c r="V9" s="191"/>
      <c r="W9" s="191"/>
      <c r="X9" s="88"/>
    </row>
    <row r="10" spans="2:24" s="67" customFormat="1" ht="8.1" customHeight="1" x14ac:dyDescent="0.25">
      <c r="B10" s="177"/>
      <c r="C10" s="190"/>
      <c r="D10" s="190"/>
      <c r="E10" s="190"/>
      <c r="F10" s="190"/>
      <c r="G10" s="190"/>
      <c r="H10" s="190"/>
      <c r="I10" s="190"/>
      <c r="J10" s="190"/>
      <c r="K10" s="190"/>
      <c r="L10" s="190"/>
      <c r="M10" s="190"/>
      <c r="N10" s="190"/>
      <c r="O10" s="190"/>
      <c r="P10" s="190"/>
      <c r="Q10" s="190"/>
      <c r="R10" s="190"/>
      <c r="S10" s="190"/>
      <c r="T10" s="190"/>
      <c r="U10" s="190"/>
      <c r="V10" s="190"/>
      <c r="W10" s="190"/>
      <c r="X10" s="92"/>
    </row>
    <row r="11" spans="2:24" s="157" customFormat="1" ht="16.5" customHeight="1" x14ac:dyDescent="0.25">
      <c r="B11" s="183" t="s">
        <v>353</v>
      </c>
      <c r="C11" s="183" t="s">
        <v>335</v>
      </c>
      <c r="D11" s="183" t="s">
        <v>533</v>
      </c>
      <c r="E11" s="183" t="s">
        <v>534</v>
      </c>
      <c r="F11" s="186" t="s">
        <v>200</v>
      </c>
      <c r="G11" s="186"/>
      <c r="H11" s="186"/>
      <c r="I11" s="186"/>
      <c r="J11" s="187" t="s">
        <v>158</v>
      </c>
      <c r="K11" s="188"/>
      <c r="L11" s="188"/>
      <c r="M11" s="189"/>
      <c r="N11" s="186" t="s">
        <v>2</v>
      </c>
      <c r="O11" s="186"/>
      <c r="P11" s="186"/>
      <c r="Q11" s="186"/>
      <c r="R11" s="186" t="s">
        <v>303</v>
      </c>
      <c r="S11" s="186"/>
      <c r="T11" s="186"/>
      <c r="U11" s="186"/>
      <c r="V11" s="183" t="s">
        <v>503</v>
      </c>
      <c r="W11" s="183" t="s">
        <v>354</v>
      </c>
      <c r="X11" s="183" t="s">
        <v>535</v>
      </c>
    </row>
    <row r="12" spans="2:24" s="157" customFormat="1" ht="42" customHeight="1" x14ac:dyDescent="0.25">
      <c r="B12" s="184"/>
      <c r="C12" s="184"/>
      <c r="D12" s="184"/>
      <c r="E12" s="184"/>
      <c r="F12" s="159" t="s">
        <v>516</v>
      </c>
      <c r="G12" s="159" t="s">
        <v>516</v>
      </c>
      <c r="H12" s="93" t="s">
        <v>523</v>
      </c>
      <c r="I12" s="159" t="s">
        <v>355</v>
      </c>
      <c r="J12" s="159" t="s">
        <v>516</v>
      </c>
      <c r="K12" s="159" t="s">
        <v>516</v>
      </c>
      <c r="L12" s="93" t="s">
        <v>523</v>
      </c>
      <c r="M12" s="159" t="s">
        <v>355</v>
      </c>
      <c r="N12" s="159" t="s">
        <v>516</v>
      </c>
      <c r="O12" s="159" t="s">
        <v>516</v>
      </c>
      <c r="P12" s="93" t="s">
        <v>523</v>
      </c>
      <c r="Q12" s="159" t="s">
        <v>355</v>
      </c>
      <c r="R12" s="159" t="s">
        <v>516</v>
      </c>
      <c r="S12" s="159" t="s">
        <v>516</v>
      </c>
      <c r="T12" s="93" t="s">
        <v>523</v>
      </c>
      <c r="U12" s="159" t="s">
        <v>355</v>
      </c>
      <c r="V12" s="184"/>
      <c r="W12" s="184"/>
      <c r="X12" s="184"/>
    </row>
    <row r="13" spans="2:24" s="103" customFormat="1" hidden="1" x14ac:dyDescent="0.25">
      <c r="B13" s="60"/>
      <c r="C13" s="94"/>
      <c r="D13" s="104" t="str">
        <f>IFERROR(IF(VLOOKUP(C13,Overview!$B$30:$E$84,2,FALSE)=0,"",VLOOKUP(C13,Overview!$B$30:$E$84,2,FALSE)),"")</f>
        <v/>
      </c>
      <c r="E13" s="104" t="str">
        <f>IFERROR(IF(OR(VLOOKUP(C13,Overview!$B$30:$E$84,4,FALSE)="Country not found",VLOOKUP(C13,Overview!$B$30:$E$84,3,FALSE)=0),"",VLOOKUP(C13,Overview!$B$30:$E$84,3,FALSE)),"")</f>
        <v/>
      </c>
      <c r="F13" s="96"/>
      <c r="G13" s="97">
        <f t="shared" ref="G13:G26" si="0">IF(X13="Error",0,ROUND(F13,1))</f>
        <v>0</v>
      </c>
      <c r="H13" s="98">
        <f>IF(X13="Error",0,VLOOKUP(E13,Rates!$B$5:$H$105,4,FALSE))</f>
        <v>0</v>
      </c>
      <c r="I13" s="99">
        <f t="shared" ref="I13:I26" si="1">ROUND(G13*H13,2)</f>
        <v>0</v>
      </c>
      <c r="J13" s="96"/>
      <c r="K13" s="97">
        <f t="shared" ref="K13:K26" si="2">IF(X13="Error",0,ROUND(J13,1))</f>
        <v>0</v>
      </c>
      <c r="L13" s="98">
        <f>IF(X13="Error",0,VLOOKUP(E13,Rates!$B$5:$H$105,5,FALSE))</f>
        <v>0</v>
      </c>
      <c r="M13" s="99">
        <f t="shared" ref="M13:M26" si="3">ROUND(K13*L13,2)</f>
        <v>0</v>
      </c>
      <c r="N13" s="96"/>
      <c r="O13" s="97">
        <f t="shared" ref="O13:O26" si="4">IF(X13="Error",0,ROUND(N13,1))</f>
        <v>0</v>
      </c>
      <c r="P13" s="98">
        <f>IF(X13="Error",0,VLOOKUP(E13,Rates!$B$5:$H$105,6,FALSE))</f>
        <v>0</v>
      </c>
      <c r="Q13" s="99">
        <f t="shared" ref="Q13:Q26" si="5">ROUND(O13*P13,2)</f>
        <v>0</v>
      </c>
      <c r="R13" s="96"/>
      <c r="S13" s="97">
        <f t="shared" ref="S13:S26" si="6">IF(X13="Error",0,ROUND(R13,1))</f>
        <v>0</v>
      </c>
      <c r="T13" s="98">
        <f>IF(X13="Error",0,VLOOKUP(E13,Rates!$B$5:$H$105,7,FALSE))</f>
        <v>0</v>
      </c>
      <c r="U13" s="99">
        <f t="shared" ref="U13:U26" si="7">ROUND(S13*T13,2)</f>
        <v>0</v>
      </c>
      <c r="V13" s="100">
        <f t="shared" ref="V13:V26" si="8">IF(X13="Error",0,G13+K13+O13+S13)</f>
        <v>0</v>
      </c>
      <c r="W13" s="101">
        <f t="shared" ref="W13:W26" si="9">IF(X13="Error",0,I13+M13+Q13+U13)</f>
        <v>0</v>
      </c>
      <c r="X13" s="102" t="str">
        <f>IF(OR(COUNTIF(Rates!$J$13:$J$17,B13)=0,COUNTIF(Overview!$B$30:$B$84,C13)=0,D13="",E13="",ISNUMBER(F13)=FALSE,ISNUMBER(J13)=FALSE,ISNUMBER(N13)=FALSE,ISNUMBER(R13)=FALSE,IF(ISNUMBER(F13)=TRUE,F13=INT(F13*10)/10=FALSE),IF(ISNUMBER(J13)=TRUE,J13=INT(J13*10)/10=FALSE),IF(ISNUMBER(N13)=TRUE,N13=INT(N13*10)/10=FALSE),IF(ISNUMBER(R13)=TRUE,R13=INT(R13*10)/10=FALSE)),"Error","")</f>
        <v>Error</v>
      </c>
    </row>
    <row r="14" spans="2:24" s="103" customFormat="1" x14ac:dyDescent="0.25">
      <c r="B14" s="60" t="s">
        <v>367</v>
      </c>
      <c r="C14" s="94" t="s">
        <v>15</v>
      </c>
      <c r="D14" s="104" t="str">
        <f>IFERROR(IF(VLOOKUP(C14,Overview!$B$30:$E$84,2,FALSE)=0,"",VLOOKUP(C14,Overview!$B$30:$E$84,2,FALSE)),"")</f>
        <v>University of Patras</v>
      </c>
      <c r="E14" s="104" t="str">
        <f>IFERROR(IF(OR(VLOOKUP(C14,Overview!$B$30:$E$84,4,FALSE)="Country not found",VLOOKUP(C14,Overview!$B$30:$E$84,3,FALSE)=0),"",VLOOKUP(C14,Overview!$B$30:$E$84,3,FALSE)),"")</f>
        <v>Greece</v>
      </c>
      <c r="F14" s="96">
        <v>25</v>
      </c>
      <c r="G14" s="97">
        <f t="shared" si="0"/>
        <v>25</v>
      </c>
      <c r="H14" s="98">
        <f>IF(X14="Error",0,VLOOKUP(E14,Rates!$B$5:$H$105,4,FALSE))</f>
        <v>164</v>
      </c>
      <c r="I14" s="99">
        <f t="shared" si="1"/>
        <v>4100</v>
      </c>
      <c r="J14" s="96">
        <v>0</v>
      </c>
      <c r="K14" s="97">
        <f t="shared" si="2"/>
        <v>0</v>
      </c>
      <c r="L14" s="98">
        <f>IF(X14="Error",0,VLOOKUP(E14,Rates!$B$5:$H$105,5,FALSE))</f>
        <v>137</v>
      </c>
      <c r="M14" s="99">
        <f t="shared" si="3"/>
        <v>0</v>
      </c>
      <c r="N14" s="96">
        <v>0</v>
      </c>
      <c r="O14" s="97">
        <f t="shared" si="4"/>
        <v>0</v>
      </c>
      <c r="P14" s="98">
        <f>IF(X14="Error",0,VLOOKUP(E14,Rates!$B$5:$H$105,6,FALSE))</f>
        <v>102</v>
      </c>
      <c r="Q14" s="99">
        <f t="shared" si="5"/>
        <v>0</v>
      </c>
      <c r="R14" s="96">
        <v>20</v>
      </c>
      <c r="S14" s="97">
        <f t="shared" si="6"/>
        <v>20</v>
      </c>
      <c r="T14" s="98">
        <f>IF(X14="Error",0,VLOOKUP(E14,Rates!$B$5:$H$105,7,FALSE))</f>
        <v>78</v>
      </c>
      <c r="U14" s="99">
        <f t="shared" si="7"/>
        <v>1560</v>
      </c>
      <c r="V14" s="100">
        <f t="shared" si="8"/>
        <v>45</v>
      </c>
      <c r="W14" s="101">
        <f t="shared" si="9"/>
        <v>5660</v>
      </c>
      <c r="X14" s="102" t="str">
        <f>IF(OR(COUNTIF(Rates!$J$13:$J$17,B14)=0,COUNTIF(Overview!$B$30:$B$84,C14)=0,D14="",E14="",ISNUMBER(F14)=FALSE,ISNUMBER(J14)=FALSE,ISNUMBER(N14)=FALSE,ISNUMBER(R14)=FALSE,IF(ISNUMBER(F14)=TRUE,F14=INT(F14*10)/10=FALSE),IF(ISNUMBER(J14)=TRUE,J14=INT(J14*10)/10=FALSE),IF(ISNUMBER(N14)=TRUE,N14=INT(N14*10)/10=FALSE),IF(ISNUMBER(R14)=TRUE,R14=INT(R14*10)/10=FALSE)),"Error","")</f>
        <v/>
      </c>
    </row>
    <row r="15" spans="2:24" s="103" customFormat="1" x14ac:dyDescent="0.25">
      <c r="B15" s="60" t="s">
        <v>367</v>
      </c>
      <c r="C15" s="94" t="s">
        <v>17</v>
      </c>
      <c r="D15" s="104" t="str">
        <f>IFERROR(IF(VLOOKUP(C15,Overview!$B$30:$E$84,2,FALSE)=0,"",VLOOKUP(C15,Overview!$B$30:$E$84,2,FALSE)),"")</f>
        <v>Wroclaw Technical University</v>
      </c>
      <c r="E15" s="104" t="str">
        <f>IFERROR(IF(OR(VLOOKUP(C15,Overview!$B$30:$E$84,4,FALSE)="Country not found",VLOOKUP(C15,Overview!$B$30:$E$84,3,FALSE)=0),"",VLOOKUP(C15,Overview!$B$30:$E$84,3,FALSE)),"")</f>
        <v>Poland</v>
      </c>
      <c r="F15" s="96">
        <v>0</v>
      </c>
      <c r="G15" s="97">
        <f t="shared" ref="G15:G16" si="10">IF(X15="Error",0,ROUND(F15,1))</f>
        <v>0</v>
      </c>
      <c r="H15" s="98">
        <f>IF(X15="Error",0,VLOOKUP(E15,Rates!$B$5:$H$105,4,FALSE))</f>
        <v>88</v>
      </c>
      <c r="I15" s="99">
        <f t="shared" ref="I15:I16" si="11">ROUND(G15*H15,2)</f>
        <v>0</v>
      </c>
      <c r="J15" s="96">
        <v>20</v>
      </c>
      <c r="K15" s="97">
        <f t="shared" ref="K15:K16" si="12">IF(X15="Error",0,ROUND(J15,1))</f>
        <v>20</v>
      </c>
      <c r="L15" s="98">
        <f>IF(X15="Error",0,VLOOKUP(E15,Rates!$B$5:$H$105,5,FALSE))</f>
        <v>74</v>
      </c>
      <c r="M15" s="99">
        <f t="shared" ref="M15:M16" si="13">ROUND(K15*L15,2)</f>
        <v>1480</v>
      </c>
      <c r="N15" s="96">
        <v>0</v>
      </c>
      <c r="O15" s="97">
        <f t="shared" ref="O15:O16" si="14">IF(X15="Error",0,ROUND(N15,1))</f>
        <v>0</v>
      </c>
      <c r="P15" s="98">
        <f>IF(X15="Error",0,VLOOKUP(E15,Rates!$B$5:$H$105,6,FALSE))</f>
        <v>55</v>
      </c>
      <c r="Q15" s="99">
        <f t="shared" ref="Q15:Q16" si="15">ROUND(O15*P15,2)</f>
        <v>0</v>
      </c>
      <c r="R15" s="96">
        <v>0</v>
      </c>
      <c r="S15" s="97">
        <f t="shared" ref="S15:S16" si="16">IF(X15="Error",0,ROUND(R15,1))</f>
        <v>0</v>
      </c>
      <c r="T15" s="98">
        <f>IF(X15="Error",0,VLOOKUP(E15,Rates!$B$5:$H$105,7,FALSE))</f>
        <v>39</v>
      </c>
      <c r="U15" s="99">
        <f t="shared" ref="U15:U16" si="17">ROUND(S15*T15,2)</f>
        <v>0</v>
      </c>
      <c r="V15" s="100">
        <f t="shared" ref="V15:V16" si="18">IF(X15="Error",0,G15+K15+O15+S15)</f>
        <v>20</v>
      </c>
      <c r="W15" s="101">
        <f t="shared" ref="W15:W16" si="19">IF(X15="Error",0,I15+M15+Q15+U15)</f>
        <v>1480</v>
      </c>
      <c r="X15" s="102" t="str">
        <f>IF(OR(COUNTIF(Rates!$J$13:$J$17,B15)=0,COUNTIF(Overview!$B$30:$B$84,C15)=0,D15="",E15="",ISNUMBER(F15)=FALSE,ISNUMBER(J15)=FALSE,ISNUMBER(N15)=FALSE,ISNUMBER(R15)=FALSE,IF(ISNUMBER(F15)=TRUE,F15=INT(F15*10)/10=FALSE),IF(ISNUMBER(J15)=TRUE,J15=INT(J15*10)/10=FALSE),IF(ISNUMBER(N15)=TRUE,N15=INT(N15*10)/10=FALSE),IF(ISNUMBER(R15)=TRUE,R15=INT(R15*10)/10=FALSE)),"Error","")</f>
        <v/>
      </c>
    </row>
    <row r="16" spans="2:24" s="103" customFormat="1" x14ac:dyDescent="0.25">
      <c r="B16" s="60" t="s">
        <v>367</v>
      </c>
      <c r="C16" s="94" t="s">
        <v>18</v>
      </c>
      <c r="D16" s="104" t="str">
        <f>IFERROR(IF(VLOOKUP(C16,Overview!$B$30:$E$84,2,FALSE)=0,"",VLOOKUP(C16,Overview!$B$30:$E$84,2,FALSE)),"")</f>
        <v>Koblenz-Landau University</v>
      </c>
      <c r="E16" s="104" t="str">
        <f>IFERROR(IF(OR(VLOOKUP(C16,Overview!$B$30:$E$84,4,FALSE)="Country not found",VLOOKUP(C16,Overview!$B$30:$E$84,3,FALSE)=0),"",VLOOKUP(C16,Overview!$B$30:$E$84,3,FALSE)),"")</f>
        <v>Germany</v>
      </c>
      <c r="F16" s="96">
        <v>0</v>
      </c>
      <c r="G16" s="97">
        <f t="shared" si="10"/>
        <v>0</v>
      </c>
      <c r="H16" s="98">
        <f>IF(X16="Error",0,VLOOKUP(E16,Rates!$B$5:$H$105,4,FALSE))</f>
        <v>280</v>
      </c>
      <c r="I16" s="99">
        <f t="shared" si="11"/>
        <v>0</v>
      </c>
      <c r="J16" s="96">
        <v>15</v>
      </c>
      <c r="K16" s="97">
        <f t="shared" si="12"/>
        <v>15</v>
      </c>
      <c r="L16" s="98">
        <f>IF(X16="Error",0,VLOOKUP(E16,Rates!$B$5:$H$105,5,FALSE))</f>
        <v>214</v>
      </c>
      <c r="M16" s="99">
        <f t="shared" si="13"/>
        <v>3210</v>
      </c>
      <c r="N16" s="96">
        <v>0</v>
      </c>
      <c r="O16" s="97">
        <f t="shared" si="14"/>
        <v>0</v>
      </c>
      <c r="P16" s="98">
        <f>IF(X16="Error",0,VLOOKUP(E16,Rates!$B$5:$H$105,6,FALSE))</f>
        <v>162</v>
      </c>
      <c r="Q16" s="99">
        <f t="shared" si="15"/>
        <v>0</v>
      </c>
      <c r="R16" s="96">
        <v>0</v>
      </c>
      <c r="S16" s="97">
        <f t="shared" si="16"/>
        <v>0</v>
      </c>
      <c r="T16" s="98">
        <f>IF(X16="Error",0,VLOOKUP(E16,Rates!$B$5:$H$105,7,FALSE))</f>
        <v>131</v>
      </c>
      <c r="U16" s="99">
        <f t="shared" si="17"/>
        <v>0</v>
      </c>
      <c r="V16" s="100">
        <f t="shared" si="18"/>
        <v>15</v>
      </c>
      <c r="W16" s="101">
        <f t="shared" si="19"/>
        <v>3210</v>
      </c>
      <c r="X16" s="102" t="str">
        <f>IF(OR(COUNTIF(Rates!$J$13:$J$17,B16)=0,COUNTIF(Overview!$B$30:$B$84,C16)=0,D16="",E16="",ISNUMBER(F16)=FALSE,ISNUMBER(J16)=FALSE,ISNUMBER(N16)=FALSE,ISNUMBER(R16)=FALSE,IF(ISNUMBER(F16)=TRUE,F16=INT(F16*10)/10=FALSE),IF(ISNUMBER(J16)=TRUE,J16=INT(J16*10)/10=FALSE),IF(ISNUMBER(N16)=TRUE,N16=INT(N16*10)/10=FALSE),IF(ISNUMBER(R16)=TRUE,R16=INT(R16*10)/10=FALSE)),"Error","")</f>
        <v/>
      </c>
    </row>
    <row r="17" spans="2:24" s="103" customFormat="1" x14ac:dyDescent="0.25">
      <c r="B17" s="60" t="s">
        <v>367</v>
      </c>
      <c r="C17" s="94" t="s">
        <v>20</v>
      </c>
      <c r="D17" s="104" t="str">
        <f>IFERROR(IF(VLOOKUP(C17,Overview!$B$30:$E$84,2,FALSE)=0,"",VLOOKUP(C17,Overview!$B$30:$E$84,2,FALSE)),"")</f>
        <v>Tashkent State Technical University</v>
      </c>
      <c r="E17" s="104" t="str">
        <f>IFERROR(IF(OR(VLOOKUP(C17,Overview!$B$30:$E$84,4,FALSE)="Country not found",VLOOKUP(C17,Overview!$B$30:$E$84,3,FALSE)=0),"",VLOOKUP(C17,Overview!$B$30:$E$84,3,FALSE)),"")</f>
        <v>Uzbekistan</v>
      </c>
      <c r="F17" s="96">
        <v>10</v>
      </c>
      <c r="G17" s="97">
        <f t="shared" si="0"/>
        <v>10</v>
      </c>
      <c r="H17" s="98">
        <f>IF(X17="Error",0,VLOOKUP(E17,Rates!$B$5:$H$105,4,FALSE))</f>
        <v>47</v>
      </c>
      <c r="I17" s="99">
        <f t="shared" si="1"/>
        <v>470</v>
      </c>
      <c r="J17" s="96">
        <v>20</v>
      </c>
      <c r="K17" s="97">
        <f t="shared" si="2"/>
        <v>20</v>
      </c>
      <c r="L17" s="98">
        <f>IF(X17="Error",0,VLOOKUP(E17,Rates!$B$5:$H$105,5,FALSE))</f>
        <v>33</v>
      </c>
      <c r="M17" s="99">
        <f t="shared" si="3"/>
        <v>660</v>
      </c>
      <c r="N17" s="96">
        <v>0</v>
      </c>
      <c r="O17" s="97">
        <f t="shared" si="4"/>
        <v>0</v>
      </c>
      <c r="P17" s="98">
        <f>IF(X17="Error",0,VLOOKUP(E17,Rates!$B$5:$H$105,6,FALSE))</f>
        <v>22</v>
      </c>
      <c r="Q17" s="99">
        <f t="shared" si="5"/>
        <v>0</v>
      </c>
      <c r="R17" s="96">
        <v>15</v>
      </c>
      <c r="S17" s="97">
        <f t="shared" si="6"/>
        <v>15</v>
      </c>
      <c r="T17" s="98">
        <f>IF(X17="Error",0,VLOOKUP(E17,Rates!$B$5:$H$105,7,FALSE))</f>
        <v>17</v>
      </c>
      <c r="U17" s="99">
        <f t="shared" si="7"/>
        <v>255</v>
      </c>
      <c r="V17" s="100">
        <f t="shared" si="8"/>
        <v>45</v>
      </c>
      <c r="W17" s="101">
        <f t="shared" si="9"/>
        <v>1385</v>
      </c>
      <c r="X17" s="102" t="str">
        <f>IF(OR(COUNTIF(Rates!$J$13:$J$17,B17)=0,COUNTIF(Overview!$B$30:$B$84,C17)=0,D17="",E17="",ISNUMBER(F17)=FALSE,ISNUMBER(J17)=FALSE,ISNUMBER(N17)=FALSE,ISNUMBER(R17)=FALSE,IF(ISNUMBER(F17)=TRUE,F17=INT(F17*10)/10=FALSE),IF(ISNUMBER(J17)=TRUE,J17=INT(J17*10)/10=FALSE),IF(ISNUMBER(N17)=TRUE,N17=INT(N17*10)/10=FALSE),IF(ISNUMBER(R17)=TRUE,R17=INT(R17*10)/10=FALSE)),"Error","")</f>
        <v/>
      </c>
    </row>
    <row r="18" spans="2:24" s="103" customFormat="1" x14ac:dyDescent="0.25">
      <c r="B18" s="60" t="s">
        <v>367</v>
      </c>
      <c r="C18" s="94" t="s">
        <v>21</v>
      </c>
      <c r="D18" s="104" t="str">
        <f>IFERROR(IF(VLOOKUP(C18,Overview!$B$30:$E$84,2,FALSE)=0,"",VLOOKUP(C18,Overview!$B$30:$E$84,2,FALSE)),"")</f>
        <v>National University of Uzbekistan</v>
      </c>
      <c r="E18" s="104" t="str">
        <f>IFERROR(IF(OR(VLOOKUP(C18,Overview!$B$30:$E$84,4,FALSE)="Country not found",VLOOKUP(C18,Overview!$B$30:$E$84,3,FALSE)=0),"",VLOOKUP(C18,Overview!$B$30:$E$84,3,FALSE)),"")</f>
        <v>Uzbekistan</v>
      </c>
      <c r="F18" s="96">
        <v>10</v>
      </c>
      <c r="G18" s="97">
        <f t="shared" si="0"/>
        <v>10</v>
      </c>
      <c r="H18" s="98">
        <f>IF(X18="Error",0,VLOOKUP(E18,Rates!$B$5:$H$105,4,FALSE))</f>
        <v>47</v>
      </c>
      <c r="I18" s="99">
        <f t="shared" si="1"/>
        <v>470</v>
      </c>
      <c r="J18" s="96">
        <v>10</v>
      </c>
      <c r="K18" s="97">
        <f t="shared" si="2"/>
        <v>10</v>
      </c>
      <c r="L18" s="98">
        <f>IF(X18="Error",0,VLOOKUP(E18,Rates!$B$5:$H$105,5,FALSE))</f>
        <v>33</v>
      </c>
      <c r="M18" s="99">
        <f t="shared" si="3"/>
        <v>330</v>
      </c>
      <c r="N18" s="96">
        <v>0</v>
      </c>
      <c r="O18" s="97">
        <f t="shared" si="4"/>
        <v>0</v>
      </c>
      <c r="P18" s="98">
        <f>IF(X18="Error",0,VLOOKUP(E18,Rates!$B$5:$H$105,6,FALSE))</f>
        <v>22</v>
      </c>
      <c r="Q18" s="99">
        <f t="shared" si="5"/>
        <v>0</v>
      </c>
      <c r="R18" s="96">
        <v>15</v>
      </c>
      <c r="S18" s="97">
        <f t="shared" si="6"/>
        <v>15</v>
      </c>
      <c r="T18" s="98">
        <f>IF(X18="Error",0,VLOOKUP(E18,Rates!$B$5:$H$105,7,FALSE))</f>
        <v>17</v>
      </c>
      <c r="U18" s="99">
        <f t="shared" si="7"/>
        <v>255</v>
      </c>
      <c r="V18" s="100">
        <f t="shared" si="8"/>
        <v>35</v>
      </c>
      <c r="W18" s="101">
        <f t="shared" si="9"/>
        <v>1055</v>
      </c>
      <c r="X18" s="102" t="str">
        <f>IF(OR(COUNTIF(Rates!$J$13:$J$17,B18)=0,COUNTIF(Overview!$B$30:$B$84,C18)=0,D18="",E18="",ISNUMBER(F18)=FALSE,ISNUMBER(J18)=FALSE,ISNUMBER(N18)=FALSE,ISNUMBER(R18)=FALSE,IF(ISNUMBER(F18)=TRUE,F18=INT(F18*10)/10=FALSE),IF(ISNUMBER(J18)=TRUE,J18=INT(J18*10)/10=FALSE),IF(ISNUMBER(N18)=TRUE,N18=INT(N18*10)/10=FALSE),IF(ISNUMBER(R18)=TRUE,R18=INT(R18*10)/10=FALSE)),"Error","")</f>
        <v/>
      </c>
    </row>
    <row r="19" spans="2:24" s="103" customFormat="1" x14ac:dyDescent="0.25">
      <c r="B19" s="60" t="s">
        <v>367</v>
      </c>
      <c r="C19" s="94" t="s">
        <v>22</v>
      </c>
      <c r="D19" s="104" t="str">
        <f>IFERROR(IF(VLOOKUP(C19,Overview!$B$30:$E$84,2,FALSE)=0,"",VLOOKUP(C19,Overview!$B$30:$E$84,2,FALSE)),"")</f>
        <v>Enterprise “Business Drilling”</v>
      </c>
      <c r="E19" s="104" t="str">
        <f>IFERROR(IF(OR(VLOOKUP(C19,Overview!$B$30:$E$84,4,FALSE)="Country not found",VLOOKUP(C19,Overview!$B$30:$E$84,3,FALSE)=0),"",VLOOKUP(C19,Overview!$B$30:$E$84,3,FALSE)),"")</f>
        <v>Uzbekistan</v>
      </c>
      <c r="F19" s="96">
        <v>0</v>
      </c>
      <c r="G19" s="97">
        <f t="shared" ref="G19" si="20">IF(X19="Error",0,ROUND(F19,1))</f>
        <v>0</v>
      </c>
      <c r="H19" s="98">
        <f>IF(X19="Error",0,VLOOKUP(E19,Rates!$B$5:$H$105,4,FALSE))</f>
        <v>47</v>
      </c>
      <c r="I19" s="99">
        <f t="shared" ref="I19" si="21">ROUND(G19*H19,2)</f>
        <v>0</v>
      </c>
      <c r="J19" s="96">
        <v>10</v>
      </c>
      <c r="K19" s="97">
        <f t="shared" ref="K19" si="22">IF(X19="Error",0,ROUND(J19,1))</f>
        <v>10</v>
      </c>
      <c r="L19" s="98">
        <f>IF(X19="Error",0,VLOOKUP(E19,Rates!$B$5:$H$105,5,FALSE))</f>
        <v>33</v>
      </c>
      <c r="M19" s="99">
        <f t="shared" ref="M19" si="23">ROUND(K19*L19,2)</f>
        <v>330</v>
      </c>
      <c r="N19" s="96">
        <v>0</v>
      </c>
      <c r="O19" s="97">
        <f t="shared" ref="O19" si="24">IF(X19="Error",0,ROUND(N19,1))</f>
        <v>0</v>
      </c>
      <c r="P19" s="98">
        <f>IF(X19="Error",0,VLOOKUP(E19,Rates!$B$5:$H$105,6,FALSE))</f>
        <v>22</v>
      </c>
      <c r="Q19" s="99">
        <f t="shared" ref="Q19" si="25">ROUND(O19*P19,2)</f>
        <v>0</v>
      </c>
      <c r="R19" s="96">
        <v>0</v>
      </c>
      <c r="S19" s="97">
        <f t="shared" ref="S19" si="26">IF(X19="Error",0,ROUND(R19,1))</f>
        <v>0</v>
      </c>
      <c r="T19" s="98">
        <f>IF(X19="Error",0,VLOOKUP(E19,Rates!$B$5:$H$105,7,FALSE))</f>
        <v>17</v>
      </c>
      <c r="U19" s="99">
        <f t="shared" ref="U19" si="27">ROUND(S19*T19,2)</f>
        <v>0</v>
      </c>
      <c r="V19" s="100">
        <f t="shared" ref="V19" si="28">IF(X19="Error",0,G19+K19+O19+S19)</f>
        <v>10</v>
      </c>
      <c r="W19" s="101">
        <f t="shared" ref="W19" si="29">IF(X19="Error",0,I19+M19+Q19+U19)</f>
        <v>330</v>
      </c>
      <c r="X19" s="102" t="str">
        <f>IF(OR(COUNTIF(Rates!$J$13:$J$17,B19)=0,COUNTIF(Overview!$B$30:$B$84,C19)=0,D19="",E19="",ISNUMBER(F19)=FALSE,ISNUMBER(J19)=FALSE,ISNUMBER(N19)=FALSE,ISNUMBER(R19)=FALSE,IF(ISNUMBER(F19)=TRUE,F19=INT(F19*10)/10=FALSE),IF(ISNUMBER(J19)=TRUE,J19=INT(J19*10)/10=FALSE),IF(ISNUMBER(N19)=TRUE,N19=INT(N19*10)/10=FALSE),IF(ISNUMBER(R19)=TRUE,R19=INT(R19*10)/10=FALSE)),"Error","")</f>
        <v/>
      </c>
    </row>
    <row r="20" spans="2:24" s="103" customFormat="1" x14ac:dyDescent="0.25">
      <c r="B20" s="60" t="s">
        <v>367</v>
      </c>
      <c r="C20" s="94" t="s">
        <v>24</v>
      </c>
      <c r="D20" s="104" t="str">
        <f>IFERROR(IF(VLOOKUP(C20,Overview!$B$30:$E$84,2,FALSE)=0,"",VLOOKUP(C20,Overview!$B$30:$E$84,2,FALSE)),"")</f>
        <v>Kyrgyz State Technical University</v>
      </c>
      <c r="E20" s="104" t="str">
        <f>IFERROR(IF(OR(VLOOKUP(C20,Overview!$B$30:$E$84,4,FALSE)="Country not found",VLOOKUP(C20,Overview!$B$30:$E$84,3,FALSE)=0),"",VLOOKUP(C20,Overview!$B$30:$E$84,3,FALSE)),"")</f>
        <v>Kyrgyzstan</v>
      </c>
      <c r="F20" s="96">
        <v>10</v>
      </c>
      <c r="G20" s="97">
        <f t="shared" si="0"/>
        <v>10</v>
      </c>
      <c r="H20" s="98">
        <f>IF(X20="Error",0,VLOOKUP(E20,Rates!$B$5:$H$105,4,FALSE))</f>
        <v>47</v>
      </c>
      <c r="I20" s="99">
        <f t="shared" si="1"/>
        <v>470</v>
      </c>
      <c r="J20" s="96">
        <v>20</v>
      </c>
      <c r="K20" s="97">
        <f t="shared" si="2"/>
        <v>20</v>
      </c>
      <c r="L20" s="98">
        <f>IF(X20="Error",0,VLOOKUP(E20,Rates!$B$5:$H$105,5,FALSE))</f>
        <v>33</v>
      </c>
      <c r="M20" s="99">
        <f t="shared" si="3"/>
        <v>660</v>
      </c>
      <c r="N20" s="96">
        <v>0</v>
      </c>
      <c r="O20" s="97">
        <f t="shared" si="4"/>
        <v>0</v>
      </c>
      <c r="P20" s="98">
        <f>IF(X20="Error",0,VLOOKUP(E20,Rates!$B$5:$H$105,6,FALSE))</f>
        <v>22</v>
      </c>
      <c r="Q20" s="99">
        <f t="shared" si="5"/>
        <v>0</v>
      </c>
      <c r="R20" s="96">
        <v>15</v>
      </c>
      <c r="S20" s="97">
        <f t="shared" si="6"/>
        <v>15</v>
      </c>
      <c r="T20" s="98">
        <f>IF(X20="Error",0,VLOOKUP(E20,Rates!$B$5:$H$105,7,FALSE))</f>
        <v>17</v>
      </c>
      <c r="U20" s="99">
        <f t="shared" si="7"/>
        <v>255</v>
      </c>
      <c r="V20" s="100">
        <f t="shared" si="8"/>
        <v>45</v>
      </c>
      <c r="W20" s="101">
        <f t="shared" si="9"/>
        <v>1385</v>
      </c>
      <c r="X20" s="102" t="str">
        <f>IF(OR(COUNTIF(Rates!$J$13:$J$17,B20)=0,COUNTIF(Overview!$B$30:$B$84,C20)=0,D20="",E20="",ISNUMBER(F20)=FALSE,ISNUMBER(J20)=FALSE,ISNUMBER(N20)=FALSE,ISNUMBER(R20)=FALSE,IF(ISNUMBER(F20)=TRUE,F20=INT(F20*10)/10=FALSE),IF(ISNUMBER(J20)=TRUE,J20=INT(J20*10)/10=FALSE),IF(ISNUMBER(N20)=TRUE,N20=INT(N20*10)/10=FALSE),IF(ISNUMBER(R20)=TRUE,R20=INT(R20*10)/10=FALSE)),"Error","")</f>
        <v/>
      </c>
    </row>
    <row r="21" spans="2:24" s="103" customFormat="1" x14ac:dyDescent="0.25">
      <c r="B21" s="60" t="s">
        <v>367</v>
      </c>
      <c r="C21" s="94" t="s">
        <v>25</v>
      </c>
      <c r="D21" s="104" t="str">
        <f>IFERROR(IF(VLOOKUP(C21,Overview!$B$30:$E$84,2,FALSE)=0,"",VLOOKUP(C21,Overview!$B$30:$E$84,2,FALSE)),"")</f>
        <v>Bishkek Academy of Finance and Economics</v>
      </c>
      <c r="E21" s="104" t="str">
        <f>IFERROR(IF(OR(VLOOKUP(C21,Overview!$B$30:$E$84,4,FALSE)="Country not found",VLOOKUP(C21,Overview!$B$30:$E$84,3,FALSE)=0),"",VLOOKUP(C21,Overview!$B$30:$E$84,3,FALSE)),"")</f>
        <v>Kyrgyzstan</v>
      </c>
      <c r="F21" s="96">
        <v>10</v>
      </c>
      <c r="G21" s="97">
        <f t="shared" si="0"/>
        <v>10</v>
      </c>
      <c r="H21" s="98">
        <f>IF(X21="Error",0,VLOOKUP(E21,Rates!$B$5:$H$105,4,FALSE))</f>
        <v>47</v>
      </c>
      <c r="I21" s="99">
        <f t="shared" si="1"/>
        <v>470</v>
      </c>
      <c r="J21" s="96">
        <v>10</v>
      </c>
      <c r="K21" s="97">
        <f t="shared" si="2"/>
        <v>10</v>
      </c>
      <c r="L21" s="98">
        <f>IF(X21="Error",0,VLOOKUP(E21,Rates!$B$5:$H$105,5,FALSE))</f>
        <v>33</v>
      </c>
      <c r="M21" s="99">
        <f t="shared" si="3"/>
        <v>330</v>
      </c>
      <c r="N21" s="96">
        <v>0</v>
      </c>
      <c r="O21" s="97">
        <f t="shared" si="4"/>
        <v>0</v>
      </c>
      <c r="P21" s="98">
        <f>IF(X21="Error",0,VLOOKUP(E21,Rates!$B$5:$H$105,6,FALSE))</f>
        <v>22</v>
      </c>
      <c r="Q21" s="99">
        <f t="shared" si="5"/>
        <v>0</v>
      </c>
      <c r="R21" s="96">
        <v>15</v>
      </c>
      <c r="S21" s="97">
        <f t="shared" si="6"/>
        <v>15</v>
      </c>
      <c r="T21" s="98">
        <f>IF(X21="Error",0,VLOOKUP(E21,Rates!$B$5:$H$105,7,FALSE))</f>
        <v>17</v>
      </c>
      <c r="U21" s="99">
        <f t="shared" si="7"/>
        <v>255</v>
      </c>
      <c r="V21" s="100">
        <f t="shared" si="8"/>
        <v>35</v>
      </c>
      <c r="W21" s="101">
        <f t="shared" si="9"/>
        <v>1055</v>
      </c>
      <c r="X21" s="102" t="str">
        <f>IF(OR(COUNTIF(Rates!$J$13:$J$17,B21)=0,COUNTIF(Overview!$B$30:$B$84,C21)=0,D21="",E21="",ISNUMBER(F21)=FALSE,ISNUMBER(J21)=FALSE,ISNUMBER(N21)=FALSE,ISNUMBER(R21)=FALSE,IF(ISNUMBER(F21)=TRUE,F21=INT(F21*10)/10=FALSE),IF(ISNUMBER(J21)=TRUE,J21=INT(J21*10)/10=FALSE),IF(ISNUMBER(N21)=TRUE,N21=INT(N21*10)/10=FALSE),IF(ISNUMBER(R21)=TRUE,R21=INT(R21*10)/10=FALSE)),"Error","")</f>
        <v/>
      </c>
    </row>
    <row r="22" spans="2:24" s="103" customFormat="1" x14ac:dyDescent="0.25">
      <c r="B22" s="60" t="s">
        <v>367</v>
      </c>
      <c r="C22" s="94" t="s">
        <v>26</v>
      </c>
      <c r="D22" s="104" t="str">
        <f>IFERROR(IF(VLOOKUP(C22,Overview!$B$30:$E$84,2,FALSE)=0,"",VLOOKUP(C22,Overview!$B$30:$E$84,2,FALSE)),"")</f>
        <v>Osh Technological University</v>
      </c>
      <c r="E22" s="104" t="str">
        <f>IFERROR(IF(OR(VLOOKUP(C22,Overview!$B$30:$E$84,4,FALSE)="Country not found",VLOOKUP(C22,Overview!$B$30:$E$84,3,FALSE)=0),"",VLOOKUP(C22,Overview!$B$30:$E$84,3,FALSE)),"")</f>
        <v>Kyrgyzstan</v>
      </c>
      <c r="F22" s="96">
        <v>10</v>
      </c>
      <c r="G22" s="97">
        <f t="shared" si="0"/>
        <v>10</v>
      </c>
      <c r="H22" s="98">
        <f>IF(X22="Error",0,VLOOKUP(E22,Rates!$B$5:$H$105,4,FALSE))</f>
        <v>47</v>
      </c>
      <c r="I22" s="99">
        <f t="shared" si="1"/>
        <v>470</v>
      </c>
      <c r="J22" s="96">
        <v>0</v>
      </c>
      <c r="K22" s="97">
        <f t="shared" si="2"/>
        <v>0</v>
      </c>
      <c r="L22" s="98">
        <f>IF(X22="Error",0,VLOOKUP(E22,Rates!$B$5:$H$105,5,FALSE))</f>
        <v>33</v>
      </c>
      <c r="M22" s="99">
        <f t="shared" si="3"/>
        <v>0</v>
      </c>
      <c r="N22" s="96">
        <v>0</v>
      </c>
      <c r="O22" s="97">
        <f t="shared" si="4"/>
        <v>0</v>
      </c>
      <c r="P22" s="98">
        <f>IF(X22="Error",0,VLOOKUP(E22,Rates!$B$5:$H$105,6,FALSE))</f>
        <v>22</v>
      </c>
      <c r="Q22" s="99">
        <f t="shared" si="5"/>
        <v>0</v>
      </c>
      <c r="R22" s="96">
        <v>15</v>
      </c>
      <c r="S22" s="97">
        <f t="shared" si="6"/>
        <v>15</v>
      </c>
      <c r="T22" s="98">
        <f>IF(X22="Error",0,VLOOKUP(E22,Rates!$B$5:$H$105,7,FALSE))</f>
        <v>17</v>
      </c>
      <c r="U22" s="99">
        <f t="shared" si="7"/>
        <v>255</v>
      </c>
      <c r="V22" s="100">
        <f t="shared" si="8"/>
        <v>25</v>
      </c>
      <c r="W22" s="101">
        <f t="shared" si="9"/>
        <v>725</v>
      </c>
      <c r="X22" s="102" t="str">
        <f>IF(OR(COUNTIF(Rates!$J$13:$J$17,B22)=0,COUNTIF(Overview!$B$30:$B$84,C22)=0,D22="",E22="",ISNUMBER(F22)=FALSE,ISNUMBER(J22)=FALSE,ISNUMBER(N22)=FALSE,ISNUMBER(R22)=FALSE,IF(ISNUMBER(F22)=TRUE,F22=INT(F22*10)/10=FALSE),IF(ISNUMBER(J22)=TRUE,J22=INT(J22*10)/10=FALSE),IF(ISNUMBER(N22)=TRUE,N22=INT(N22*10)/10=FALSE),IF(ISNUMBER(R22)=TRUE,R22=INT(R22*10)/10=FALSE)),"Error","")</f>
        <v/>
      </c>
    </row>
    <row r="23" spans="2:24" s="103" customFormat="1" x14ac:dyDescent="0.25">
      <c r="B23" s="60" t="s">
        <v>367</v>
      </c>
      <c r="C23" s="94" t="s">
        <v>346</v>
      </c>
      <c r="D23" s="104" t="str">
        <f>IFERROR(IF(VLOOKUP(C23,Overview!$B$30:$E$84,2,FALSE)=0,"",VLOOKUP(C23,Overview!$B$30:$E$84,2,FALSE)),"")</f>
        <v>Bishkek Business Club</v>
      </c>
      <c r="E23" s="104" t="str">
        <f>IFERROR(IF(OR(VLOOKUP(C23,Overview!$B$30:$E$84,4,FALSE)="Country not found",VLOOKUP(C23,Overview!$B$30:$E$84,3,FALSE)=0),"",VLOOKUP(C23,Overview!$B$30:$E$84,3,FALSE)),"")</f>
        <v>Kyrgyzstan</v>
      </c>
      <c r="F23" s="96">
        <v>0</v>
      </c>
      <c r="G23" s="97">
        <f t="shared" ref="G23" si="30">IF(X23="Error",0,ROUND(F23,1))</f>
        <v>0</v>
      </c>
      <c r="H23" s="98">
        <f>IF(X23="Error",0,VLOOKUP(E23,Rates!$B$5:$H$105,4,FALSE))</f>
        <v>47</v>
      </c>
      <c r="I23" s="99">
        <f t="shared" ref="I23" si="31">ROUND(G23*H23,2)</f>
        <v>0</v>
      </c>
      <c r="J23" s="96">
        <v>10</v>
      </c>
      <c r="K23" s="97">
        <f t="shared" ref="K23" si="32">IF(X23="Error",0,ROUND(J23,1))</f>
        <v>10</v>
      </c>
      <c r="L23" s="98">
        <f>IF(X23="Error",0,VLOOKUP(E23,Rates!$B$5:$H$105,5,FALSE))</f>
        <v>33</v>
      </c>
      <c r="M23" s="99">
        <f t="shared" ref="M23" si="33">ROUND(K23*L23,2)</f>
        <v>330</v>
      </c>
      <c r="N23" s="96">
        <v>0</v>
      </c>
      <c r="O23" s="97">
        <f t="shared" ref="O23" si="34">IF(X23="Error",0,ROUND(N23,1))</f>
        <v>0</v>
      </c>
      <c r="P23" s="98">
        <f>IF(X23="Error",0,VLOOKUP(E23,Rates!$B$5:$H$105,6,FALSE))</f>
        <v>22</v>
      </c>
      <c r="Q23" s="99">
        <f t="shared" ref="Q23" si="35">ROUND(O23*P23,2)</f>
        <v>0</v>
      </c>
      <c r="R23" s="96">
        <v>0</v>
      </c>
      <c r="S23" s="97">
        <f t="shared" ref="S23" si="36">IF(X23="Error",0,ROUND(R23,1))</f>
        <v>0</v>
      </c>
      <c r="T23" s="98">
        <f>IF(X23="Error",0,VLOOKUP(E23,Rates!$B$5:$H$105,7,FALSE))</f>
        <v>17</v>
      </c>
      <c r="U23" s="99">
        <f t="shared" ref="U23" si="37">ROUND(S23*T23,2)</f>
        <v>0</v>
      </c>
      <c r="V23" s="100">
        <f t="shared" ref="V23" si="38">IF(X23="Error",0,G23+K23+O23+S23)</f>
        <v>10</v>
      </c>
      <c r="W23" s="101">
        <f t="shared" ref="W23" si="39">IF(X23="Error",0,I23+M23+Q23+U23)</f>
        <v>330</v>
      </c>
      <c r="X23" s="102" t="str">
        <f>IF(OR(COUNTIF(Rates!$J$13:$J$17,B23)=0,COUNTIF(Overview!$B$30:$B$84,C23)=0,D23="",E23="",ISNUMBER(F23)=FALSE,ISNUMBER(J23)=FALSE,ISNUMBER(N23)=FALSE,ISNUMBER(R23)=FALSE,IF(ISNUMBER(F23)=TRUE,F23=INT(F23*10)/10=FALSE),IF(ISNUMBER(J23)=TRUE,J23=INT(J23*10)/10=FALSE),IF(ISNUMBER(N23)=TRUE,N23=INT(N23*10)/10=FALSE),IF(ISNUMBER(R23)=TRUE,R23=INT(R23*10)/10=FALSE)),"Error","")</f>
        <v/>
      </c>
    </row>
    <row r="24" spans="2:24" s="103" customFormat="1" x14ac:dyDescent="0.25">
      <c r="B24" s="60" t="s">
        <v>367</v>
      </c>
      <c r="C24" s="94" t="s">
        <v>28</v>
      </c>
      <c r="D24" s="104" t="str">
        <f>IFERROR(IF(VLOOKUP(C24,Overview!$B$30:$E$84,2,FALSE)=0,"",VLOOKUP(C24,Overview!$B$30:$E$84,2,FALSE)),"")</f>
        <v>Khujand State University</v>
      </c>
      <c r="E24" s="104" t="str">
        <f>IFERROR(IF(OR(VLOOKUP(C24,Overview!$B$30:$E$84,4,FALSE)="Country not found",VLOOKUP(C24,Overview!$B$30:$E$84,3,FALSE)=0),"",VLOOKUP(C24,Overview!$B$30:$E$84,3,FALSE)),"")</f>
        <v>Tajikistan</v>
      </c>
      <c r="F24" s="96">
        <v>10</v>
      </c>
      <c r="G24" s="97">
        <f t="shared" si="0"/>
        <v>10</v>
      </c>
      <c r="H24" s="98">
        <f>IF(X24="Error",0,VLOOKUP(E24,Rates!$B$5:$H$105,4,FALSE))</f>
        <v>47</v>
      </c>
      <c r="I24" s="99">
        <f t="shared" si="1"/>
        <v>470</v>
      </c>
      <c r="J24" s="96">
        <v>20</v>
      </c>
      <c r="K24" s="97">
        <f t="shared" si="2"/>
        <v>20</v>
      </c>
      <c r="L24" s="98">
        <f>IF(X24="Error",0,VLOOKUP(E24,Rates!$B$5:$H$105,5,FALSE))</f>
        <v>33</v>
      </c>
      <c r="M24" s="99">
        <f t="shared" si="3"/>
        <v>660</v>
      </c>
      <c r="N24" s="96">
        <v>0</v>
      </c>
      <c r="O24" s="97">
        <f t="shared" si="4"/>
        <v>0</v>
      </c>
      <c r="P24" s="98">
        <f>IF(X24="Error",0,VLOOKUP(E24,Rates!$B$5:$H$105,6,FALSE))</f>
        <v>22</v>
      </c>
      <c r="Q24" s="99">
        <f t="shared" si="5"/>
        <v>0</v>
      </c>
      <c r="R24" s="96">
        <v>15</v>
      </c>
      <c r="S24" s="97">
        <f t="shared" si="6"/>
        <v>15</v>
      </c>
      <c r="T24" s="98">
        <f>IF(X24="Error",0,VLOOKUP(E24,Rates!$B$5:$H$105,7,FALSE))</f>
        <v>17</v>
      </c>
      <c r="U24" s="99">
        <f t="shared" si="7"/>
        <v>255</v>
      </c>
      <c r="V24" s="100">
        <f t="shared" si="8"/>
        <v>45</v>
      </c>
      <c r="W24" s="101">
        <f t="shared" si="9"/>
        <v>1385</v>
      </c>
      <c r="X24" s="102" t="str">
        <f>IF(OR(COUNTIF(Rates!$J$13:$J$17,B24)=0,COUNTIF(Overview!$B$30:$B$84,C24)=0,D24="",E24="",ISNUMBER(F24)=FALSE,ISNUMBER(J24)=FALSE,ISNUMBER(N24)=FALSE,ISNUMBER(R24)=FALSE,IF(ISNUMBER(F24)=TRUE,F24=INT(F24*10)/10=FALSE),IF(ISNUMBER(J24)=TRUE,J24=INT(J24*10)/10=FALSE),IF(ISNUMBER(N24)=TRUE,N24=INT(N24*10)/10=FALSE),IF(ISNUMBER(R24)=TRUE,R24=INT(R24*10)/10=FALSE)),"Error","")</f>
        <v/>
      </c>
    </row>
    <row r="25" spans="2:24" s="103" customFormat="1" x14ac:dyDescent="0.25">
      <c r="B25" s="60" t="s">
        <v>367</v>
      </c>
      <c r="C25" s="94" t="s">
        <v>29</v>
      </c>
      <c r="D25" s="104" t="str">
        <f>IFERROR(IF(VLOOKUP(C25,Overview!$B$30:$E$84,2,FALSE)=0,"",VLOOKUP(C25,Overview!$B$30:$E$84,2,FALSE)),"")</f>
        <v>Khorog State University</v>
      </c>
      <c r="E25" s="104" t="str">
        <f>IFERROR(IF(OR(VLOOKUP(C25,Overview!$B$30:$E$84,4,FALSE)="Country not found",VLOOKUP(C25,Overview!$B$30:$E$84,3,FALSE)=0),"",VLOOKUP(C25,Overview!$B$30:$E$84,3,FALSE)),"")</f>
        <v>Tajikistan</v>
      </c>
      <c r="F25" s="96">
        <v>10</v>
      </c>
      <c r="G25" s="97">
        <f t="shared" si="0"/>
        <v>10</v>
      </c>
      <c r="H25" s="98">
        <f>IF(X25="Error",0,VLOOKUP(E25,Rates!$B$5:$H$105,4,FALSE))</f>
        <v>47</v>
      </c>
      <c r="I25" s="99">
        <f t="shared" si="1"/>
        <v>470</v>
      </c>
      <c r="J25" s="96">
        <v>10</v>
      </c>
      <c r="K25" s="97">
        <f t="shared" si="2"/>
        <v>10</v>
      </c>
      <c r="L25" s="98">
        <f>IF(X25="Error",0,VLOOKUP(E25,Rates!$B$5:$H$105,5,FALSE))</f>
        <v>33</v>
      </c>
      <c r="M25" s="99">
        <f t="shared" si="3"/>
        <v>330</v>
      </c>
      <c r="N25" s="96">
        <v>0</v>
      </c>
      <c r="O25" s="97">
        <f t="shared" si="4"/>
        <v>0</v>
      </c>
      <c r="P25" s="98">
        <f>IF(X25="Error",0,VLOOKUP(E25,Rates!$B$5:$H$105,6,FALSE))</f>
        <v>22</v>
      </c>
      <c r="Q25" s="99">
        <f t="shared" si="5"/>
        <v>0</v>
      </c>
      <c r="R25" s="96">
        <v>15</v>
      </c>
      <c r="S25" s="97">
        <f t="shared" si="6"/>
        <v>15</v>
      </c>
      <c r="T25" s="98">
        <f>IF(X25="Error",0,VLOOKUP(E25,Rates!$B$5:$H$105,7,FALSE))</f>
        <v>17</v>
      </c>
      <c r="U25" s="99">
        <f t="shared" si="7"/>
        <v>255</v>
      </c>
      <c r="V25" s="100">
        <f t="shared" si="8"/>
        <v>35</v>
      </c>
      <c r="W25" s="101">
        <f t="shared" si="9"/>
        <v>1055</v>
      </c>
      <c r="X25" s="102" t="str">
        <f>IF(OR(COUNTIF(Rates!$J$13:$J$17,B25)=0,COUNTIF(Overview!$B$30:$B$84,C25)=0,D25="",E25="",ISNUMBER(F25)=FALSE,ISNUMBER(J25)=FALSE,ISNUMBER(N25)=FALSE,ISNUMBER(R25)=FALSE,IF(ISNUMBER(F25)=TRUE,F25=INT(F25*10)/10=FALSE),IF(ISNUMBER(J25)=TRUE,J25=INT(J25*10)/10=FALSE),IF(ISNUMBER(N25)=TRUE,N25=INT(N25*10)/10=FALSE),IF(ISNUMBER(R25)=TRUE,R25=INT(R25*10)/10=FALSE)),"Error","")</f>
        <v/>
      </c>
    </row>
    <row r="26" spans="2:24" s="103" customFormat="1" x14ac:dyDescent="0.25">
      <c r="B26" s="60" t="s">
        <v>367</v>
      </c>
      <c r="C26" s="94" t="s">
        <v>30</v>
      </c>
      <c r="D26" s="104" t="str">
        <f>IFERROR(IF(VLOOKUP(C26,Overview!$B$30:$E$84,2,FALSE)=0,"",VLOOKUP(C26,Overview!$B$30:$E$84,2,FALSE)),"")</f>
        <v>Tajik Pedagogical University</v>
      </c>
      <c r="E26" s="104" t="str">
        <f>IFERROR(IF(OR(VLOOKUP(C26,Overview!$B$30:$E$84,4,FALSE)="Country not found",VLOOKUP(C26,Overview!$B$30:$E$84,3,FALSE)=0),"",VLOOKUP(C26,Overview!$B$30:$E$84,3,FALSE)),"")</f>
        <v>Tajikistan</v>
      </c>
      <c r="F26" s="96">
        <v>10</v>
      </c>
      <c r="G26" s="97">
        <f t="shared" si="0"/>
        <v>10</v>
      </c>
      <c r="H26" s="98">
        <f>IF(X26="Error",0,VLOOKUP(E26,Rates!$B$5:$H$105,4,FALSE))</f>
        <v>47</v>
      </c>
      <c r="I26" s="99">
        <f t="shared" si="1"/>
        <v>470</v>
      </c>
      <c r="J26" s="96">
        <v>0</v>
      </c>
      <c r="K26" s="97">
        <f t="shared" si="2"/>
        <v>0</v>
      </c>
      <c r="L26" s="98">
        <f>IF(X26="Error",0,VLOOKUP(E26,Rates!$B$5:$H$105,5,FALSE))</f>
        <v>33</v>
      </c>
      <c r="M26" s="99">
        <f t="shared" si="3"/>
        <v>0</v>
      </c>
      <c r="N26" s="96">
        <v>0</v>
      </c>
      <c r="O26" s="97">
        <f t="shared" si="4"/>
        <v>0</v>
      </c>
      <c r="P26" s="98">
        <f>IF(X26="Error",0,VLOOKUP(E26,Rates!$B$5:$H$105,6,FALSE))</f>
        <v>22</v>
      </c>
      <c r="Q26" s="99">
        <f t="shared" si="5"/>
        <v>0</v>
      </c>
      <c r="R26" s="96">
        <v>15</v>
      </c>
      <c r="S26" s="97">
        <f t="shared" si="6"/>
        <v>15</v>
      </c>
      <c r="T26" s="98">
        <f>IF(X26="Error",0,VLOOKUP(E26,Rates!$B$5:$H$105,7,FALSE))</f>
        <v>17</v>
      </c>
      <c r="U26" s="99">
        <f t="shared" si="7"/>
        <v>255</v>
      </c>
      <c r="V26" s="100">
        <f t="shared" si="8"/>
        <v>25</v>
      </c>
      <c r="W26" s="101">
        <f t="shared" si="9"/>
        <v>725</v>
      </c>
      <c r="X26" s="102" t="str">
        <f>IF(OR(COUNTIF(Rates!$J$13:$J$17,B26)=0,COUNTIF(Overview!$B$30:$B$84,C26)=0,D26="",E26="",ISNUMBER(F26)=FALSE,ISNUMBER(J26)=FALSE,ISNUMBER(N26)=FALSE,ISNUMBER(R26)=FALSE,IF(ISNUMBER(F26)=TRUE,F26=INT(F26*10)/10=FALSE),IF(ISNUMBER(J26)=TRUE,J26=INT(J26*10)/10=FALSE),IF(ISNUMBER(N26)=TRUE,N26=INT(N26*10)/10=FALSE),IF(ISNUMBER(R26)=TRUE,R26=INT(R26*10)/10=FALSE)),"Error","")</f>
        <v/>
      </c>
    </row>
    <row r="27" spans="2:24" s="103" customFormat="1" x14ac:dyDescent="0.25">
      <c r="B27" s="60" t="s">
        <v>367</v>
      </c>
      <c r="C27" s="94" t="s">
        <v>31</v>
      </c>
      <c r="D27" s="104" t="str">
        <f>IFERROR(IF(VLOOKUP(C27,Overview!$B$30:$E$84,2,FALSE)=0,"",VLOOKUP(C27,Overview!$B$30:$E$84,2,FALSE)),"")</f>
        <v>Center of development and support of VET education</v>
      </c>
      <c r="E27" s="104" t="str">
        <f>IFERROR(IF(OR(VLOOKUP(C27,Overview!$B$30:$E$84,4,FALSE)="Country not found",VLOOKUP(C27,Overview!$B$30:$E$84,3,FALSE)=0),"",VLOOKUP(C27,Overview!$B$30:$E$84,3,FALSE)),"")</f>
        <v>Tajikistan</v>
      </c>
      <c r="F27" s="96">
        <v>0</v>
      </c>
      <c r="G27" s="97">
        <f t="shared" ref="G27" si="40">IF(X27="Error",0,ROUND(F27,1))</f>
        <v>0</v>
      </c>
      <c r="H27" s="98">
        <f>IF(X27="Error",0,VLOOKUP(E27,Rates!$B$5:$H$105,4,FALSE))</f>
        <v>47</v>
      </c>
      <c r="I27" s="99">
        <f t="shared" ref="I27" si="41">ROUND(G27*H27,2)</f>
        <v>0</v>
      </c>
      <c r="J27" s="96">
        <v>10</v>
      </c>
      <c r="K27" s="97">
        <f t="shared" ref="K27" si="42">IF(X27="Error",0,ROUND(J27,1))</f>
        <v>10</v>
      </c>
      <c r="L27" s="98">
        <f>IF(X27="Error",0,VLOOKUP(E27,Rates!$B$5:$H$105,5,FALSE))</f>
        <v>33</v>
      </c>
      <c r="M27" s="99">
        <f t="shared" ref="M27" si="43">ROUND(K27*L27,2)</f>
        <v>330</v>
      </c>
      <c r="N27" s="96">
        <v>0</v>
      </c>
      <c r="O27" s="97">
        <f t="shared" ref="O27" si="44">IF(X27="Error",0,ROUND(N27,1))</f>
        <v>0</v>
      </c>
      <c r="P27" s="98">
        <f>IF(X27="Error",0,VLOOKUP(E27,Rates!$B$5:$H$105,6,FALSE))</f>
        <v>22</v>
      </c>
      <c r="Q27" s="99">
        <f t="shared" ref="Q27" si="45">ROUND(O27*P27,2)</f>
        <v>0</v>
      </c>
      <c r="R27" s="96">
        <v>0</v>
      </c>
      <c r="S27" s="97">
        <f t="shared" ref="S27" si="46">IF(X27="Error",0,ROUND(R27,1))</f>
        <v>0</v>
      </c>
      <c r="T27" s="98">
        <f>IF(X27="Error",0,VLOOKUP(E27,Rates!$B$5:$H$105,7,FALSE))</f>
        <v>17</v>
      </c>
      <c r="U27" s="99">
        <f t="shared" ref="U27" si="47">ROUND(S27*T27,2)</f>
        <v>0</v>
      </c>
      <c r="V27" s="100">
        <f t="shared" ref="V27" si="48">IF(X27="Error",0,G27+K27+O27+S27)</f>
        <v>10</v>
      </c>
      <c r="W27" s="101">
        <f t="shared" ref="W27" si="49">IF(X27="Error",0,I27+M27+Q27+U27)</f>
        <v>330</v>
      </c>
      <c r="X27" s="102" t="str">
        <f>IF(OR(COUNTIF(Rates!$J$13:$J$17,B27)=0,COUNTIF(Overview!$B$30:$B$84,C27)=0,D27="",E27="",ISNUMBER(F27)=FALSE,ISNUMBER(J27)=FALSE,ISNUMBER(N27)=FALSE,ISNUMBER(R27)=FALSE,IF(ISNUMBER(F27)=TRUE,F27=INT(F27*10)/10=FALSE),IF(ISNUMBER(J27)=TRUE,J27=INT(J27*10)/10=FALSE),IF(ISNUMBER(N27)=TRUE,N27=INT(N27*10)/10=FALSE),IF(ISNUMBER(R27)=TRUE,R27=INT(R27*10)/10=FALSE)),"Error","")</f>
        <v/>
      </c>
    </row>
    <row r="28" spans="2:24" s="103" customFormat="1" x14ac:dyDescent="0.25">
      <c r="B28" s="60" t="s">
        <v>367</v>
      </c>
      <c r="C28" s="94" t="s">
        <v>33</v>
      </c>
      <c r="D28" s="104" t="str">
        <f>IFERROR(IF(VLOOKUP(C28,Overview!$B$30:$E$84,2,FALSE)=0,"",VLOOKUP(C28,Overview!$B$30:$E$84,2,FALSE)),"")</f>
        <v>KIMEP University, JSC</v>
      </c>
      <c r="E28" s="104" t="str">
        <f>IFERROR(IF(OR(VLOOKUP(C28,Overview!$B$30:$E$84,4,FALSE)="Country not found",VLOOKUP(C28,Overview!$B$30:$E$84,3,FALSE)=0),"",VLOOKUP(C28,Overview!$B$30:$E$84,3,FALSE)),"")</f>
        <v>Kazakhstan</v>
      </c>
      <c r="F28" s="96">
        <v>10</v>
      </c>
      <c r="G28" s="97">
        <f t="shared" ref="G28:G97" si="50">IF(X28="Error",0,ROUND(F28,1))</f>
        <v>10</v>
      </c>
      <c r="H28" s="98">
        <f>IF(X28="Error",0,VLOOKUP(E28,Rates!$B$5:$H$105,4,FALSE))</f>
        <v>77</v>
      </c>
      <c r="I28" s="99">
        <f t="shared" ref="I28:I97" si="51">ROUND(G28*H28,2)</f>
        <v>770</v>
      </c>
      <c r="J28" s="96">
        <v>20</v>
      </c>
      <c r="K28" s="97">
        <f t="shared" ref="K28:K97" si="52">IF(X28="Error",0,ROUND(J28,1))</f>
        <v>20</v>
      </c>
      <c r="L28" s="98">
        <f>IF(X28="Error",0,VLOOKUP(E28,Rates!$B$5:$H$105,5,FALSE))</f>
        <v>57</v>
      </c>
      <c r="M28" s="99">
        <f t="shared" ref="M28:M97" si="53">ROUND(K28*L28,2)</f>
        <v>1140</v>
      </c>
      <c r="N28" s="96">
        <v>0</v>
      </c>
      <c r="O28" s="97">
        <f t="shared" ref="O28:O97" si="54">IF(X28="Error",0,ROUND(N28,1))</f>
        <v>0</v>
      </c>
      <c r="P28" s="98">
        <f>IF(X28="Error",0,VLOOKUP(E28,Rates!$B$5:$H$105,6,FALSE))</f>
        <v>40</v>
      </c>
      <c r="Q28" s="99">
        <f t="shared" ref="Q28:Q97" si="55">ROUND(O28*P28,2)</f>
        <v>0</v>
      </c>
      <c r="R28" s="96">
        <v>10</v>
      </c>
      <c r="S28" s="97">
        <f t="shared" ref="S28:S97" si="56">IF(X28="Error",0,ROUND(R28,1))</f>
        <v>10</v>
      </c>
      <c r="T28" s="98">
        <f>IF(X28="Error",0,VLOOKUP(E28,Rates!$B$5:$H$105,7,FALSE))</f>
        <v>32</v>
      </c>
      <c r="U28" s="99">
        <f t="shared" ref="U28:U97" si="57">ROUND(S28*T28,2)</f>
        <v>320</v>
      </c>
      <c r="V28" s="100">
        <f t="shared" ref="V28:V97" si="58">IF(X28="Error",0,G28+K28+O28+S28)</f>
        <v>40</v>
      </c>
      <c r="W28" s="101">
        <f t="shared" ref="W28:W97" si="59">IF(X28="Error",0,I28+M28+Q28+U28)</f>
        <v>2230</v>
      </c>
      <c r="X28" s="102" t="str">
        <f>IF(OR(COUNTIF(Rates!$J$13:$J$17,B28)=0,COUNTIF(Overview!$B$30:$B$84,C28)=0,D28="",E28="",ISNUMBER(F28)=FALSE,ISNUMBER(J28)=FALSE,ISNUMBER(N28)=FALSE,ISNUMBER(R28)=FALSE,IF(ISNUMBER(F28)=TRUE,F28=INT(F28*10)/10=FALSE),IF(ISNUMBER(J28)=TRUE,J28=INT(J28*10)/10=FALSE),IF(ISNUMBER(N28)=TRUE,N28=INT(N28*10)/10=FALSE),IF(ISNUMBER(R28)=TRUE,R28=INT(R28*10)/10=FALSE)),"Error","")</f>
        <v/>
      </c>
    </row>
    <row r="29" spans="2:24" s="103" customFormat="1" x14ac:dyDescent="0.25">
      <c r="B29" s="60" t="s">
        <v>367</v>
      </c>
      <c r="C29" s="94" t="s">
        <v>126</v>
      </c>
      <c r="D29" s="104" t="str">
        <f>IFERROR(IF(VLOOKUP(C29,Overview!$B$30:$E$84,2,FALSE)=0,"",VLOOKUP(C29,Overview!$B$30:$E$84,2,FALSE)),"")</f>
        <v>Al-Farabi Kazakhstan National University</v>
      </c>
      <c r="E29" s="104" t="str">
        <f>IFERROR(IF(OR(VLOOKUP(C29,Overview!$B$30:$E$84,4,FALSE)="Country not found",VLOOKUP(C29,Overview!$B$30:$E$84,3,FALSE)=0),"",VLOOKUP(C29,Overview!$B$30:$E$84,3,FALSE)),"")</f>
        <v>Kazakhstan</v>
      </c>
      <c r="F29" s="96">
        <v>11</v>
      </c>
      <c r="G29" s="97">
        <f t="shared" si="50"/>
        <v>11</v>
      </c>
      <c r="H29" s="98">
        <f>IF(X29="Error",0,VLOOKUP(E29,Rates!$B$5:$H$105,4,FALSE))</f>
        <v>77</v>
      </c>
      <c r="I29" s="99">
        <f t="shared" si="51"/>
        <v>847</v>
      </c>
      <c r="J29" s="96">
        <v>9</v>
      </c>
      <c r="K29" s="97">
        <f t="shared" si="52"/>
        <v>9</v>
      </c>
      <c r="L29" s="98">
        <f>IF(X29="Error",0,VLOOKUP(E29,Rates!$B$5:$H$105,5,FALSE))</f>
        <v>57</v>
      </c>
      <c r="M29" s="99">
        <f t="shared" si="53"/>
        <v>513</v>
      </c>
      <c r="N29" s="96">
        <v>0</v>
      </c>
      <c r="O29" s="97">
        <f t="shared" si="54"/>
        <v>0</v>
      </c>
      <c r="P29" s="98">
        <f>IF(X29="Error",0,VLOOKUP(E29,Rates!$B$5:$H$105,6,FALSE))</f>
        <v>40</v>
      </c>
      <c r="Q29" s="99">
        <f t="shared" si="55"/>
        <v>0</v>
      </c>
      <c r="R29" s="96">
        <v>10</v>
      </c>
      <c r="S29" s="97">
        <f t="shared" si="56"/>
        <v>10</v>
      </c>
      <c r="T29" s="98">
        <f>IF(X29="Error",0,VLOOKUP(E29,Rates!$B$5:$H$105,7,FALSE))</f>
        <v>32</v>
      </c>
      <c r="U29" s="99">
        <f t="shared" si="57"/>
        <v>320</v>
      </c>
      <c r="V29" s="100">
        <f t="shared" si="58"/>
        <v>30</v>
      </c>
      <c r="W29" s="101">
        <f t="shared" si="59"/>
        <v>1680</v>
      </c>
      <c r="X29" s="102" t="str">
        <f>IF(OR(COUNTIF(Rates!$J$13:$J$17,B29)=0,COUNTIF(Overview!$B$30:$B$84,C29)=0,D29="",E29="",ISNUMBER(F29)=FALSE,ISNUMBER(J29)=FALSE,ISNUMBER(N29)=FALSE,ISNUMBER(R29)=FALSE,IF(ISNUMBER(F29)=TRUE,F29=INT(F29*10)/10=FALSE),IF(ISNUMBER(J29)=TRUE,J29=INT(J29*10)/10=FALSE),IF(ISNUMBER(N29)=TRUE,N29=INT(N29*10)/10=FALSE),IF(ISNUMBER(R29)=TRUE,R29=INT(R29*10)/10=FALSE)),"Error","")</f>
        <v/>
      </c>
    </row>
    <row r="30" spans="2:24" s="103" customFormat="1" x14ac:dyDescent="0.25">
      <c r="B30" s="60" t="s">
        <v>367</v>
      </c>
      <c r="C30" s="94" t="s">
        <v>127</v>
      </c>
      <c r="D30" s="104" t="str">
        <f>IFERROR(IF(VLOOKUP(C30,Overview!$B$30:$E$84,2,FALSE)=0,"",VLOOKUP(C30,Overview!$B$30:$E$84,2,FALSE)),"")</f>
        <v>Kazakhstan National Technical University</v>
      </c>
      <c r="E30" s="104" t="str">
        <f>IFERROR(IF(OR(VLOOKUP(C30,Overview!$B$30:$E$84,4,FALSE)="Country not found",VLOOKUP(C30,Overview!$B$30:$E$84,3,FALSE)=0),"",VLOOKUP(C30,Overview!$B$30:$E$84,3,FALSE)),"")</f>
        <v>Kazakhstan</v>
      </c>
      <c r="F30" s="96">
        <v>10</v>
      </c>
      <c r="G30" s="97">
        <f t="shared" si="50"/>
        <v>10</v>
      </c>
      <c r="H30" s="98">
        <f>IF(X30="Error",0,VLOOKUP(E30,Rates!$B$5:$H$105,4,FALSE))</f>
        <v>77</v>
      </c>
      <c r="I30" s="99">
        <f t="shared" si="51"/>
        <v>770</v>
      </c>
      <c r="J30" s="96">
        <v>10</v>
      </c>
      <c r="K30" s="97">
        <f t="shared" si="52"/>
        <v>10</v>
      </c>
      <c r="L30" s="98">
        <f>IF(X30="Error",0,VLOOKUP(E30,Rates!$B$5:$H$105,5,FALSE))</f>
        <v>57</v>
      </c>
      <c r="M30" s="99">
        <f t="shared" si="53"/>
        <v>570</v>
      </c>
      <c r="N30" s="96">
        <v>0</v>
      </c>
      <c r="O30" s="97">
        <f t="shared" si="54"/>
        <v>0</v>
      </c>
      <c r="P30" s="98">
        <f>IF(X30="Error",0,VLOOKUP(E30,Rates!$B$5:$H$105,6,FALSE))</f>
        <v>40</v>
      </c>
      <c r="Q30" s="99">
        <f t="shared" si="55"/>
        <v>0</v>
      </c>
      <c r="R30" s="96">
        <v>10</v>
      </c>
      <c r="S30" s="97">
        <f t="shared" si="56"/>
        <v>10</v>
      </c>
      <c r="T30" s="98">
        <f>IF(X30="Error",0,VLOOKUP(E30,Rates!$B$5:$H$105,7,FALSE))</f>
        <v>32</v>
      </c>
      <c r="U30" s="99">
        <f t="shared" si="57"/>
        <v>320</v>
      </c>
      <c r="V30" s="100">
        <f t="shared" si="58"/>
        <v>30</v>
      </c>
      <c r="W30" s="101">
        <f t="shared" si="59"/>
        <v>1660</v>
      </c>
      <c r="X30" s="102" t="str">
        <f>IF(OR(COUNTIF(Rates!$J$13:$J$17,B30)=0,COUNTIF(Overview!$B$30:$B$84,C30)=0,D30="",E30="",ISNUMBER(F30)=FALSE,ISNUMBER(J30)=FALSE,ISNUMBER(N30)=FALSE,ISNUMBER(R30)=FALSE,IF(ISNUMBER(F30)=TRUE,F30=INT(F30*10)/10=FALSE),IF(ISNUMBER(J30)=TRUE,J30=INT(J30*10)/10=FALSE),IF(ISNUMBER(N30)=TRUE,N30=INT(N30*10)/10=FALSE),IF(ISNUMBER(R30)=TRUE,R30=INT(R30*10)/10=FALSE)),"Error","")</f>
        <v/>
      </c>
    </row>
    <row r="31" spans="2:24" s="103" customFormat="1" x14ac:dyDescent="0.25">
      <c r="B31" s="60" t="s">
        <v>367</v>
      </c>
      <c r="C31" s="94" t="s">
        <v>128</v>
      </c>
      <c r="D31" s="104" t="str">
        <f>IFERROR(IF(VLOOKUP(C31,Overview!$B$30:$E$84,2,FALSE)=0,"",VLOOKUP(C31,Overview!$B$30:$E$84,2,FALSE)),"")</f>
        <v xml:space="preserve">Zhezkazgan Baikonurov University </v>
      </c>
      <c r="E31" s="104" t="str">
        <f>IFERROR(IF(OR(VLOOKUP(C31,Overview!$B$30:$E$84,4,FALSE)="Country not found",VLOOKUP(C31,Overview!$B$30:$E$84,3,FALSE)=0),"",VLOOKUP(C31,Overview!$B$30:$E$84,3,FALSE)),"")</f>
        <v>Kazakhstan</v>
      </c>
      <c r="F31" s="96">
        <v>10</v>
      </c>
      <c r="G31" s="97">
        <f t="shared" si="50"/>
        <v>10</v>
      </c>
      <c r="H31" s="98">
        <f>IF(X31="Error",0,VLOOKUP(E31,Rates!$B$5:$H$105,4,FALSE))</f>
        <v>77</v>
      </c>
      <c r="I31" s="99">
        <f t="shared" si="51"/>
        <v>770</v>
      </c>
      <c r="J31" s="96">
        <v>10</v>
      </c>
      <c r="K31" s="97">
        <f t="shared" si="52"/>
        <v>10</v>
      </c>
      <c r="L31" s="98">
        <f>IF(X31="Error",0,VLOOKUP(E31,Rates!$B$5:$H$105,5,FALSE))</f>
        <v>57</v>
      </c>
      <c r="M31" s="99">
        <f t="shared" si="53"/>
        <v>570</v>
      </c>
      <c r="N31" s="96">
        <v>0</v>
      </c>
      <c r="O31" s="97">
        <f t="shared" si="54"/>
        <v>0</v>
      </c>
      <c r="P31" s="98">
        <f>IF(X31="Error",0,VLOOKUP(E31,Rates!$B$5:$H$105,6,FALSE))</f>
        <v>40</v>
      </c>
      <c r="Q31" s="99">
        <f t="shared" si="55"/>
        <v>0</v>
      </c>
      <c r="R31" s="96">
        <v>10</v>
      </c>
      <c r="S31" s="97">
        <f t="shared" si="56"/>
        <v>10</v>
      </c>
      <c r="T31" s="98">
        <f>IF(X31="Error",0,VLOOKUP(E31,Rates!$B$5:$H$105,7,FALSE))</f>
        <v>32</v>
      </c>
      <c r="U31" s="99">
        <f t="shared" si="57"/>
        <v>320</v>
      </c>
      <c r="V31" s="100">
        <f t="shared" si="58"/>
        <v>30</v>
      </c>
      <c r="W31" s="101">
        <f t="shared" si="59"/>
        <v>1660</v>
      </c>
      <c r="X31" s="102" t="str">
        <f>IF(OR(COUNTIF(Rates!$J$13:$J$17,B31)=0,COUNTIF(Overview!$B$30:$B$84,C31)=0,D31="",E31="",ISNUMBER(F31)=FALSE,ISNUMBER(J31)=FALSE,ISNUMBER(N31)=FALSE,ISNUMBER(R31)=FALSE,IF(ISNUMBER(F31)=TRUE,F31=INT(F31*10)/10=FALSE),IF(ISNUMBER(J31)=TRUE,J31=INT(J31*10)/10=FALSE),IF(ISNUMBER(N31)=TRUE,N31=INT(N31*10)/10=FALSE),IF(ISNUMBER(R31)=TRUE,R31=INT(R31*10)/10=FALSE)),"Error","")</f>
        <v/>
      </c>
    </row>
    <row r="32" spans="2:24" s="103" customFormat="1" x14ac:dyDescent="0.25">
      <c r="B32" s="60" t="s">
        <v>367</v>
      </c>
      <c r="C32" s="94" t="s">
        <v>129</v>
      </c>
      <c r="D32" s="104" t="str">
        <f>IFERROR(IF(VLOOKUP(C32,Overview!$B$30:$E$84,2,FALSE)=0,"",VLOOKUP(C32,Overview!$B$30:$E$84,2,FALSE)),"")</f>
        <v xml:space="preserve">Altynsarin National Academy of Education </v>
      </c>
      <c r="E32" s="104" t="str">
        <f>IFERROR(IF(OR(VLOOKUP(C32,Overview!$B$30:$E$84,4,FALSE)="Country not found",VLOOKUP(C32,Overview!$B$30:$E$84,3,FALSE)=0),"",VLOOKUP(C32,Overview!$B$30:$E$84,3,FALSE)),"")</f>
        <v>Kazakhstan</v>
      </c>
      <c r="F32" s="96">
        <v>0</v>
      </c>
      <c r="G32" s="97">
        <f t="shared" si="50"/>
        <v>0</v>
      </c>
      <c r="H32" s="98">
        <f>IF(X32="Error",0,VLOOKUP(E32,Rates!$B$5:$H$105,4,FALSE))</f>
        <v>77</v>
      </c>
      <c r="I32" s="99">
        <f t="shared" si="51"/>
        <v>0</v>
      </c>
      <c r="J32" s="96">
        <v>10</v>
      </c>
      <c r="K32" s="97">
        <f t="shared" si="52"/>
        <v>10</v>
      </c>
      <c r="L32" s="98">
        <f>IF(X32="Error",0,VLOOKUP(E32,Rates!$B$5:$H$105,5,FALSE))</f>
        <v>57</v>
      </c>
      <c r="M32" s="99">
        <f t="shared" si="53"/>
        <v>570</v>
      </c>
      <c r="N32" s="96">
        <v>0</v>
      </c>
      <c r="O32" s="97">
        <f t="shared" si="54"/>
        <v>0</v>
      </c>
      <c r="P32" s="98">
        <f>IF(X32="Error",0,VLOOKUP(E32,Rates!$B$5:$H$105,6,FALSE))</f>
        <v>40</v>
      </c>
      <c r="Q32" s="99">
        <f t="shared" si="55"/>
        <v>0</v>
      </c>
      <c r="R32" s="96">
        <v>0</v>
      </c>
      <c r="S32" s="97">
        <f t="shared" si="56"/>
        <v>0</v>
      </c>
      <c r="T32" s="98">
        <f>IF(X32="Error",0,VLOOKUP(E32,Rates!$B$5:$H$105,7,FALSE))</f>
        <v>32</v>
      </c>
      <c r="U32" s="99">
        <f t="shared" si="57"/>
        <v>0</v>
      </c>
      <c r="V32" s="100">
        <f t="shared" si="58"/>
        <v>10</v>
      </c>
      <c r="W32" s="101">
        <f t="shared" si="59"/>
        <v>570</v>
      </c>
      <c r="X32" s="102" t="str">
        <f>IF(OR(COUNTIF(Rates!$J$13:$J$17,B32)=0,COUNTIF(Overview!$B$30:$B$84,C32)=0,D32="",E32="",ISNUMBER(F32)=FALSE,ISNUMBER(J32)=FALSE,ISNUMBER(N32)=FALSE,ISNUMBER(R32)=FALSE,IF(ISNUMBER(F32)=TRUE,F32=INT(F32*10)/10=FALSE),IF(ISNUMBER(J32)=TRUE,J32=INT(J32*10)/10=FALSE),IF(ISNUMBER(N32)=TRUE,N32=INT(N32*10)/10=FALSE),IF(ISNUMBER(R32)=TRUE,R32=INT(R32*10)/10=FALSE)),"Error","")</f>
        <v/>
      </c>
    </row>
    <row r="33" spans="2:24" s="103" customFormat="1" x14ac:dyDescent="0.25">
      <c r="B33" s="60" t="s">
        <v>365</v>
      </c>
      <c r="C33" s="94" t="s">
        <v>17</v>
      </c>
      <c r="D33" s="104" t="str">
        <f>IFERROR(IF(VLOOKUP(C33,Overview!$B$30:$E$84,2,FALSE)=0,"",VLOOKUP(C33,Overview!$B$30:$E$84,2,FALSE)),"")</f>
        <v>Wroclaw Technical University</v>
      </c>
      <c r="E33" s="104" t="str">
        <f>IFERROR(IF(OR(VLOOKUP(C33,Overview!$B$30:$E$84,4,FALSE)="Country not found",VLOOKUP(C33,Overview!$B$30:$E$84,3,FALSE)=0),"",VLOOKUP(C33,Overview!$B$30:$E$84,3,FALSE)),"")</f>
        <v>Poland</v>
      </c>
      <c r="F33" s="96">
        <v>15</v>
      </c>
      <c r="G33" s="97">
        <f t="shared" si="50"/>
        <v>15</v>
      </c>
      <c r="H33" s="98">
        <f>IF(X33="Error",0,VLOOKUP(E33,Rates!$B$5:$H$105,4,FALSE))</f>
        <v>88</v>
      </c>
      <c r="I33" s="99">
        <f t="shared" si="51"/>
        <v>1320</v>
      </c>
      <c r="J33" s="96">
        <v>0</v>
      </c>
      <c r="K33" s="97">
        <f t="shared" si="52"/>
        <v>0</v>
      </c>
      <c r="L33" s="98">
        <f>IF(X33="Error",0,VLOOKUP(E33,Rates!$B$5:$H$105,5,FALSE))</f>
        <v>74</v>
      </c>
      <c r="M33" s="99">
        <f t="shared" si="53"/>
        <v>0</v>
      </c>
      <c r="N33" s="96">
        <v>0</v>
      </c>
      <c r="O33" s="97">
        <f t="shared" si="54"/>
        <v>0</v>
      </c>
      <c r="P33" s="98">
        <f>IF(X33="Error",0,VLOOKUP(E33,Rates!$B$5:$H$105,6,FALSE))</f>
        <v>55</v>
      </c>
      <c r="Q33" s="99">
        <f t="shared" si="55"/>
        <v>0</v>
      </c>
      <c r="R33" s="96">
        <v>15</v>
      </c>
      <c r="S33" s="97">
        <f t="shared" si="56"/>
        <v>15</v>
      </c>
      <c r="T33" s="98">
        <f>IF(X33="Error",0,VLOOKUP(E33,Rates!$B$5:$H$105,7,FALSE))</f>
        <v>39</v>
      </c>
      <c r="U33" s="99">
        <f t="shared" si="57"/>
        <v>585</v>
      </c>
      <c r="V33" s="100">
        <f t="shared" si="58"/>
        <v>30</v>
      </c>
      <c r="W33" s="101">
        <f t="shared" si="59"/>
        <v>1905</v>
      </c>
      <c r="X33" s="102" t="str">
        <f>IF(OR(COUNTIF(Rates!$J$13:$J$17,B33)=0,COUNTIF(Overview!$B$30:$B$84,C33)=0,D33="",E33="",ISNUMBER(F33)=FALSE,ISNUMBER(J33)=FALSE,ISNUMBER(N33)=FALSE,ISNUMBER(R33)=FALSE,IF(ISNUMBER(F33)=TRUE,F33=INT(F33*10)/10=FALSE),IF(ISNUMBER(J33)=TRUE,J33=INT(J33*10)/10=FALSE),IF(ISNUMBER(N33)=TRUE,N33=INT(N33*10)/10=FALSE),IF(ISNUMBER(R33)=TRUE,R33=INT(R33*10)/10=FALSE)),"Error","")</f>
        <v/>
      </c>
    </row>
    <row r="34" spans="2:24" s="103" customFormat="1" x14ac:dyDescent="0.25">
      <c r="B34" s="60" t="s">
        <v>365</v>
      </c>
      <c r="C34" s="94" t="s">
        <v>18</v>
      </c>
      <c r="D34" s="104" t="str">
        <f>IFERROR(IF(VLOOKUP(C34,Overview!$B$30:$E$84,2,FALSE)=0,"",VLOOKUP(C34,Overview!$B$30:$E$84,2,FALSE)),"")</f>
        <v>Koblenz-Landau University</v>
      </c>
      <c r="E34" s="104" t="str">
        <f>IFERROR(IF(OR(VLOOKUP(C34,Overview!$B$30:$E$84,4,FALSE)="Country not found",VLOOKUP(C34,Overview!$B$30:$E$84,3,FALSE)=0),"",VLOOKUP(C34,Overview!$B$30:$E$84,3,FALSE)),"")</f>
        <v>Germany</v>
      </c>
      <c r="F34" s="96">
        <v>20</v>
      </c>
      <c r="G34" s="97">
        <f t="shared" si="50"/>
        <v>20</v>
      </c>
      <c r="H34" s="98">
        <f>IF(X34="Error",0,VLOOKUP(E34,Rates!$B$5:$H$105,4,FALSE))</f>
        <v>280</v>
      </c>
      <c r="I34" s="99">
        <f t="shared" si="51"/>
        <v>5600</v>
      </c>
      <c r="J34" s="96">
        <v>0</v>
      </c>
      <c r="K34" s="97">
        <f t="shared" si="52"/>
        <v>0</v>
      </c>
      <c r="L34" s="98">
        <f>IF(X34="Error",0,VLOOKUP(E34,Rates!$B$5:$H$105,5,FALSE))</f>
        <v>214</v>
      </c>
      <c r="M34" s="99">
        <f t="shared" si="53"/>
        <v>0</v>
      </c>
      <c r="N34" s="96">
        <v>0</v>
      </c>
      <c r="O34" s="97">
        <f t="shared" si="54"/>
        <v>0</v>
      </c>
      <c r="P34" s="98">
        <f>IF(X34="Error",0,VLOOKUP(E34,Rates!$B$5:$H$105,6,FALSE))</f>
        <v>162</v>
      </c>
      <c r="Q34" s="99">
        <f t="shared" si="55"/>
        <v>0</v>
      </c>
      <c r="R34" s="96">
        <v>20</v>
      </c>
      <c r="S34" s="97">
        <f t="shared" si="56"/>
        <v>20</v>
      </c>
      <c r="T34" s="98">
        <f>IF(X34="Error",0,VLOOKUP(E34,Rates!$B$5:$H$105,7,FALSE))</f>
        <v>131</v>
      </c>
      <c r="U34" s="99">
        <f t="shared" si="57"/>
        <v>2620</v>
      </c>
      <c r="V34" s="100">
        <f t="shared" si="58"/>
        <v>40</v>
      </c>
      <c r="W34" s="101">
        <f t="shared" si="59"/>
        <v>8220</v>
      </c>
      <c r="X34" s="102" t="str">
        <f>IF(OR(COUNTIF(Rates!$J$13:$J$17,B34)=0,COUNTIF(Overview!$B$30:$B$84,C34)=0,D34="",E34="",ISNUMBER(F34)=FALSE,ISNUMBER(J34)=FALSE,ISNUMBER(N34)=FALSE,ISNUMBER(R34)=FALSE,IF(ISNUMBER(F34)=TRUE,F34=INT(F34*10)/10=FALSE),IF(ISNUMBER(J34)=TRUE,J34=INT(J34*10)/10=FALSE),IF(ISNUMBER(N34)=TRUE,N34=INT(N34*10)/10=FALSE),IF(ISNUMBER(R34)=TRUE,R34=INT(R34*10)/10=FALSE)),"Error","")</f>
        <v/>
      </c>
    </row>
    <row r="35" spans="2:24" s="103" customFormat="1" x14ac:dyDescent="0.25">
      <c r="B35" s="60" t="s">
        <v>365</v>
      </c>
      <c r="C35" s="94" t="s">
        <v>19</v>
      </c>
      <c r="D35" s="104" t="str">
        <f>IFERROR(IF(VLOOKUP(C35,Overview!$B$30:$E$84,2,FALSE)=0,"",VLOOKUP(C35,Overview!$B$30:$E$84,2,FALSE)),"")</f>
        <v>The Network University</v>
      </c>
      <c r="E35" s="104" t="str">
        <f>IFERROR(IF(OR(VLOOKUP(C35,Overview!$B$30:$E$84,4,FALSE)="Country not found",VLOOKUP(C35,Overview!$B$30:$E$84,3,FALSE)=0),"",VLOOKUP(C35,Overview!$B$30:$E$84,3,FALSE)),"")</f>
        <v>Netherlands</v>
      </c>
      <c r="F35" s="96">
        <v>10</v>
      </c>
      <c r="G35" s="97">
        <f t="shared" si="50"/>
        <v>10</v>
      </c>
      <c r="H35" s="98">
        <f>IF(X35="Error",0,VLOOKUP(E35,Rates!$B$5:$H$105,4,FALSE))</f>
        <v>294</v>
      </c>
      <c r="I35" s="99">
        <f t="shared" si="51"/>
        <v>2940</v>
      </c>
      <c r="J35" s="96">
        <v>10</v>
      </c>
      <c r="K35" s="97">
        <f t="shared" si="52"/>
        <v>10</v>
      </c>
      <c r="L35" s="98">
        <f>IF(X35="Error",0,VLOOKUP(E35,Rates!$B$5:$H$105,5,FALSE))</f>
        <v>241</v>
      </c>
      <c r="M35" s="99">
        <f t="shared" si="53"/>
        <v>2410</v>
      </c>
      <c r="N35" s="96">
        <v>0</v>
      </c>
      <c r="O35" s="97">
        <f t="shared" si="54"/>
        <v>0</v>
      </c>
      <c r="P35" s="98">
        <f>IF(X35="Error",0,VLOOKUP(E35,Rates!$B$5:$H$105,6,FALSE))</f>
        <v>190</v>
      </c>
      <c r="Q35" s="99">
        <f t="shared" si="55"/>
        <v>0</v>
      </c>
      <c r="R35" s="96">
        <v>0</v>
      </c>
      <c r="S35" s="97">
        <f t="shared" si="56"/>
        <v>0</v>
      </c>
      <c r="T35" s="98">
        <f>IF(X35="Error",0,VLOOKUP(E35,Rates!$B$5:$H$105,7,FALSE))</f>
        <v>157</v>
      </c>
      <c r="U35" s="99">
        <f t="shared" si="57"/>
        <v>0</v>
      </c>
      <c r="V35" s="100">
        <f t="shared" si="58"/>
        <v>20</v>
      </c>
      <c r="W35" s="101">
        <f t="shared" si="59"/>
        <v>5350</v>
      </c>
      <c r="X35" s="102" t="str">
        <f>IF(OR(COUNTIF(Rates!$J$13:$J$17,B35)=0,COUNTIF(Overview!$B$30:$B$84,C35)=0,D35="",E35="",ISNUMBER(F35)=FALSE,ISNUMBER(J35)=FALSE,ISNUMBER(N35)=FALSE,ISNUMBER(R35)=FALSE,IF(ISNUMBER(F35)=TRUE,F35=INT(F35*10)/10=FALSE),IF(ISNUMBER(J35)=TRUE,J35=INT(J35*10)/10=FALSE),IF(ISNUMBER(N35)=TRUE,N35=INT(N35*10)/10=FALSE),IF(ISNUMBER(R35)=TRUE,R35=INT(R35*10)/10=FALSE)),"Error","")</f>
        <v/>
      </c>
    </row>
    <row r="36" spans="2:24" s="103" customFormat="1" x14ac:dyDescent="0.25">
      <c r="B36" s="60" t="s">
        <v>365</v>
      </c>
      <c r="C36" s="94" t="s">
        <v>21</v>
      </c>
      <c r="D36" s="104" t="str">
        <f>IFERROR(IF(VLOOKUP(C36,Overview!$B$30:$E$84,2,FALSE)=0,"",VLOOKUP(C36,Overview!$B$30:$E$84,2,FALSE)),"")</f>
        <v>National University of Uzbekistan</v>
      </c>
      <c r="E36" s="104" t="str">
        <f>IFERROR(IF(OR(VLOOKUP(C36,Overview!$B$30:$E$84,4,FALSE)="Country not found",VLOOKUP(C36,Overview!$B$30:$E$84,3,FALSE)=0),"",VLOOKUP(C36,Overview!$B$30:$E$84,3,FALSE)),"")</f>
        <v>Uzbekistan</v>
      </c>
      <c r="F36" s="96">
        <v>19</v>
      </c>
      <c r="G36" s="97">
        <f t="shared" si="50"/>
        <v>19</v>
      </c>
      <c r="H36" s="98">
        <f>IF(X36="Error",0,VLOOKUP(E36,Rates!$B$5:$H$105,4,FALSE))</f>
        <v>47</v>
      </c>
      <c r="I36" s="99">
        <f t="shared" si="51"/>
        <v>893</v>
      </c>
      <c r="J36" s="96">
        <v>34</v>
      </c>
      <c r="K36" s="97">
        <f t="shared" si="52"/>
        <v>34</v>
      </c>
      <c r="L36" s="98">
        <f>IF(X36="Error",0,VLOOKUP(E36,Rates!$B$5:$H$105,5,FALSE))</f>
        <v>33</v>
      </c>
      <c r="M36" s="99">
        <f t="shared" si="53"/>
        <v>1122</v>
      </c>
      <c r="N36" s="96">
        <v>0</v>
      </c>
      <c r="O36" s="97">
        <f t="shared" si="54"/>
        <v>0</v>
      </c>
      <c r="P36" s="98">
        <f>IF(X36="Error",0,VLOOKUP(E36,Rates!$B$5:$H$105,6,FALSE))</f>
        <v>22</v>
      </c>
      <c r="Q36" s="99">
        <f t="shared" si="55"/>
        <v>0</v>
      </c>
      <c r="R36" s="96">
        <v>0</v>
      </c>
      <c r="S36" s="97">
        <f t="shared" si="56"/>
        <v>0</v>
      </c>
      <c r="T36" s="98">
        <f>IF(X36="Error",0,VLOOKUP(E36,Rates!$B$5:$H$105,7,FALSE))</f>
        <v>17</v>
      </c>
      <c r="U36" s="99">
        <f t="shared" si="57"/>
        <v>0</v>
      </c>
      <c r="V36" s="100">
        <f t="shared" si="58"/>
        <v>53</v>
      </c>
      <c r="W36" s="101">
        <f t="shared" si="59"/>
        <v>2015</v>
      </c>
      <c r="X36" s="102" t="str">
        <f>IF(OR(COUNTIF(Rates!$J$13:$J$17,B36)=0,COUNTIF(Overview!$B$30:$B$84,C36)=0,D36="",E36="",ISNUMBER(F36)=FALSE,ISNUMBER(J36)=FALSE,ISNUMBER(N36)=FALSE,ISNUMBER(R36)=FALSE,IF(ISNUMBER(F36)=TRUE,F36=INT(F36*10)/10=FALSE),IF(ISNUMBER(J36)=TRUE,J36=INT(J36*10)/10=FALSE),IF(ISNUMBER(N36)=TRUE,N36=INT(N36*10)/10=FALSE),IF(ISNUMBER(R36)=TRUE,R36=INT(R36*10)/10=FALSE)),"Error","")</f>
        <v/>
      </c>
    </row>
    <row r="37" spans="2:24" s="103" customFormat="1" x14ac:dyDescent="0.25">
      <c r="B37" s="60" t="s">
        <v>365</v>
      </c>
      <c r="C37" s="94" t="s">
        <v>26</v>
      </c>
      <c r="D37" s="104" t="str">
        <f>IFERROR(IF(VLOOKUP(C37,Overview!$B$30:$E$84,2,FALSE)=0,"",VLOOKUP(C37,Overview!$B$30:$E$84,2,FALSE)),"")</f>
        <v>Osh Technological University</v>
      </c>
      <c r="E37" s="104" t="str">
        <f>IFERROR(IF(OR(VLOOKUP(C37,Overview!$B$30:$E$84,4,FALSE)="Country not found",VLOOKUP(C37,Overview!$B$30:$E$84,3,FALSE)=0),"",VLOOKUP(C37,Overview!$B$30:$E$84,3,FALSE)),"")</f>
        <v>Kyrgyzstan</v>
      </c>
      <c r="F37" s="96">
        <v>19</v>
      </c>
      <c r="G37" s="97">
        <f t="shared" si="50"/>
        <v>19</v>
      </c>
      <c r="H37" s="98">
        <f>IF(X37="Error",0,VLOOKUP(E37,Rates!$B$5:$H$105,4,FALSE))</f>
        <v>47</v>
      </c>
      <c r="I37" s="99">
        <f t="shared" si="51"/>
        <v>893</v>
      </c>
      <c r="J37" s="96">
        <v>35</v>
      </c>
      <c r="K37" s="97">
        <f t="shared" si="52"/>
        <v>35</v>
      </c>
      <c r="L37" s="98">
        <f>IF(X37="Error",0,VLOOKUP(E37,Rates!$B$5:$H$105,5,FALSE))</f>
        <v>33</v>
      </c>
      <c r="M37" s="99">
        <f t="shared" si="53"/>
        <v>1155</v>
      </c>
      <c r="N37" s="96">
        <v>0</v>
      </c>
      <c r="O37" s="97">
        <f t="shared" si="54"/>
        <v>0</v>
      </c>
      <c r="P37" s="98">
        <f>IF(X37="Error",0,VLOOKUP(E37,Rates!$B$5:$H$105,6,FALSE))</f>
        <v>22</v>
      </c>
      <c r="Q37" s="99">
        <f t="shared" si="55"/>
        <v>0</v>
      </c>
      <c r="R37" s="96">
        <v>0</v>
      </c>
      <c r="S37" s="97">
        <f t="shared" si="56"/>
        <v>0</v>
      </c>
      <c r="T37" s="98">
        <f>IF(X37="Error",0,VLOOKUP(E37,Rates!$B$5:$H$105,7,FALSE))</f>
        <v>17</v>
      </c>
      <c r="U37" s="99">
        <f t="shared" si="57"/>
        <v>0</v>
      </c>
      <c r="V37" s="100">
        <f t="shared" si="58"/>
        <v>54</v>
      </c>
      <c r="W37" s="101">
        <f t="shared" si="59"/>
        <v>2048</v>
      </c>
      <c r="X37" s="102" t="str">
        <f>IF(OR(COUNTIF(Rates!$J$13:$J$17,B37)=0,COUNTIF(Overview!$B$30:$B$84,C37)=0,D37="",E37="",ISNUMBER(F37)=FALSE,ISNUMBER(J37)=FALSE,ISNUMBER(N37)=FALSE,ISNUMBER(R37)=FALSE,IF(ISNUMBER(F37)=TRUE,F37=INT(F37*10)/10=FALSE),IF(ISNUMBER(J37)=TRUE,J37=INT(J37*10)/10=FALSE),IF(ISNUMBER(N37)=TRUE,N37=INT(N37*10)/10=FALSE),IF(ISNUMBER(R37)=TRUE,R37=INT(R37*10)/10=FALSE)),"Error","")</f>
        <v/>
      </c>
    </row>
    <row r="38" spans="2:24" s="103" customFormat="1" x14ac:dyDescent="0.25">
      <c r="B38" s="60" t="s">
        <v>365</v>
      </c>
      <c r="C38" s="94" t="s">
        <v>30</v>
      </c>
      <c r="D38" s="104" t="str">
        <f>IFERROR(IF(VLOOKUP(C38,Overview!$B$30:$E$84,2,FALSE)=0,"",VLOOKUP(C38,Overview!$B$30:$E$84,2,FALSE)),"")</f>
        <v>Tajik Pedagogical University</v>
      </c>
      <c r="E38" s="104" t="str">
        <f>IFERROR(IF(OR(VLOOKUP(C38,Overview!$B$30:$E$84,4,FALSE)="Country not found",VLOOKUP(C38,Overview!$B$30:$E$84,3,FALSE)=0),"",VLOOKUP(C38,Overview!$B$30:$E$84,3,FALSE)),"")</f>
        <v>Tajikistan</v>
      </c>
      <c r="F38" s="96">
        <v>20</v>
      </c>
      <c r="G38" s="97">
        <f t="shared" si="50"/>
        <v>20</v>
      </c>
      <c r="H38" s="98">
        <f>IF(X38="Error",0,VLOOKUP(E38,Rates!$B$5:$H$105,4,FALSE))</f>
        <v>47</v>
      </c>
      <c r="I38" s="99">
        <f t="shared" si="51"/>
        <v>940</v>
      </c>
      <c r="J38" s="96">
        <v>34</v>
      </c>
      <c r="K38" s="97">
        <f t="shared" si="52"/>
        <v>34</v>
      </c>
      <c r="L38" s="98">
        <f>IF(X38="Error",0,VLOOKUP(E38,Rates!$B$5:$H$105,5,FALSE))</f>
        <v>33</v>
      </c>
      <c r="M38" s="99">
        <f t="shared" si="53"/>
        <v>1122</v>
      </c>
      <c r="N38" s="96">
        <v>0</v>
      </c>
      <c r="O38" s="97">
        <f t="shared" si="54"/>
        <v>0</v>
      </c>
      <c r="P38" s="98">
        <f>IF(X38="Error",0,VLOOKUP(E38,Rates!$B$5:$H$105,6,FALSE))</f>
        <v>22</v>
      </c>
      <c r="Q38" s="99">
        <f t="shared" si="55"/>
        <v>0</v>
      </c>
      <c r="R38" s="96">
        <v>0</v>
      </c>
      <c r="S38" s="97">
        <f t="shared" si="56"/>
        <v>0</v>
      </c>
      <c r="T38" s="98">
        <f>IF(X38="Error",0,VLOOKUP(E38,Rates!$B$5:$H$105,7,FALSE))</f>
        <v>17</v>
      </c>
      <c r="U38" s="99">
        <f t="shared" si="57"/>
        <v>0</v>
      </c>
      <c r="V38" s="100">
        <f t="shared" si="58"/>
        <v>54</v>
      </c>
      <c r="W38" s="101">
        <f t="shared" si="59"/>
        <v>2062</v>
      </c>
      <c r="X38" s="102" t="str">
        <f>IF(OR(COUNTIF(Rates!$J$13:$J$17,B38)=0,COUNTIF(Overview!$B$30:$B$84,C38)=0,D38="",E38="",ISNUMBER(F38)=FALSE,ISNUMBER(J38)=FALSE,ISNUMBER(N38)=FALSE,ISNUMBER(R38)=FALSE,IF(ISNUMBER(F38)=TRUE,F38=INT(F38*10)/10=FALSE),IF(ISNUMBER(J38)=TRUE,J38=INT(J38*10)/10=FALSE),IF(ISNUMBER(N38)=TRUE,N38=INT(N38*10)/10=FALSE),IF(ISNUMBER(R38)=TRUE,R38=INT(R38*10)/10=FALSE)),"Error","")</f>
        <v/>
      </c>
    </row>
    <row r="39" spans="2:24" s="103" customFormat="1" x14ac:dyDescent="0.25">
      <c r="B39" s="60" t="s">
        <v>365</v>
      </c>
      <c r="C39" s="94" t="s">
        <v>126</v>
      </c>
      <c r="D39" s="104" t="str">
        <f>IFERROR(IF(VLOOKUP(C39,Overview!$B$30:$E$84,2,FALSE)=0,"",VLOOKUP(C39,Overview!$B$30:$E$84,2,FALSE)),"")</f>
        <v>Al-Farabi Kazakhstan National University</v>
      </c>
      <c r="E39" s="104" t="str">
        <f>IFERROR(IF(OR(VLOOKUP(C39,Overview!$B$30:$E$84,4,FALSE)="Country not found",VLOOKUP(C39,Overview!$B$30:$E$84,3,FALSE)=0),"",VLOOKUP(C39,Overview!$B$30:$E$84,3,FALSE)),"")</f>
        <v>Kazakhstan</v>
      </c>
      <c r="F39" s="96">
        <v>20</v>
      </c>
      <c r="G39" s="97">
        <f t="shared" si="50"/>
        <v>20</v>
      </c>
      <c r="H39" s="98">
        <f>IF(X39="Error",0,VLOOKUP(E39,Rates!$B$5:$H$105,4,FALSE))</f>
        <v>77</v>
      </c>
      <c r="I39" s="99">
        <f t="shared" si="51"/>
        <v>1540</v>
      </c>
      <c r="J39" s="96">
        <v>35</v>
      </c>
      <c r="K39" s="97">
        <f t="shared" si="52"/>
        <v>35</v>
      </c>
      <c r="L39" s="98">
        <f>IF(X39="Error",0,VLOOKUP(E39,Rates!$B$5:$H$105,5,FALSE))</f>
        <v>57</v>
      </c>
      <c r="M39" s="99">
        <f t="shared" si="53"/>
        <v>1995</v>
      </c>
      <c r="N39" s="96">
        <v>0</v>
      </c>
      <c r="O39" s="97">
        <f t="shared" si="54"/>
        <v>0</v>
      </c>
      <c r="P39" s="98">
        <f>IF(X39="Error",0,VLOOKUP(E39,Rates!$B$5:$H$105,6,FALSE))</f>
        <v>40</v>
      </c>
      <c r="Q39" s="99">
        <f t="shared" si="55"/>
        <v>0</v>
      </c>
      <c r="R39" s="96">
        <v>0</v>
      </c>
      <c r="S39" s="97">
        <f t="shared" si="56"/>
        <v>0</v>
      </c>
      <c r="T39" s="98">
        <f>IF(X39="Error",0,VLOOKUP(E39,Rates!$B$5:$H$105,7,FALSE))</f>
        <v>32</v>
      </c>
      <c r="U39" s="99">
        <f t="shared" si="57"/>
        <v>0</v>
      </c>
      <c r="V39" s="100">
        <f t="shared" si="58"/>
        <v>55</v>
      </c>
      <c r="W39" s="101">
        <f t="shared" si="59"/>
        <v>3535</v>
      </c>
      <c r="X39" s="102" t="str">
        <f>IF(OR(COUNTIF(Rates!$J$13:$J$17,B39)=0,COUNTIF(Overview!$B$30:$B$84,C39)=0,D39="",E39="",ISNUMBER(F39)=FALSE,ISNUMBER(J39)=FALSE,ISNUMBER(N39)=FALSE,ISNUMBER(R39)=FALSE,IF(ISNUMBER(F39)=TRUE,F39=INT(F39*10)/10=FALSE),IF(ISNUMBER(J39)=TRUE,J39=INT(J39*10)/10=FALSE),IF(ISNUMBER(N39)=TRUE,N39=INT(N39*10)/10=FALSE),IF(ISNUMBER(R39)=TRUE,R39=INT(R39*10)/10=FALSE)),"Error","")</f>
        <v/>
      </c>
    </row>
    <row r="40" spans="2:24" s="103" customFormat="1" x14ac:dyDescent="0.25">
      <c r="B40" s="60" t="s">
        <v>365</v>
      </c>
      <c r="C40" s="94" t="s">
        <v>16</v>
      </c>
      <c r="D40" s="104" t="str">
        <f>IFERROR(IF(VLOOKUP(C40,Overview!$B$30:$E$84,2,FALSE)=0,"",VLOOKUP(C40,Overview!$B$30:$E$84,2,FALSE)),"")</f>
        <v>Bath Spa University</v>
      </c>
      <c r="E40" s="104" t="str">
        <f>IFERROR(IF(OR(VLOOKUP(C40,Overview!$B$30:$E$84,4,FALSE)="Country not found",VLOOKUP(C40,Overview!$B$30:$E$84,3,FALSE)=0),"",VLOOKUP(C40,Overview!$B$30:$E$84,3,FALSE)),"")</f>
        <v>United Kingdom</v>
      </c>
      <c r="F40" s="96">
        <v>10</v>
      </c>
      <c r="G40" s="97">
        <f t="shared" si="50"/>
        <v>10</v>
      </c>
      <c r="H40" s="98">
        <f>IF(X40="Error",0,VLOOKUP(E40,Rates!$B$5:$H$105,4,FALSE))</f>
        <v>280</v>
      </c>
      <c r="I40" s="99">
        <f t="shared" si="51"/>
        <v>2800</v>
      </c>
      <c r="J40" s="96">
        <v>0</v>
      </c>
      <c r="K40" s="97">
        <f t="shared" si="52"/>
        <v>0</v>
      </c>
      <c r="L40" s="98">
        <f>IF(X40="Error",0,VLOOKUP(E40,Rates!$B$5:$H$105,5,FALSE))</f>
        <v>214</v>
      </c>
      <c r="M40" s="99">
        <f t="shared" si="53"/>
        <v>0</v>
      </c>
      <c r="N40" s="96">
        <v>0</v>
      </c>
      <c r="O40" s="97">
        <f t="shared" si="54"/>
        <v>0</v>
      </c>
      <c r="P40" s="98">
        <f>IF(X40="Error",0,VLOOKUP(E40,Rates!$B$5:$H$105,6,FALSE))</f>
        <v>162</v>
      </c>
      <c r="Q40" s="99">
        <f t="shared" si="55"/>
        <v>0</v>
      </c>
      <c r="R40" s="96">
        <v>10</v>
      </c>
      <c r="S40" s="97">
        <f t="shared" si="56"/>
        <v>10</v>
      </c>
      <c r="T40" s="98">
        <f>IF(X40="Error",0,VLOOKUP(E40,Rates!$B$5:$H$105,7,FALSE))</f>
        <v>131</v>
      </c>
      <c r="U40" s="99">
        <f t="shared" si="57"/>
        <v>1310</v>
      </c>
      <c r="V40" s="100">
        <f t="shared" si="58"/>
        <v>20</v>
      </c>
      <c r="W40" s="101">
        <f t="shared" si="59"/>
        <v>4110</v>
      </c>
      <c r="X40" s="102" t="str">
        <f>IF(OR(COUNTIF(Rates!$J$13:$J$17,B40)=0,COUNTIF(Overview!$B$30:$B$84,C40)=0,D40="",E40="",ISNUMBER(F40)=FALSE,ISNUMBER(J40)=FALSE,ISNUMBER(N40)=FALSE,ISNUMBER(R40)=FALSE,IF(ISNUMBER(F40)=TRUE,F40=INT(F40*10)/10=FALSE),IF(ISNUMBER(J40)=TRUE,J40=INT(J40*10)/10=FALSE),IF(ISNUMBER(N40)=TRUE,N40=INT(N40*10)/10=FALSE),IF(ISNUMBER(R40)=TRUE,R40=INT(R40*10)/10=FALSE)),"Error","")</f>
        <v/>
      </c>
    </row>
    <row r="41" spans="2:24" s="103" customFormat="1" x14ac:dyDescent="0.25">
      <c r="B41" s="60" t="s">
        <v>365</v>
      </c>
      <c r="C41" s="94" t="s">
        <v>15</v>
      </c>
      <c r="D41" s="104" t="str">
        <f>IFERROR(IF(VLOOKUP(C41,Overview!$B$30:$E$84,2,FALSE)=0,"",VLOOKUP(C41,Overview!$B$30:$E$84,2,FALSE)),"")</f>
        <v>University of Patras</v>
      </c>
      <c r="E41" s="104" t="str">
        <f>IFERROR(IF(OR(VLOOKUP(C41,Overview!$B$30:$E$84,4,FALSE)="Country not found",VLOOKUP(C41,Overview!$B$30:$E$84,3,FALSE)=0),"",VLOOKUP(C41,Overview!$B$30:$E$84,3,FALSE)),"")</f>
        <v>Greece</v>
      </c>
      <c r="F41" s="96">
        <v>50</v>
      </c>
      <c r="G41" s="97">
        <f t="shared" si="50"/>
        <v>50</v>
      </c>
      <c r="H41" s="98">
        <f>IF(X41="Error",0,VLOOKUP(E41,Rates!$B$5:$H$105,4,FALSE))</f>
        <v>164</v>
      </c>
      <c r="I41" s="99">
        <f t="shared" si="51"/>
        <v>8200</v>
      </c>
      <c r="J41" s="96">
        <v>0</v>
      </c>
      <c r="K41" s="97">
        <f t="shared" si="52"/>
        <v>0</v>
      </c>
      <c r="L41" s="98">
        <f>IF(X41="Error",0,VLOOKUP(E41,Rates!$B$5:$H$105,5,FALSE))</f>
        <v>137</v>
      </c>
      <c r="M41" s="99">
        <f t="shared" si="53"/>
        <v>0</v>
      </c>
      <c r="N41" s="96">
        <v>0</v>
      </c>
      <c r="O41" s="97">
        <f t="shared" si="54"/>
        <v>0</v>
      </c>
      <c r="P41" s="98">
        <f>IF(X41="Error",0,VLOOKUP(E41,Rates!$B$5:$H$105,6,FALSE))</f>
        <v>102</v>
      </c>
      <c r="Q41" s="99">
        <f t="shared" si="55"/>
        <v>0</v>
      </c>
      <c r="R41" s="96">
        <v>0</v>
      </c>
      <c r="S41" s="97">
        <f t="shared" si="56"/>
        <v>0</v>
      </c>
      <c r="T41" s="98">
        <f>IF(X41="Error",0,VLOOKUP(E41,Rates!$B$5:$H$105,7,FALSE))</f>
        <v>78</v>
      </c>
      <c r="U41" s="99">
        <f t="shared" si="57"/>
        <v>0</v>
      </c>
      <c r="V41" s="100">
        <f t="shared" si="58"/>
        <v>50</v>
      </c>
      <c r="W41" s="101">
        <f t="shared" si="59"/>
        <v>8200</v>
      </c>
      <c r="X41" s="102" t="str">
        <f>IF(OR(COUNTIF(Rates!$J$13:$J$17,B41)=0,COUNTIF(Overview!$B$30:$B$84,C41)=0,D41="",E41="",ISNUMBER(F41)=FALSE,ISNUMBER(J41)=FALSE,ISNUMBER(N41)=FALSE,ISNUMBER(R41)=FALSE,IF(ISNUMBER(F41)=TRUE,F41=INT(F41*10)/10=FALSE),IF(ISNUMBER(J41)=TRUE,J41=INT(J41*10)/10=FALSE),IF(ISNUMBER(N41)=TRUE,N41=INT(N41*10)/10=FALSE),IF(ISNUMBER(R41)=TRUE,R41=INT(R41*10)/10=FALSE)),"Error","")</f>
        <v/>
      </c>
    </row>
    <row r="42" spans="2:24" s="103" customFormat="1" x14ac:dyDescent="0.25">
      <c r="B42" s="60" t="s">
        <v>365</v>
      </c>
      <c r="C42" s="94" t="s">
        <v>20</v>
      </c>
      <c r="D42" s="104" t="str">
        <f>IFERROR(IF(VLOOKUP(C42,Overview!$B$30:$E$84,2,FALSE)=0,"",VLOOKUP(C42,Overview!$B$30:$E$84,2,FALSE)),"")</f>
        <v>Tashkent State Technical University</v>
      </c>
      <c r="E42" s="104" t="str">
        <f>IFERROR(IF(OR(VLOOKUP(C42,Overview!$B$30:$E$84,4,FALSE)="Country not found",VLOOKUP(C42,Overview!$B$30:$E$84,3,FALSE)=0),"",VLOOKUP(C42,Overview!$B$30:$E$84,3,FALSE)),"")</f>
        <v>Uzbekistan</v>
      </c>
      <c r="F42" s="96">
        <v>25</v>
      </c>
      <c r="G42" s="97">
        <f t="shared" si="50"/>
        <v>25</v>
      </c>
      <c r="H42" s="98">
        <f>IF(X42="Error",0,VLOOKUP(E42,Rates!$B$5:$H$105,4,FALSE))</f>
        <v>47</v>
      </c>
      <c r="I42" s="99">
        <f t="shared" si="51"/>
        <v>1175</v>
      </c>
      <c r="J42" s="96">
        <v>0</v>
      </c>
      <c r="K42" s="97">
        <f t="shared" si="52"/>
        <v>0</v>
      </c>
      <c r="L42" s="98">
        <f>IF(X42="Error",0,VLOOKUP(E42,Rates!$B$5:$H$105,5,FALSE))</f>
        <v>33</v>
      </c>
      <c r="M42" s="99">
        <f t="shared" si="53"/>
        <v>0</v>
      </c>
      <c r="N42" s="96">
        <v>0</v>
      </c>
      <c r="O42" s="97">
        <f t="shared" si="54"/>
        <v>0</v>
      </c>
      <c r="P42" s="98">
        <f>IF(X42="Error",0,VLOOKUP(E42,Rates!$B$5:$H$105,6,FALSE))</f>
        <v>22</v>
      </c>
      <c r="Q42" s="99">
        <f t="shared" si="55"/>
        <v>0</v>
      </c>
      <c r="R42" s="96">
        <v>0</v>
      </c>
      <c r="S42" s="97">
        <f t="shared" si="56"/>
        <v>0</v>
      </c>
      <c r="T42" s="98">
        <f>IF(X42="Error",0,VLOOKUP(E42,Rates!$B$5:$H$105,7,FALSE))</f>
        <v>17</v>
      </c>
      <c r="U42" s="99">
        <f t="shared" si="57"/>
        <v>0</v>
      </c>
      <c r="V42" s="100">
        <f t="shared" si="58"/>
        <v>25</v>
      </c>
      <c r="W42" s="101">
        <f t="shared" si="59"/>
        <v>1175</v>
      </c>
      <c r="X42" s="102" t="str">
        <f>IF(OR(COUNTIF(Rates!$J$13:$J$17,B42)=0,COUNTIF(Overview!$B$30:$B$84,C42)=0,D42="",E42="",ISNUMBER(F42)=FALSE,ISNUMBER(J42)=FALSE,ISNUMBER(N42)=FALSE,ISNUMBER(R42)=FALSE,IF(ISNUMBER(F42)=TRUE,F42=INT(F42*10)/10=FALSE),IF(ISNUMBER(J42)=TRUE,J42=INT(J42*10)/10=FALSE),IF(ISNUMBER(N42)=TRUE,N42=INT(N42*10)/10=FALSE),IF(ISNUMBER(R42)=TRUE,R42=INT(R42*10)/10=FALSE)),"Error","")</f>
        <v/>
      </c>
    </row>
    <row r="43" spans="2:24" s="103" customFormat="1" x14ac:dyDescent="0.25">
      <c r="B43" s="60" t="s">
        <v>365</v>
      </c>
      <c r="C43" s="94" t="s">
        <v>21</v>
      </c>
      <c r="D43" s="104" t="str">
        <f>IFERROR(IF(VLOOKUP(C43,Overview!$B$30:$E$84,2,FALSE)=0,"",VLOOKUP(C43,Overview!$B$30:$E$84,2,FALSE)),"")</f>
        <v>National University of Uzbekistan</v>
      </c>
      <c r="E43" s="104" t="str">
        <f>IFERROR(IF(OR(VLOOKUP(C43,Overview!$B$30:$E$84,4,FALSE)="Country not found",VLOOKUP(C43,Overview!$B$30:$E$84,3,FALSE)=0),"",VLOOKUP(C43,Overview!$B$30:$E$84,3,FALSE)),"")</f>
        <v>Uzbekistan</v>
      </c>
      <c r="F43" s="96">
        <v>10</v>
      </c>
      <c r="G43" s="97">
        <f t="shared" si="50"/>
        <v>10</v>
      </c>
      <c r="H43" s="98">
        <f>IF(X43="Error",0,VLOOKUP(E43,Rates!$B$5:$H$105,4,FALSE))</f>
        <v>47</v>
      </c>
      <c r="I43" s="99">
        <f t="shared" si="51"/>
        <v>470</v>
      </c>
      <c r="J43" s="96">
        <v>0</v>
      </c>
      <c r="K43" s="97">
        <f t="shared" si="52"/>
        <v>0</v>
      </c>
      <c r="L43" s="98">
        <f>IF(X43="Error",0,VLOOKUP(E43,Rates!$B$5:$H$105,5,FALSE))</f>
        <v>33</v>
      </c>
      <c r="M43" s="99">
        <f t="shared" si="53"/>
        <v>0</v>
      </c>
      <c r="N43" s="96">
        <v>0</v>
      </c>
      <c r="O43" s="97">
        <f t="shared" si="54"/>
        <v>0</v>
      </c>
      <c r="P43" s="98">
        <f>IF(X43="Error",0,VLOOKUP(E43,Rates!$B$5:$H$105,6,FALSE))</f>
        <v>22</v>
      </c>
      <c r="Q43" s="99">
        <f t="shared" si="55"/>
        <v>0</v>
      </c>
      <c r="R43" s="96">
        <v>0</v>
      </c>
      <c r="S43" s="97">
        <f t="shared" si="56"/>
        <v>0</v>
      </c>
      <c r="T43" s="98">
        <f>IF(X43="Error",0,VLOOKUP(E43,Rates!$B$5:$H$105,7,FALSE))</f>
        <v>17</v>
      </c>
      <c r="U43" s="99">
        <f t="shared" si="57"/>
        <v>0</v>
      </c>
      <c r="V43" s="100">
        <f t="shared" si="58"/>
        <v>10</v>
      </c>
      <c r="W43" s="101">
        <f t="shared" si="59"/>
        <v>470</v>
      </c>
      <c r="X43" s="102" t="str">
        <f>IF(OR(COUNTIF(Rates!$J$13:$J$17,B43)=0,COUNTIF(Overview!$B$30:$B$84,C43)=0,D43="",E43="",ISNUMBER(F43)=FALSE,ISNUMBER(J43)=FALSE,ISNUMBER(N43)=FALSE,ISNUMBER(R43)=FALSE,IF(ISNUMBER(F43)=TRUE,F43=INT(F43*10)/10=FALSE),IF(ISNUMBER(J43)=TRUE,J43=INT(J43*10)/10=FALSE),IF(ISNUMBER(N43)=TRUE,N43=INT(N43*10)/10=FALSE),IF(ISNUMBER(R43)=TRUE,R43=INT(R43*10)/10=FALSE)),"Error","")</f>
        <v/>
      </c>
    </row>
    <row r="44" spans="2:24" s="103" customFormat="1" x14ac:dyDescent="0.25">
      <c r="B44" s="60" t="s">
        <v>365</v>
      </c>
      <c r="C44" s="94" t="s">
        <v>24</v>
      </c>
      <c r="D44" s="104" t="str">
        <f>IFERROR(IF(VLOOKUP(C44,Overview!$B$30:$E$84,2,FALSE)=0,"",VLOOKUP(C44,Overview!$B$30:$E$84,2,FALSE)),"")</f>
        <v>Kyrgyz State Technical University</v>
      </c>
      <c r="E44" s="104" t="str">
        <f>IFERROR(IF(OR(VLOOKUP(C44,Overview!$B$30:$E$84,4,FALSE)="Country not found",VLOOKUP(C44,Overview!$B$30:$E$84,3,FALSE)=0),"",VLOOKUP(C44,Overview!$B$30:$E$84,3,FALSE)),"")</f>
        <v>Kyrgyzstan</v>
      </c>
      <c r="F44" s="96">
        <v>10</v>
      </c>
      <c r="G44" s="97">
        <f t="shared" si="50"/>
        <v>10</v>
      </c>
      <c r="H44" s="98">
        <f>IF(X44="Error",0,VLOOKUP(E44,Rates!$B$5:$H$105,4,FALSE))</f>
        <v>47</v>
      </c>
      <c r="I44" s="99">
        <f t="shared" si="51"/>
        <v>470</v>
      </c>
      <c r="J44" s="96">
        <v>0</v>
      </c>
      <c r="K44" s="97">
        <f t="shared" si="52"/>
        <v>0</v>
      </c>
      <c r="L44" s="98">
        <f>IF(X44="Error",0,VLOOKUP(E44,Rates!$B$5:$H$105,5,FALSE))</f>
        <v>33</v>
      </c>
      <c r="M44" s="99">
        <f t="shared" si="53"/>
        <v>0</v>
      </c>
      <c r="N44" s="96">
        <v>0</v>
      </c>
      <c r="O44" s="97">
        <f t="shared" si="54"/>
        <v>0</v>
      </c>
      <c r="P44" s="98">
        <f>IF(X44="Error",0,VLOOKUP(E44,Rates!$B$5:$H$105,6,FALSE))</f>
        <v>22</v>
      </c>
      <c r="Q44" s="99">
        <f t="shared" si="55"/>
        <v>0</v>
      </c>
      <c r="R44" s="96">
        <v>0</v>
      </c>
      <c r="S44" s="97">
        <f t="shared" si="56"/>
        <v>0</v>
      </c>
      <c r="T44" s="98">
        <f>IF(X44="Error",0,VLOOKUP(E44,Rates!$B$5:$H$105,7,FALSE))</f>
        <v>17</v>
      </c>
      <c r="U44" s="99">
        <f t="shared" si="57"/>
        <v>0</v>
      </c>
      <c r="V44" s="100">
        <f t="shared" si="58"/>
        <v>10</v>
      </c>
      <c r="W44" s="101">
        <f t="shared" si="59"/>
        <v>470</v>
      </c>
      <c r="X44" s="102" t="str">
        <f>IF(OR(COUNTIF(Rates!$J$13:$J$17,B44)=0,COUNTIF(Overview!$B$30:$B$84,C44)=0,D44="",E44="",ISNUMBER(F44)=FALSE,ISNUMBER(J44)=FALSE,ISNUMBER(N44)=FALSE,ISNUMBER(R44)=FALSE,IF(ISNUMBER(F44)=TRUE,F44=INT(F44*10)/10=FALSE),IF(ISNUMBER(J44)=TRUE,J44=INT(J44*10)/10=FALSE),IF(ISNUMBER(N44)=TRUE,N44=INT(N44*10)/10=FALSE),IF(ISNUMBER(R44)=TRUE,R44=INT(R44*10)/10=FALSE)),"Error","")</f>
        <v/>
      </c>
    </row>
    <row r="45" spans="2:24" s="103" customFormat="1" x14ac:dyDescent="0.25">
      <c r="B45" s="60" t="s">
        <v>365</v>
      </c>
      <c r="C45" s="94" t="s">
        <v>25</v>
      </c>
      <c r="D45" s="104" t="str">
        <f>IFERROR(IF(VLOOKUP(C45,Overview!$B$30:$E$84,2,FALSE)=0,"",VLOOKUP(C45,Overview!$B$30:$E$84,2,FALSE)),"")</f>
        <v>Bishkek Academy of Finance and Economics</v>
      </c>
      <c r="E45" s="104" t="str">
        <f>IFERROR(IF(OR(VLOOKUP(C45,Overview!$B$30:$E$84,4,FALSE)="Country not found",VLOOKUP(C45,Overview!$B$30:$E$84,3,FALSE)=0),"",VLOOKUP(C45,Overview!$B$30:$E$84,3,FALSE)),"")</f>
        <v>Kyrgyzstan</v>
      </c>
      <c r="F45" s="96">
        <v>30</v>
      </c>
      <c r="G45" s="97">
        <f t="shared" si="50"/>
        <v>30</v>
      </c>
      <c r="H45" s="98">
        <f>IF(X45="Error",0,VLOOKUP(E45,Rates!$B$5:$H$105,4,FALSE))</f>
        <v>47</v>
      </c>
      <c r="I45" s="99">
        <f t="shared" si="51"/>
        <v>1410</v>
      </c>
      <c r="J45" s="96">
        <v>0</v>
      </c>
      <c r="K45" s="97">
        <f t="shared" si="52"/>
        <v>0</v>
      </c>
      <c r="L45" s="98">
        <f>IF(X45="Error",0,VLOOKUP(E45,Rates!$B$5:$H$105,5,FALSE))</f>
        <v>33</v>
      </c>
      <c r="M45" s="99">
        <f t="shared" si="53"/>
        <v>0</v>
      </c>
      <c r="N45" s="96">
        <v>0</v>
      </c>
      <c r="O45" s="97">
        <f t="shared" si="54"/>
        <v>0</v>
      </c>
      <c r="P45" s="98">
        <f>IF(X45="Error",0,VLOOKUP(E45,Rates!$B$5:$H$105,6,FALSE))</f>
        <v>22</v>
      </c>
      <c r="Q45" s="99">
        <f t="shared" si="55"/>
        <v>0</v>
      </c>
      <c r="R45" s="96">
        <v>0</v>
      </c>
      <c r="S45" s="97">
        <f t="shared" si="56"/>
        <v>0</v>
      </c>
      <c r="T45" s="98">
        <f>IF(X45="Error",0,VLOOKUP(E45,Rates!$B$5:$H$105,7,FALSE))</f>
        <v>17</v>
      </c>
      <c r="U45" s="99">
        <f t="shared" si="57"/>
        <v>0</v>
      </c>
      <c r="V45" s="100">
        <f t="shared" si="58"/>
        <v>30</v>
      </c>
      <c r="W45" s="101">
        <f t="shared" si="59"/>
        <v>1410</v>
      </c>
      <c r="X45" s="102" t="str">
        <f>IF(OR(COUNTIF(Rates!$J$13:$J$17,B45)=0,COUNTIF(Overview!$B$30:$B$84,C45)=0,D45="",E45="",ISNUMBER(F45)=FALSE,ISNUMBER(J45)=FALSE,ISNUMBER(N45)=FALSE,ISNUMBER(R45)=FALSE,IF(ISNUMBER(F45)=TRUE,F45=INT(F45*10)/10=FALSE),IF(ISNUMBER(J45)=TRUE,J45=INT(J45*10)/10=FALSE),IF(ISNUMBER(N45)=TRUE,N45=INT(N45*10)/10=FALSE),IF(ISNUMBER(R45)=TRUE,R45=INT(R45*10)/10=FALSE)),"Error","")</f>
        <v/>
      </c>
    </row>
    <row r="46" spans="2:24" s="103" customFormat="1" x14ac:dyDescent="0.25">
      <c r="B46" s="60" t="s">
        <v>365</v>
      </c>
      <c r="C46" s="94" t="s">
        <v>26</v>
      </c>
      <c r="D46" s="104" t="str">
        <f>IFERROR(IF(VLOOKUP(C46,Overview!$B$30:$E$84,2,FALSE)=0,"",VLOOKUP(C46,Overview!$B$30:$E$84,2,FALSE)),"")</f>
        <v>Osh Technological University</v>
      </c>
      <c r="E46" s="104" t="str">
        <f>IFERROR(IF(OR(VLOOKUP(C46,Overview!$B$30:$E$84,4,FALSE)="Country not found",VLOOKUP(C46,Overview!$B$30:$E$84,3,FALSE)=0),"",VLOOKUP(C46,Overview!$B$30:$E$84,3,FALSE)),"")</f>
        <v>Kyrgyzstan</v>
      </c>
      <c r="F46" s="96">
        <v>10</v>
      </c>
      <c r="G46" s="97">
        <f t="shared" si="50"/>
        <v>10</v>
      </c>
      <c r="H46" s="98">
        <f>IF(X46="Error",0,VLOOKUP(E46,Rates!$B$5:$H$105,4,FALSE))</f>
        <v>47</v>
      </c>
      <c r="I46" s="99">
        <f t="shared" si="51"/>
        <v>470</v>
      </c>
      <c r="J46" s="96">
        <v>0</v>
      </c>
      <c r="K46" s="97">
        <f t="shared" si="52"/>
        <v>0</v>
      </c>
      <c r="L46" s="98">
        <f>IF(X46="Error",0,VLOOKUP(E46,Rates!$B$5:$H$105,5,FALSE))</f>
        <v>33</v>
      </c>
      <c r="M46" s="99">
        <f t="shared" si="53"/>
        <v>0</v>
      </c>
      <c r="N46" s="96">
        <v>0</v>
      </c>
      <c r="O46" s="97">
        <f t="shared" si="54"/>
        <v>0</v>
      </c>
      <c r="P46" s="98">
        <f>IF(X46="Error",0,VLOOKUP(E46,Rates!$B$5:$H$105,6,FALSE))</f>
        <v>22</v>
      </c>
      <c r="Q46" s="99">
        <f t="shared" si="55"/>
        <v>0</v>
      </c>
      <c r="R46" s="96">
        <v>0</v>
      </c>
      <c r="S46" s="97">
        <f t="shared" si="56"/>
        <v>0</v>
      </c>
      <c r="T46" s="98">
        <f>IF(X46="Error",0,VLOOKUP(E46,Rates!$B$5:$H$105,7,FALSE))</f>
        <v>17</v>
      </c>
      <c r="U46" s="99">
        <f t="shared" si="57"/>
        <v>0</v>
      </c>
      <c r="V46" s="100">
        <f t="shared" si="58"/>
        <v>10</v>
      </c>
      <c r="W46" s="101">
        <f t="shared" si="59"/>
        <v>470</v>
      </c>
      <c r="X46" s="102" t="str">
        <f>IF(OR(COUNTIF(Rates!$J$13:$J$17,B46)=0,COUNTIF(Overview!$B$30:$B$84,C46)=0,D46="",E46="",ISNUMBER(F46)=FALSE,ISNUMBER(J46)=FALSE,ISNUMBER(N46)=FALSE,ISNUMBER(R46)=FALSE,IF(ISNUMBER(F46)=TRUE,F46=INT(F46*10)/10=FALSE),IF(ISNUMBER(J46)=TRUE,J46=INT(J46*10)/10=FALSE),IF(ISNUMBER(N46)=TRUE,N46=INT(N46*10)/10=FALSE),IF(ISNUMBER(R46)=TRUE,R46=INT(R46*10)/10=FALSE)),"Error","")</f>
        <v/>
      </c>
    </row>
    <row r="47" spans="2:24" s="103" customFormat="1" x14ac:dyDescent="0.25">
      <c r="B47" s="60" t="s">
        <v>365</v>
      </c>
      <c r="C47" s="94" t="s">
        <v>28</v>
      </c>
      <c r="D47" s="104" t="str">
        <f>IFERROR(IF(VLOOKUP(C47,Overview!$B$30:$E$84,2,FALSE)=0,"",VLOOKUP(C47,Overview!$B$30:$E$84,2,FALSE)),"")</f>
        <v>Khujand State University</v>
      </c>
      <c r="E47" s="104" t="str">
        <f>IFERROR(IF(OR(VLOOKUP(C47,Overview!$B$30:$E$84,4,FALSE)="Country not found",VLOOKUP(C47,Overview!$B$30:$E$84,3,FALSE)=0),"",VLOOKUP(C47,Overview!$B$30:$E$84,3,FALSE)),"")</f>
        <v>Tajikistan</v>
      </c>
      <c r="F47" s="96">
        <v>30</v>
      </c>
      <c r="G47" s="97">
        <f t="shared" si="50"/>
        <v>30</v>
      </c>
      <c r="H47" s="98">
        <f>IF(X47="Error",0,VLOOKUP(E47,Rates!$B$5:$H$105,4,FALSE))</f>
        <v>47</v>
      </c>
      <c r="I47" s="99">
        <f t="shared" si="51"/>
        <v>1410</v>
      </c>
      <c r="J47" s="96">
        <v>0</v>
      </c>
      <c r="K47" s="97">
        <f t="shared" si="52"/>
        <v>0</v>
      </c>
      <c r="L47" s="98">
        <f>IF(X47="Error",0,VLOOKUP(E47,Rates!$B$5:$H$105,5,FALSE))</f>
        <v>33</v>
      </c>
      <c r="M47" s="99">
        <f t="shared" si="53"/>
        <v>0</v>
      </c>
      <c r="N47" s="96">
        <v>0</v>
      </c>
      <c r="O47" s="97">
        <f t="shared" si="54"/>
        <v>0</v>
      </c>
      <c r="P47" s="98">
        <f>IF(X47="Error",0,VLOOKUP(E47,Rates!$B$5:$H$105,6,FALSE))</f>
        <v>22</v>
      </c>
      <c r="Q47" s="99">
        <f t="shared" si="55"/>
        <v>0</v>
      </c>
      <c r="R47" s="96">
        <v>0</v>
      </c>
      <c r="S47" s="97">
        <f t="shared" si="56"/>
        <v>0</v>
      </c>
      <c r="T47" s="98">
        <f>IF(X47="Error",0,VLOOKUP(E47,Rates!$B$5:$H$105,7,FALSE))</f>
        <v>17</v>
      </c>
      <c r="U47" s="99">
        <f t="shared" si="57"/>
        <v>0</v>
      </c>
      <c r="V47" s="100">
        <f t="shared" si="58"/>
        <v>30</v>
      </c>
      <c r="W47" s="101">
        <f t="shared" si="59"/>
        <v>1410</v>
      </c>
      <c r="X47" s="102" t="str">
        <f>IF(OR(COUNTIF(Rates!$J$13:$J$17,B47)=0,COUNTIF(Overview!$B$30:$B$84,C47)=0,D47="",E47="",ISNUMBER(F47)=FALSE,ISNUMBER(J47)=FALSE,ISNUMBER(N47)=FALSE,ISNUMBER(R47)=FALSE,IF(ISNUMBER(F47)=TRUE,F47=INT(F47*10)/10=FALSE),IF(ISNUMBER(J47)=TRUE,J47=INT(J47*10)/10=FALSE),IF(ISNUMBER(N47)=TRUE,N47=INT(N47*10)/10=FALSE),IF(ISNUMBER(R47)=TRUE,R47=INT(R47*10)/10=FALSE)),"Error","")</f>
        <v/>
      </c>
    </row>
    <row r="48" spans="2:24" s="103" customFormat="1" x14ac:dyDescent="0.25">
      <c r="B48" s="60" t="s">
        <v>365</v>
      </c>
      <c r="C48" s="94" t="s">
        <v>29</v>
      </c>
      <c r="D48" s="104" t="str">
        <f>IFERROR(IF(VLOOKUP(C48,Overview!$B$30:$E$84,2,FALSE)=0,"",VLOOKUP(C48,Overview!$B$30:$E$84,2,FALSE)),"")</f>
        <v>Khorog State University</v>
      </c>
      <c r="E48" s="104" t="str">
        <f>IFERROR(IF(OR(VLOOKUP(C48,Overview!$B$30:$E$84,4,FALSE)="Country not found",VLOOKUP(C48,Overview!$B$30:$E$84,3,FALSE)=0),"",VLOOKUP(C48,Overview!$B$30:$E$84,3,FALSE)),"")</f>
        <v>Tajikistan</v>
      </c>
      <c r="F48" s="96">
        <v>10</v>
      </c>
      <c r="G48" s="97">
        <f t="shared" si="50"/>
        <v>10</v>
      </c>
      <c r="H48" s="98">
        <f>IF(X48="Error",0,VLOOKUP(E48,Rates!$B$5:$H$105,4,FALSE))</f>
        <v>47</v>
      </c>
      <c r="I48" s="99">
        <f t="shared" si="51"/>
        <v>470</v>
      </c>
      <c r="J48" s="96">
        <v>0</v>
      </c>
      <c r="K48" s="97">
        <f t="shared" si="52"/>
        <v>0</v>
      </c>
      <c r="L48" s="98">
        <f>IF(X48="Error",0,VLOOKUP(E48,Rates!$B$5:$H$105,5,FALSE))</f>
        <v>33</v>
      </c>
      <c r="M48" s="99">
        <f t="shared" si="53"/>
        <v>0</v>
      </c>
      <c r="N48" s="96">
        <v>0</v>
      </c>
      <c r="O48" s="97">
        <f t="shared" si="54"/>
        <v>0</v>
      </c>
      <c r="P48" s="98">
        <f>IF(X48="Error",0,VLOOKUP(E48,Rates!$B$5:$H$105,6,FALSE))</f>
        <v>22</v>
      </c>
      <c r="Q48" s="99">
        <f t="shared" si="55"/>
        <v>0</v>
      </c>
      <c r="R48" s="96">
        <v>0</v>
      </c>
      <c r="S48" s="97">
        <f t="shared" si="56"/>
        <v>0</v>
      </c>
      <c r="T48" s="98">
        <f>IF(X48="Error",0,VLOOKUP(E48,Rates!$B$5:$H$105,7,FALSE))</f>
        <v>17</v>
      </c>
      <c r="U48" s="99">
        <f t="shared" si="57"/>
        <v>0</v>
      </c>
      <c r="V48" s="100">
        <f t="shared" si="58"/>
        <v>10</v>
      </c>
      <c r="W48" s="101">
        <f t="shared" si="59"/>
        <v>470</v>
      </c>
      <c r="X48" s="102" t="str">
        <f>IF(OR(COUNTIF(Rates!$J$13:$J$17,B48)=0,COUNTIF(Overview!$B$30:$B$84,C48)=0,D48="",E48="",ISNUMBER(F48)=FALSE,ISNUMBER(J48)=FALSE,ISNUMBER(N48)=FALSE,ISNUMBER(R48)=FALSE,IF(ISNUMBER(F48)=TRUE,F48=INT(F48*10)/10=FALSE),IF(ISNUMBER(J48)=TRUE,J48=INT(J48*10)/10=FALSE),IF(ISNUMBER(N48)=TRUE,N48=INT(N48*10)/10=FALSE),IF(ISNUMBER(R48)=TRUE,R48=INT(R48*10)/10=FALSE)),"Error","")</f>
        <v/>
      </c>
    </row>
    <row r="49" spans="2:24" s="103" customFormat="1" x14ac:dyDescent="0.25">
      <c r="B49" s="60" t="s">
        <v>365</v>
      </c>
      <c r="C49" s="94" t="s">
        <v>30</v>
      </c>
      <c r="D49" s="104" t="str">
        <f>IFERROR(IF(VLOOKUP(C49,Overview!$B$30:$E$84,2,FALSE)=0,"",VLOOKUP(C49,Overview!$B$30:$E$84,2,FALSE)),"")</f>
        <v>Tajik Pedagogical University</v>
      </c>
      <c r="E49" s="104" t="str">
        <f>IFERROR(IF(OR(VLOOKUP(C49,Overview!$B$30:$E$84,4,FALSE)="Country not found",VLOOKUP(C49,Overview!$B$30:$E$84,3,FALSE)=0),"",VLOOKUP(C49,Overview!$B$30:$E$84,3,FALSE)),"")</f>
        <v>Tajikistan</v>
      </c>
      <c r="F49" s="96">
        <v>10</v>
      </c>
      <c r="G49" s="97">
        <f t="shared" si="50"/>
        <v>10</v>
      </c>
      <c r="H49" s="98">
        <f>IF(X49="Error",0,VLOOKUP(E49,Rates!$B$5:$H$105,4,FALSE))</f>
        <v>47</v>
      </c>
      <c r="I49" s="99">
        <f t="shared" si="51"/>
        <v>470</v>
      </c>
      <c r="J49" s="96">
        <v>0</v>
      </c>
      <c r="K49" s="97">
        <f t="shared" si="52"/>
        <v>0</v>
      </c>
      <c r="L49" s="98">
        <f>IF(X49="Error",0,VLOOKUP(E49,Rates!$B$5:$H$105,5,FALSE))</f>
        <v>33</v>
      </c>
      <c r="M49" s="99">
        <f t="shared" si="53"/>
        <v>0</v>
      </c>
      <c r="N49" s="96">
        <v>0</v>
      </c>
      <c r="O49" s="97">
        <f t="shared" si="54"/>
        <v>0</v>
      </c>
      <c r="P49" s="98">
        <f>IF(X49="Error",0,VLOOKUP(E49,Rates!$B$5:$H$105,6,FALSE))</f>
        <v>22</v>
      </c>
      <c r="Q49" s="99">
        <f t="shared" si="55"/>
        <v>0</v>
      </c>
      <c r="R49" s="96">
        <v>0</v>
      </c>
      <c r="S49" s="97">
        <f t="shared" si="56"/>
        <v>0</v>
      </c>
      <c r="T49" s="98">
        <f>IF(X49="Error",0,VLOOKUP(E49,Rates!$B$5:$H$105,7,FALSE))</f>
        <v>17</v>
      </c>
      <c r="U49" s="99">
        <f t="shared" si="57"/>
        <v>0</v>
      </c>
      <c r="V49" s="100">
        <f t="shared" si="58"/>
        <v>10</v>
      </c>
      <c r="W49" s="101">
        <f t="shared" si="59"/>
        <v>470</v>
      </c>
      <c r="X49" s="102" t="str">
        <f>IF(OR(COUNTIF(Rates!$J$13:$J$17,B49)=0,COUNTIF(Overview!$B$30:$B$84,C49)=0,D49="",E49="",ISNUMBER(F49)=FALSE,ISNUMBER(J49)=FALSE,ISNUMBER(N49)=FALSE,ISNUMBER(R49)=FALSE,IF(ISNUMBER(F49)=TRUE,F49=INT(F49*10)/10=FALSE),IF(ISNUMBER(J49)=TRUE,J49=INT(J49*10)/10=FALSE),IF(ISNUMBER(N49)=TRUE,N49=INT(N49*10)/10=FALSE),IF(ISNUMBER(R49)=TRUE,R49=INT(R49*10)/10=FALSE)),"Error","")</f>
        <v/>
      </c>
    </row>
    <row r="50" spans="2:24" s="103" customFormat="1" x14ac:dyDescent="0.25">
      <c r="B50" s="60" t="s">
        <v>365</v>
      </c>
      <c r="C50" s="94" t="s">
        <v>33</v>
      </c>
      <c r="D50" s="104" t="str">
        <f>IFERROR(IF(VLOOKUP(C50,Overview!$B$30:$E$84,2,FALSE)=0,"",VLOOKUP(C50,Overview!$B$30:$E$84,2,FALSE)),"")</f>
        <v>KIMEP University, JSC</v>
      </c>
      <c r="E50" s="104" t="str">
        <f>IFERROR(IF(OR(VLOOKUP(C50,Overview!$B$30:$E$84,4,FALSE)="Country not found",VLOOKUP(C50,Overview!$B$30:$E$84,3,FALSE)=0),"",VLOOKUP(C50,Overview!$B$30:$E$84,3,FALSE)),"")</f>
        <v>Kazakhstan</v>
      </c>
      <c r="F50" s="96">
        <v>10</v>
      </c>
      <c r="G50" s="97">
        <f t="shared" si="50"/>
        <v>10</v>
      </c>
      <c r="H50" s="98">
        <f>IF(X50="Error",0,VLOOKUP(E50,Rates!$B$5:$H$105,4,FALSE))</f>
        <v>77</v>
      </c>
      <c r="I50" s="99">
        <f t="shared" si="51"/>
        <v>770</v>
      </c>
      <c r="J50" s="96">
        <v>0</v>
      </c>
      <c r="K50" s="97">
        <f t="shared" si="52"/>
        <v>0</v>
      </c>
      <c r="L50" s="98">
        <f>IF(X50="Error",0,VLOOKUP(E50,Rates!$B$5:$H$105,5,FALSE))</f>
        <v>57</v>
      </c>
      <c r="M50" s="99">
        <f t="shared" si="53"/>
        <v>0</v>
      </c>
      <c r="N50" s="96">
        <v>0</v>
      </c>
      <c r="O50" s="97">
        <f t="shared" si="54"/>
        <v>0</v>
      </c>
      <c r="P50" s="98">
        <f>IF(X50="Error",0,VLOOKUP(E50,Rates!$B$5:$H$105,6,FALSE))</f>
        <v>40</v>
      </c>
      <c r="Q50" s="99">
        <f t="shared" si="55"/>
        <v>0</v>
      </c>
      <c r="R50" s="96">
        <v>0</v>
      </c>
      <c r="S50" s="97">
        <f t="shared" si="56"/>
        <v>0</v>
      </c>
      <c r="T50" s="98">
        <f>IF(X50="Error",0,VLOOKUP(E50,Rates!$B$5:$H$105,7,FALSE))</f>
        <v>32</v>
      </c>
      <c r="U50" s="99">
        <f t="shared" si="57"/>
        <v>0</v>
      </c>
      <c r="V50" s="100">
        <f t="shared" si="58"/>
        <v>10</v>
      </c>
      <c r="W50" s="101">
        <f t="shared" si="59"/>
        <v>770</v>
      </c>
      <c r="X50" s="102" t="str">
        <f>IF(OR(COUNTIF(Rates!$J$13:$J$17,B50)=0,COUNTIF(Overview!$B$30:$B$84,C50)=0,D50="",E50="",ISNUMBER(F50)=FALSE,ISNUMBER(J50)=FALSE,ISNUMBER(N50)=FALSE,ISNUMBER(R50)=FALSE,IF(ISNUMBER(F50)=TRUE,F50=INT(F50*10)/10=FALSE),IF(ISNUMBER(J50)=TRUE,J50=INT(J50*10)/10=FALSE),IF(ISNUMBER(N50)=TRUE,N50=INT(N50*10)/10=FALSE),IF(ISNUMBER(R50)=TRUE,R50=INT(R50*10)/10=FALSE)),"Error","")</f>
        <v/>
      </c>
    </row>
    <row r="51" spans="2:24" s="103" customFormat="1" x14ac:dyDescent="0.25">
      <c r="B51" s="60" t="s">
        <v>365</v>
      </c>
      <c r="C51" s="94" t="s">
        <v>127</v>
      </c>
      <c r="D51" s="104" t="str">
        <f>IFERROR(IF(VLOOKUP(C51,Overview!$B$30:$E$84,2,FALSE)=0,"",VLOOKUP(C51,Overview!$B$30:$E$84,2,FALSE)),"")</f>
        <v>Kazakhstan National Technical University</v>
      </c>
      <c r="E51" s="104" t="str">
        <f>IFERROR(IF(OR(VLOOKUP(C51,Overview!$B$30:$E$84,4,FALSE)="Country not found",VLOOKUP(C51,Overview!$B$30:$E$84,3,FALSE)=0),"",VLOOKUP(C51,Overview!$B$30:$E$84,3,FALSE)),"")</f>
        <v>Kazakhstan</v>
      </c>
      <c r="F51" s="96">
        <v>20</v>
      </c>
      <c r="G51" s="97">
        <f t="shared" si="50"/>
        <v>20</v>
      </c>
      <c r="H51" s="98">
        <f>IF(X51="Error",0,VLOOKUP(E51,Rates!$B$5:$H$105,4,FALSE))</f>
        <v>77</v>
      </c>
      <c r="I51" s="99">
        <f t="shared" si="51"/>
        <v>1540</v>
      </c>
      <c r="J51" s="96">
        <v>0</v>
      </c>
      <c r="K51" s="97">
        <f t="shared" si="52"/>
        <v>0</v>
      </c>
      <c r="L51" s="98">
        <f>IF(X51="Error",0,VLOOKUP(E51,Rates!$B$5:$H$105,5,FALSE))</f>
        <v>57</v>
      </c>
      <c r="M51" s="99">
        <f t="shared" si="53"/>
        <v>0</v>
      </c>
      <c r="N51" s="96">
        <v>0</v>
      </c>
      <c r="O51" s="97">
        <f t="shared" si="54"/>
        <v>0</v>
      </c>
      <c r="P51" s="98">
        <f>IF(X51="Error",0,VLOOKUP(E51,Rates!$B$5:$H$105,6,FALSE))</f>
        <v>40</v>
      </c>
      <c r="Q51" s="99">
        <f t="shared" si="55"/>
        <v>0</v>
      </c>
      <c r="R51" s="96">
        <v>0</v>
      </c>
      <c r="S51" s="97">
        <f t="shared" si="56"/>
        <v>0</v>
      </c>
      <c r="T51" s="98">
        <f>IF(X51="Error",0,VLOOKUP(E51,Rates!$B$5:$H$105,7,FALSE))</f>
        <v>32</v>
      </c>
      <c r="U51" s="99">
        <f t="shared" si="57"/>
        <v>0</v>
      </c>
      <c r="V51" s="100">
        <f t="shared" si="58"/>
        <v>20</v>
      </c>
      <c r="W51" s="101">
        <f t="shared" si="59"/>
        <v>1540</v>
      </c>
      <c r="X51" s="102" t="str">
        <f>IF(OR(COUNTIF(Rates!$J$13:$J$17,B51)=0,COUNTIF(Overview!$B$30:$B$84,C51)=0,D51="",E51="",ISNUMBER(F51)=FALSE,ISNUMBER(J51)=FALSE,ISNUMBER(N51)=FALSE,ISNUMBER(R51)=FALSE,IF(ISNUMBER(F51)=TRUE,F51=INT(F51*10)/10=FALSE),IF(ISNUMBER(J51)=TRUE,J51=INT(J51*10)/10=FALSE),IF(ISNUMBER(N51)=TRUE,N51=INT(N51*10)/10=FALSE),IF(ISNUMBER(R51)=TRUE,R51=INT(R51*10)/10=FALSE)),"Error","")</f>
        <v/>
      </c>
    </row>
    <row r="52" spans="2:24" s="103" customFormat="1" x14ac:dyDescent="0.25">
      <c r="B52" s="60" t="s">
        <v>365</v>
      </c>
      <c r="C52" s="94" t="s">
        <v>128</v>
      </c>
      <c r="D52" s="104" t="str">
        <f>IFERROR(IF(VLOOKUP(C52,Overview!$B$30:$E$84,2,FALSE)=0,"",VLOOKUP(C52,Overview!$B$30:$E$84,2,FALSE)),"")</f>
        <v xml:space="preserve">Zhezkazgan Baikonurov University </v>
      </c>
      <c r="E52" s="104" t="str">
        <f>IFERROR(IF(OR(VLOOKUP(C52,Overview!$B$30:$E$84,4,FALSE)="Country not found",VLOOKUP(C52,Overview!$B$30:$E$84,3,FALSE)=0),"",VLOOKUP(C52,Overview!$B$30:$E$84,3,FALSE)),"")</f>
        <v>Kazakhstan</v>
      </c>
      <c r="F52" s="96">
        <v>20</v>
      </c>
      <c r="G52" s="97">
        <f t="shared" si="50"/>
        <v>20</v>
      </c>
      <c r="H52" s="98">
        <f>IF(X52="Error",0,VLOOKUP(E52,Rates!$B$5:$H$105,4,FALSE))</f>
        <v>77</v>
      </c>
      <c r="I52" s="99">
        <f t="shared" si="51"/>
        <v>1540</v>
      </c>
      <c r="J52" s="96">
        <v>0</v>
      </c>
      <c r="K52" s="97">
        <f t="shared" si="52"/>
        <v>0</v>
      </c>
      <c r="L52" s="98">
        <f>IF(X52="Error",0,VLOOKUP(E52,Rates!$B$5:$H$105,5,FALSE))</f>
        <v>57</v>
      </c>
      <c r="M52" s="99">
        <f t="shared" si="53"/>
        <v>0</v>
      </c>
      <c r="N52" s="96">
        <v>0</v>
      </c>
      <c r="O52" s="97">
        <f t="shared" si="54"/>
        <v>0</v>
      </c>
      <c r="P52" s="98">
        <f>IF(X52="Error",0,VLOOKUP(E52,Rates!$B$5:$H$105,6,FALSE))</f>
        <v>40</v>
      </c>
      <c r="Q52" s="99">
        <f t="shared" si="55"/>
        <v>0</v>
      </c>
      <c r="R52" s="96">
        <v>0</v>
      </c>
      <c r="S52" s="97">
        <f t="shared" si="56"/>
        <v>0</v>
      </c>
      <c r="T52" s="98">
        <f>IF(X52="Error",0,VLOOKUP(E52,Rates!$B$5:$H$105,7,FALSE))</f>
        <v>32</v>
      </c>
      <c r="U52" s="99">
        <f t="shared" si="57"/>
        <v>0</v>
      </c>
      <c r="V52" s="100">
        <f t="shared" si="58"/>
        <v>20</v>
      </c>
      <c r="W52" s="101">
        <f t="shared" si="59"/>
        <v>1540</v>
      </c>
      <c r="X52" s="102" t="str">
        <f>IF(OR(COUNTIF(Rates!$J$13:$J$17,B52)=0,COUNTIF(Overview!$B$30:$B$84,C52)=0,D52="",E52="",ISNUMBER(F52)=FALSE,ISNUMBER(J52)=FALSE,ISNUMBER(N52)=FALSE,ISNUMBER(R52)=FALSE,IF(ISNUMBER(F52)=TRUE,F52=INT(F52*10)/10=FALSE),IF(ISNUMBER(J52)=TRUE,J52=INT(J52*10)/10=FALSE),IF(ISNUMBER(N52)=TRUE,N52=INT(N52*10)/10=FALSE),IF(ISNUMBER(R52)=TRUE,R52=INT(R52*10)/10=FALSE)),"Error","")</f>
        <v/>
      </c>
    </row>
    <row r="53" spans="2:24" s="103" customFormat="1" x14ac:dyDescent="0.25">
      <c r="B53" s="60" t="s">
        <v>365</v>
      </c>
      <c r="C53" s="94" t="s">
        <v>18</v>
      </c>
      <c r="D53" s="104" t="str">
        <f>IFERROR(IF(VLOOKUP(C53,Overview!$B$30:$E$84,2,FALSE)=0,"",VLOOKUP(C53,Overview!$B$30:$E$84,2,FALSE)),"")</f>
        <v>Koblenz-Landau University</v>
      </c>
      <c r="E53" s="104" t="str">
        <f>IFERROR(IF(OR(VLOOKUP(C53,Overview!$B$30:$E$84,4,FALSE)="Country not found",VLOOKUP(C53,Overview!$B$30:$E$84,3,FALSE)=0),"",VLOOKUP(C53,Overview!$B$30:$E$84,3,FALSE)),"")</f>
        <v>Germany</v>
      </c>
      <c r="F53" s="96">
        <v>15</v>
      </c>
      <c r="G53" s="97">
        <f t="shared" si="50"/>
        <v>15</v>
      </c>
      <c r="H53" s="98">
        <f>IF(X53="Error",0,VLOOKUP(E53,Rates!$B$5:$H$105,4,FALSE))</f>
        <v>280</v>
      </c>
      <c r="I53" s="99">
        <f t="shared" si="51"/>
        <v>4200</v>
      </c>
      <c r="J53" s="96">
        <v>0</v>
      </c>
      <c r="K53" s="97">
        <f t="shared" si="52"/>
        <v>0</v>
      </c>
      <c r="L53" s="98">
        <f>IF(X53="Error",0,VLOOKUP(E53,Rates!$B$5:$H$105,5,FALSE))</f>
        <v>214</v>
      </c>
      <c r="M53" s="99">
        <f t="shared" si="53"/>
        <v>0</v>
      </c>
      <c r="N53" s="96">
        <v>0</v>
      </c>
      <c r="O53" s="97">
        <f t="shared" si="54"/>
        <v>0</v>
      </c>
      <c r="P53" s="98">
        <f>IF(X53="Error",0,VLOOKUP(E53,Rates!$B$5:$H$105,6,FALSE))</f>
        <v>162</v>
      </c>
      <c r="Q53" s="99">
        <f t="shared" si="55"/>
        <v>0</v>
      </c>
      <c r="R53" s="96">
        <v>0</v>
      </c>
      <c r="S53" s="97">
        <f t="shared" si="56"/>
        <v>0</v>
      </c>
      <c r="T53" s="98">
        <f>IF(X53="Error",0,VLOOKUP(E53,Rates!$B$5:$H$105,7,FALSE))</f>
        <v>131</v>
      </c>
      <c r="U53" s="99">
        <f t="shared" si="57"/>
        <v>0</v>
      </c>
      <c r="V53" s="100">
        <f t="shared" si="58"/>
        <v>15</v>
      </c>
      <c r="W53" s="101">
        <f t="shared" si="59"/>
        <v>4200</v>
      </c>
      <c r="X53" s="102" t="str">
        <f>IF(OR(COUNTIF(Rates!$J$13:$J$17,B53)=0,COUNTIF(Overview!$B$30:$B$84,C53)=0,D53="",E53="",ISNUMBER(F53)=FALSE,ISNUMBER(J53)=FALSE,ISNUMBER(N53)=FALSE,ISNUMBER(R53)=FALSE,IF(ISNUMBER(F53)=TRUE,F53=INT(F53*10)/10=FALSE),IF(ISNUMBER(J53)=TRUE,J53=INT(J53*10)/10=FALSE),IF(ISNUMBER(N53)=TRUE,N53=INT(N53*10)/10=FALSE),IF(ISNUMBER(R53)=TRUE,R53=INT(R53*10)/10=FALSE)),"Error","")</f>
        <v/>
      </c>
    </row>
    <row r="54" spans="2:24" s="103" customFormat="1" x14ac:dyDescent="0.25">
      <c r="B54" s="60" t="s">
        <v>365</v>
      </c>
      <c r="C54" s="94" t="s">
        <v>24</v>
      </c>
      <c r="D54" s="104" t="str">
        <f>IFERROR(IF(VLOOKUP(C54,Overview!$B$30:$E$84,2,FALSE)=0,"",VLOOKUP(C54,Overview!$B$30:$E$84,2,FALSE)),"")</f>
        <v>Kyrgyz State Technical University</v>
      </c>
      <c r="E54" s="104" t="str">
        <f>IFERROR(IF(OR(VLOOKUP(C54,Overview!$B$30:$E$84,4,FALSE)="Country not found",VLOOKUP(C54,Overview!$B$30:$E$84,3,FALSE)=0),"",VLOOKUP(C54,Overview!$B$30:$E$84,3,FALSE)),"")</f>
        <v>Kyrgyzstan</v>
      </c>
      <c r="F54" s="96">
        <v>60</v>
      </c>
      <c r="G54" s="97">
        <f t="shared" si="50"/>
        <v>60</v>
      </c>
      <c r="H54" s="98">
        <f>IF(X54="Error",0,VLOOKUP(E54,Rates!$B$5:$H$105,4,FALSE))</f>
        <v>47</v>
      </c>
      <c r="I54" s="99">
        <f t="shared" si="51"/>
        <v>2820</v>
      </c>
      <c r="J54" s="96">
        <v>60</v>
      </c>
      <c r="K54" s="97">
        <f t="shared" si="52"/>
        <v>60</v>
      </c>
      <c r="L54" s="98">
        <f>IF(X54="Error",0,VLOOKUP(E54,Rates!$B$5:$H$105,5,FALSE))</f>
        <v>33</v>
      </c>
      <c r="M54" s="99">
        <f t="shared" si="53"/>
        <v>1980</v>
      </c>
      <c r="N54" s="96">
        <v>119</v>
      </c>
      <c r="O54" s="97">
        <f t="shared" si="54"/>
        <v>119</v>
      </c>
      <c r="P54" s="98">
        <f>IF(X54="Error",0,VLOOKUP(E54,Rates!$B$5:$H$105,6,FALSE))</f>
        <v>22</v>
      </c>
      <c r="Q54" s="99">
        <f t="shared" si="55"/>
        <v>2618</v>
      </c>
      <c r="R54" s="96">
        <v>0</v>
      </c>
      <c r="S54" s="97">
        <f t="shared" si="56"/>
        <v>0</v>
      </c>
      <c r="T54" s="98">
        <f>IF(X54="Error",0,VLOOKUP(E54,Rates!$B$5:$H$105,7,FALSE))</f>
        <v>17</v>
      </c>
      <c r="U54" s="99">
        <f t="shared" si="57"/>
        <v>0</v>
      </c>
      <c r="V54" s="100">
        <f t="shared" si="58"/>
        <v>239</v>
      </c>
      <c r="W54" s="101">
        <f t="shared" si="59"/>
        <v>7418</v>
      </c>
      <c r="X54" s="102" t="str">
        <f>IF(OR(COUNTIF(Rates!$J$13:$J$17,B54)=0,COUNTIF(Overview!$B$30:$B$84,C54)=0,D54="",E54="",ISNUMBER(F54)=FALSE,ISNUMBER(J54)=FALSE,ISNUMBER(N54)=FALSE,ISNUMBER(R54)=FALSE,IF(ISNUMBER(F54)=TRUE,F54=INT(F54*10)/10=FALSE),IF(ISNUMBER(J54)=TRUE,J54=INT(J54*10)/10=FALSE),IF(ISNUMBER(N54)=TRUE,N54=INT(N54*10)/10=FALSE),IF(ISNUMBER(R54)=TRUE,R54=INT(R54*10)/10=FALSE)),"Error","")</f>
        <v/>
      </c>
    </row>
    <row r="55" spans="2:24" s="103" customFormat="1" x14ac:dyDescent="0.25">
      <c r="B55" s="60" t="s">
        <v>365</v>
      </c>
      <c r="C55" s="94" t="s">
        <v>26</v>
      </c>
      <c r="D55" s="104" t="str">
        <f>IFERROR(IF(VLOOKUP(C55,Overview!$B$30:$E$84,2,FALSE)=0,"",VLOOKUP(C55,Overview!$B$30:$E$84,2,FALSE)),"")</f>
        <v>Osh Technological University</v>
      </c>
      <c r="E55" s="104" t="str">
        <f>IFERROR(IF(OR(VLOOKUP(C55,Overview!$B$30:$E$84,4,FALSE)="Country not found",VLOOKUP(C55,Overview!$B$30:$E$84,3,FALSE)=0),"",VLOOKUP(C55,Overview!$B$30:$E$84,3,FALSE)),"")</f>
        <v>Kyrgyzstan</v>
      </c>
      <c r="F55" s="96">
        <v>10</v>
      </c>
      <c r="G55" s="97">
        <f t="shared" si="50"/>
        <v>10</v>
      </c>
      <c r="H55" s="98">
        <f>IF(X55="Error",0,VLOOKUP(E55,Rates!$B$5:$H$105,4,FALSE))</f>
        <v>47</v>
      </c>
      <c r="I55" s="99">
        <f t="shared" si="51"/>
        <v>470</v>
      </c>
      <c r="J55" s="96">
        <v>30</v>
      </c>
      <c r="K55" s="97">
        <f t="shared" si="52"/>
        <v>30</v>
      </c>
      <c r="L55" s="98">
        <f>IF(X55="Error",0,VLOOKUP(E55,Rates!$B$5:$H$105,5,FALSE))</f>
        <v>33</v>
      </c>
      <c r="M55" s="99">
        <f t="shared" si="53"/>
        <v>990</v>
      </c>
      <c r="N55" s="96">
        <v>0</v>
      </c>
      <c r="O55" s="97">
        <f t="shared" si="54"/>
        <v>0</v>
      </c>
      <c r="P55" s="98">
        <f>IF(X55="Error",0,VLOOKUP(E55,Rates!$B$5:$H$105,6,FALSE))</f>
        <v>22</v>
      </c>
      <c r="Q55" s="99">
        <f t="shared" si="55"/>
        <v>0</v>
      </c>
      <c r="R55" s="96">
        <v>0</v>
      </c>
      <c r="S55" s="97">
        <f t="shared" si="56"/>
        <v>0</v>
      </c>
      <c r="T55" s="98">
        <f>IF(X55="Error",0,VLOOKUP(E55,Rates!$B$5:$H$105,7,FALSE))</f>
        <v>17</v>
      </c>
      <c r="U55" s="99">
        <f t="shared" si="57"/>
        <v>0</v>
      </c>
      <c r="V55" s="100">
        <f t="shared" si="58"/>
        <v>40</v>
      </c>
      <c r="W55" s="101">
        <f t="shared" si="59"/>
        <v>1460</v>
      </c>
      <c r="X55" s="102" t="str">
        <f>IF(OR(COUNTIF(Rates!$J$13:$J$17,B55)=0,COUNTIF(Overview!$B$30:$B$84,C55)=0,D55="",E55="",ISNUMBER(F55)=FALSE,ISNUMBER(J55)=FALSE,ISNUMBER(N55)=FALSE,ISNUMBER(R55)=FALSE,IF(ISNUMBER(F55)=TRUE,F55=INT(F55*10)/10=FALSE),IF(ISNUMBER(J55)=TRUE,J55=INT(J55*10)/10=FALSE),IF(ISNUMBER(N55)=TRUE,N55=INT(N55*10)/10=FALSE),IF(ISNUMBER(R55)=TRUE,R55=INT(R55*10)/10=FALSE)),"Error","")</f>
        <v/>
      </c>
    </row>
    <row r="56" spans="2:24" s="103" customFormat="1" x14ac:dyDescent="0.25">
      <c r="B56" s="60" t="s">
        <v>365</v>
      </c>
      <c r="C56" s="94" t="s">
        <v>16</v>
      </c>
      <c r="D56" s="104" t="str">
        <f>IFERROR(IF(VLOOKUP(C56,Overview!$B$30:$E$84,2,FALSE)=0,"",VLOOKUP(C56,Overview!$B$30:$E$84,2,FALSE)),"")</f>
        <v>Bath Spa University</v>
      </c>
      <c r="E56" s="104" t="str">
        <f>IFERROR(IF(OR(VLOOKUP(C56,Overview!$B$30:$E$84,4,FALSE)="Country not found",VLOOKUP(C56,Overview!$B$30:$E$84,3,FALSE)=0),"",VLOOKUP(C56,Overview!$B$30:$E$84,3,FALSE)),"")</f>
        <v>United Kingdom</v>
      </c>
      <c r="F56" s="96">
        <v>0</v>
      </c>
      <c r="G56" s="97">
        <f t="shared" si="50"/>
        <v>0</v>
      </c>
      <c r="H56" s="98">
        <f>IF(X56="Error",0,VLOOKUP(E56,Rates!$B$5:$H$105,4,FALSE))</f>
        <v>280</v>
      </c>
      <c r="I56" s="99">
        <f t="shared" si="51"/>
        <v>0</v>
      </c>
      <c r="J56" s="96">
        <v>30</v>
      </c>
      <c r="K56" s="97">
        <f t="shared" si="52"/>
        <v>30</v>
      </c>
      <c r="L56" s="98">
        <f>IF(X56="Error",0,VLOOKUP(E56,Rates!$B$5:$H$105,5,FALSE))</f>
        <v>214</v>
      </c>
      <c r="M56" s="99">
        <f t="shared" si="53"/>
        <v>6420</v>
      </c>
      <c r="N56" s="96">
        <v>0</v>
      </c>
      <c r="O56" s="97">
        <f t="shared" si="54"/>
        <v>0</v>
      </c>
      <c r="P56" s="98">
        <f>IF(X56="Error",0,VLOOKUP(E56,Rates!$B$5:$H$105,6,FALSE))</f>
        <v>162</v>
      </c>
      <c r="Q56" s="99">
        <f t="shared" si="55"/>
        <v>0</v>
      </c>
      <c r="R56" s="96">
        <v>0</v>
      </c>
      <c r="S56" s="97">
        <f t="shared" si="56"/>
        <v>0</v>
      </c>
      <c r="T56" s="98">
        <f>IF(X56="Error",0,VLOOKUP(E56,Rates!$B$5:$H$105,7,FALSE))</f>
        <v>131</v>
      </c>
      <c r="U56" s="99">
        <f t="shared" si="57"/>
        <v>0</v>
      </c>
      <c r="V56" s="100">
        <f t="shared" si="58"/>
        <v>30</v>
      </c>
      <c r="W56" s="101">
        <f t="shared" si="59"/>
        <v>6420</v>
      </c>
      <c r="X56" s="102" t="str">
        <f>IF(OR(COUNTIF(Rates!$J$13:$J$17,B56)=0,COUNTIF(Overview!$B$30:$B$84,C56)=0,D56="",E56="",ISNUMBER(F56)=FALSE,ISNUMBER(J56)=FALSE,ISNUMBER(N56)=FALSE,ISNUMBER(R56)=FALSE,IF(ISNUMBER(F56)=TRUE,F56=INT(F56*10)/10=FALSE),IF(ISNUMBER(J56)=TRUE,J56=INT(J56*10)/10=FALSE),IF(ISNUMBER(N56)=TRUE,N56=INT(N56*10)/10=FALSE),IF(ISNUMBER(R56)=TRUE,R56=INT(R56*10)/10=FALSE)),"Error","")</f>
        <v/>
      </c>
    </row>
    <row r="57" spans="2:24" s="103" customFormat="1" x14ac:dyDescent="0.25">
      <c r="B57" s="60" t="s">
        <v>365</v>
      </c>
      <c r="C57" s="94" t="s">
        <v>20</v>
      </c>
      <c r="D57" s="104" t="str">
        <f>IFERROR(IF(VLOOKUP(C57,Overview!$B$30:$E$84,2,FALSE)=0,"",VLOOKUP(C57,Overview!$B$30:$E$84,2,FALSE)),"")</f>
        <v>Tashkent State Technical University</v>
      </c>
      <c r="E57" s="104" t="str">
        <f>IFERROR(IF(OR(VLOOKUP(C57,Overview!$B$30:$E$84,4,FALSE)="Country not found",VLOOKUP(C57,Overview!$B$30:$E$84,3,FALSE)=0),"",VLOOKUP(C57,Overview!$B$30:$E$84,3,FALSE)),"")</f>
        <v>Uzbekistan</v>
      </c>
      <c r="F57" s="96">
        <v>10</v>
      </c>
      <c r="G57" s="97">
        <f t="shared" si="50"/>
        <v>10</v>
      </c>
      <c r="H57" s="98">
        <f>IF(X57="Error",0,VLOOKUP(E57,Rates!$B$5:$H$105,4,FALSE))</f>
        <v>47</v>
      </c>
      <c r="I57" s="99">
        <f t="shared" si="51"/>
        <v>470</v>
      </c>
      <c r="J57" s="96">
        <v>0</v>
      </c>
      <c r="K57" s="97">
        <f t="shared" si="52"/>
        <v>0</v>
      </c>
      <c r="L57" s="98">
        <f>IF(X57="Error",0,VLOOKUP(E57,Rates!$B$5:$H$105,5,FALSE))</f>
        <v>33</v>
      </c>
      <c r="M57" s="99">
        <f t="shared" si="53"/>
        <v>0</v>
      </c>
      <c r="N57" s="96">
        <v>0</v>
      </c>
      <c r="O57" s="97">
        <f t="shared" si="54"/>
        <v>0</v>
      </c>
      <c r="P57" s="98">
        <f>IF(X57="Error",0,VLOOKUP(E57,Rates!$B$5:$H$105,6,FALSE))</f>
        <v>22</v>
      </c>
      <c r="Q57" s="99">
        <f t="shared" si="55"/>
        <v>0</v>
      </c>
      <c r="R57" s="96">
        <v>10</v>
      </c>
      <c r="S57" s="97">
        <f t="shared" si="56"/>
        <v>10</v>
      </c>
      <c r="T57" s="98">
        <f>IF(X57="Error",0,VLOOKUP(E57,Rates!$B$5:$H$105,7,FALSE))</f>
        <v>17</v>
      </c>
      <c r="U57" s="99">
        <f t="shared" si="57"/>
        <v>170</v>
      </c>
      <c r="V57" s="100">
        <f t="shared" si="58"/>
        <v>20</v>
      </c>
      <c r="W57" s="101">
        <f t="shared" si="59"/>
        <v>640</v>
      </c>
      <c r="X57" s="102" t="str">
        <f>IF(OR(COUNTIF(Rates!$J$13:$J$17,B57)=0,COUNTIF(Overview!$B$30:$B$84,C57)=0,D57="",E57="",ISNUMBER(F57)=FALSE,ISNUMBER(J57)=FALSE,ISNUMBER(N57)=FALSE,ISNUMBER(R57)=FALSE,IF(ISNUMBER(F57)=TRUE,F57=INT(F57*10)/10=FALSE),IF(ISNUMBER(J57)=TRUE,J57=INT(J57*10)/10=FALSE),IF(ISNUMBER(N57)=TRUE,N57=INT(N57*10)/10=FALSE),IF(ISNUMBER(R57)=TRUE,R57=INT(R57*10)/10=FALSE)),"Error","")</f>
        <v/>
      </c>
    </row>
    <row r="58" spans="2:24" s="103" customFormat="1" x14ac:dyDescent="0.25">
      <c r="B58" s="60" t="s">
        <v>365</v>
      </c>
      <c r="C58" s="94" t="s">
        <v>25</v>
      </c>
      <c r="D58" s="104" t="str">
        <f>IFERROR(IF(VLOOKUP(C58,Overview!$B$30:$E$84,2,FALSE)=0,"",VLOOKUP(C58,Overview!$B$30:$E$84,2,FALSE)),"")</f>
        <v>Bishkek Academy of Finance and Economics</v>
      </c>
      <c r="E58" s="104" t="str">
        <f>IFERROR(IF(OR(VLOOKUP(C58,Overview!$B$30:$E$84,4,FALSE)="Country not found",VLOOKUP(C58,Overview!$B$30:$E$84,3,FALSE)=0),"",VLOOKUP(C58,Overview!$B$30:$E$84,3,FALSE)),"")</f>
        <v>Kyrgyzstan</v>
      </c>
      <c r="F58" s="96">
        <v>30</v>
      </c>
      <c r="G58" s="97">
        <f t="shared" si="50"/>
        <v>30</v>
      </c>
      <c r="H58" s="98">
        <f>IF(X58="Error",0,VLOOKUP(E58,Rates!$B$5:$H$105,4,FALSE))</f>
        <v>47</v>
      </c>
      <c r="I58" s="99">
        <f t="shared" si="51"/>
        <v>1410</v>
      </c>
      <c r="J58" s="96">
        <v>0</v>
      </c>
      <c r="K58" s="97">
        <f t="shared" si="52"/>
        <v>0</v>
      </c>
      <c r="L58" s="98">
        <f>IF(X58="Error",0,VLOOKUP(E58,Rates!$B$5:$H$105,5,FALSE))</f>
        <v>33</v>
      </c>
      <c r="M58" s="99">
        <f t="shared" si="53"/>
        <v>0</v>
      </c>
      <c r="N58" s="96">
        <v>0</v>
      </c>
      <c r="O58" s="97">
        <f t="shared" si="54"/>
        <v>0</v>
      </c>
      <c r="P58" s="98">
        <f>IF(X58="Error",0,VLOOKUP(E58,Rates!$B$5:$H$105,6,FALSE))</f>
        <v>22</v>
      </c>
      <c r="Q58" s="99">
        <f t="shared" si="55"/>
        <v>0</v>
      </c>
      <c r="R58" s="96">
        <v>30</v>
      </c>
      <c r="S58" s="97">
        <f t="shared" si="56"/>
        <v>30</v>
      </c>
      <c r="T58" s="98">
        <f>IF(X58="Error",0,VLOOKUP(E58,Rates!$B$5:$H$105,7,FALSE))</f>
        <v>17</v>
      </c>
      <c r="U58" s="99">
        <f t="shared" si="57"/>
        <v>510</v>
      </c>
      <c r="V58" s="100">
        <f t="shared" si="58"/>
        <v>60</v>
      </c>
      <c r="W58" s="101">
        <f t="shared" si="59"/>
        <v>1920</v>
      </c>
      <c r="X58" s="102" t="str">
        <f>IF(OR(COUNTIF(Rates!$J$13:$J$17,B58)=0,COUNTIF(Overview!$B$30:$B$84,C58)=0,D58="",E58="",ISNUMBER(F58)=FALSE,ISNUMBER(J58)=FALSE,ISNUMBER(N58)=FALSE,ISNUMBER(R58)=FALSE,IF(ISNUMBER(F58)=TRUE,F58=INT(F58*10)/10=FALSE),IF(ISNUMBER(J58)=TRUE,J58=INT(J58*10)/10=FALSE),IF(ISNUMBER(N58)=TRUE,N58=INT(N58*10)/10=FALSE),IF(ISNUMBER(R58)=TRUE,R58=INT(R58*10)/10=FALSE)),"Error","")</f>
        <v/>
      </c>
    </row>
    <row r="59" spans="2:24" s="103" customFormat="1" x14ac:dyDescent="0.25">
      <c r="B59" s="60" t="s">
        <v>365</v>
      </c>
      <c r="C59" s="94" t="s">
        <v>29</v>
      </c>
      <c r="D59" s="104" t="str">
        <f>IFERROR(IF(VLOOKUP(C59,Overview!$B$30:$E$84,2,FALSE)=0,"",VLOOKUP(C59,Overview!$B$30:$E$84,2,FALSE)),"")</f>
        <v>Khorog State University</v>
      </c>
      <c r="E59" s="104" t="str">
        <f>IFERROR(IF(OR(VLOOKUP(C59,Overview!$B$30:$E$84,4,FALSE)="Country not found",VLOOKUP(C59,Overview!$B$30:$E$84,3,FALSE)=0),"",VLOOKUP(C59,Overview!$B$30:$E$84,3,FALSE)),"")</f>
        <v>Tajikistan</v>
      </c>
      <c r="F59" s="96">
        <v>10</v>
      </c>
      <c r="G59" s="97">
        <f t="shared" si="50"/>
        <v>10</v>
      </c>
      <c r="H59" s="98">
        <f>IF(X59="Error",0,VLOOKUP(E59,Rates!$B$5:$H$105,4,FALSE))</f>
        <v>47</v>
      </c>
      <c r="I59" s="99">
        <f t="shared" si="51"/>
        <v>470</v>
      </c>
      <c r="J59" s="96">
        <v>0</v>
      </c>
      <c r="K59" s="97">
        <f t="shared" si="52"/>
        <v>0</v>
      </c>
      <c r="L59" s="98">
        <f>IF(X59="Error",0,VLOOKUP(E59,Rates!$B$5:$H$105,5,FALSE))</f>
        <v>33</v>
      </c>
      <c r="M59" s="99">
        <f t="shared" si="53"/>
        <v>0</v>
      </c>
      <c r="N59" s="96">
        <v>0</v>
      </c>
      <c r="O59" s="97">
        <f t="shared" si="54"/>
        <v>0</v>
      </c>
      <c r="P59" s="98">
        <f>IF(X59="Error",0,VLOOKUP(E59,Rates!$B$5:$H$105,6,FALSE))</f>
        <v>22</v>
      </c>
      <c r="Q59" s="99">
        <f t="shared" si="55"/>
        <v>0</v>
      </c>
      <c r="R59" s="96">
        <v>10</v>
      </c>
      <c r="S59" s="97">
        <f t="shared" si="56"/>
        <v>10</v>
      </c>
      <c r="T59" s="98">
        <f>IF(X59="Error",0,VLOOKUP(E59,Rates!$B$5:$H$105,7,FALSE))</f>
        <v>17</v>
      </c>
      <c r="U59" s="99">
        <f t="shared" si="57"/>
        <v>170</v>
      </c>
      <c r="V59" s="100">
        <f t="shared" si="58"/>
        <v>20</v>
      </c>
      <c r="W59" s="101">
        <f t="shared" si="59"/>
        <v>640</v>
      </c>
      <c r="X59" s="102" t="str">
        <f>IF(OR(COUNTIF(Rates!$J$13:$J$17,B59)=0,COUNTIF(Overview!$B$30:$B$84,C59)=0,D59="",E59="",ISNUMBER(F59)=FALSE,ISNUMBER(J59)=FALSE,ISNUMBER(N59)=FALSE,ISNUMBER(R59)=FALSE,IF(ISNUMBER(F59)=TRUE,F59=INT(F59*10)/10=FALSE),IF(ISNUMBER(J59)=TRUE,J59=INT(J59*10)/10=FALSE),IF(ISNUMBER(N59)=TRUE,N59=INT(N59*10)/10=FALSE),IF(ISNUMBER(R59)=TRUE,R59=INT(R59*10)/10=FALSE)),"Error","")</f>
        <v/>
      </c>
    </row>
    <row r="60" spans="2:24" s="103" customFormat="1" x14ac:dyDescent="0.25">
      <c r="B60" s="60" t="s">
        <v>365</v>
      </c>
      <c r="C60" s="94" t="s">
        <v>127</v>
      </c>
      <c r="D60" s="104" t="str">
        <f>IFERROR(IF(VLOOKUP(C60,Overview!$B$30:$E$84,2,FALSE)=0,"",VLOOKUP(C60,Overview!$B$30:$E$84,2,FALSE)),"")</f>
        <v>Kazakhstan National Technical University</v>
      </c>
      <c r="E60" s="104" t="str">
        <f>IFERROR(IF(OR(VLOOKUP(C60,Overview!$B$30:$E$84,4,FALSE)="Country not found",VLOOKUP(C60,Overview!$B$30:$E$84,3,FALSE)=0),"",VLOOKUP(C60,Overview!$B$30:$E$84,3,FALSE)),"")</f>
        <v>Kazakhstan</v>
      </c>
      <c r="F60" s="96">
        <v>10</v>
      </c>
      <c r="G60" s="97">
        <f t="shared" si="50"/>
        <v>10</v>
      </c>
      <c r="H60" s="98">
        <f>IF(X60="Error",0,VLOOKUP(E60,Rates!$B$5:$H$105,4,FALSE))</f>
        <v>77</v>
      </c>
      <c r="I60" s="99">
        <f t="shared" si="51"/>
        <v>770</v>
      </c>
      <c r="J60" s="96">
        <v>0</v>
      </c>
      <c r="K60" s="97">
        <f t="shared" si="52"/>
        <v>0</v>
      </c>
      <c r="L60" s="98">
        <f>IF(X60="Error",0,VLOOKUP(E60,Rates!$B$5:$H$105,5,FALSE))</f>
        <v>57</v>
      </c>
      <c r="M60" s="99">
        <f t="shared" si="53"/>
        <v>0</v>
      </c>
      <c r="N60" s="96">
        <v>0</v>
      </c>
      <c r="O60" s="97">
        <f t="shared" si="54"/>
        <v>0</v>
      </c>
      <c r="P60" s="98">
        <f>IF(X60="Error",0,VLOOKUP(E60,Rates!$B$5:$H$105,6,FALSE))</f>
        <v>40</v>
      </c>
      <c r="Q60" s="99">
        <f t="shared" si="55"/>
        <v>0</v>
      </c>
      <c r="R60" s="96">
        <v>10</v>
      </c>
      <c r="S60" s="97">
        <f t="shared" si="56"/>
        <v>10</v>
      </c>
      <c r="T60" s="98">
        <f>IF(X60="Error",0,VLOOKUP(E60,Rates!$B$5:$H$105,7,FALSE))</f>
        <v>32</v>
      </c>
      <c r="U60" s="99">
        <f t="shared" si="57"/>
        <v>320</v>
      </c>
      <c r="V60" s="100">
        <f t="shared" si="58"/>
        <v>20</v>
      </c>
      <c r="W60" s="101">
        <f t="shared" si="59"/>
        <v>1090</v>
      </c>
      <c r="X60" s="102" t="str">
        <f>IF(OR(COUNTIF(Rates!$J$13:$J$17,B60)=0,COUNTIF(Overview!$B$30:$B$84,C60)=0,D60="",E60="",ISNUMBER(F60)=FALSE,ISNUMBER(J60)=FALSE,ISNUMBER(N60)=FALSE,ISNUMBER(R60)=FALSE,IF(ISNUMBER(F60)=TRUE,F60=INT(F60*10)/10=FALSE),IF(ISNUMBER(J60)=TRUE,J60=INT(J60*10)/10=FALSE),IF(ISNUMBER(N60)=TRUE,N60=INT(N60*10)/10=FALSE),IF(ISNUMBER(R60)=TRUE,R60=INT(R60*10)/10=FALSE)),"Error","")</f>
        <v/>
      </c>
    </row>
    <row r="61" spans="2:24" s="103" customFormat="1" x14ac:dyDescent="0.25">
      <c r="B61" s="60" t="s">
        <v>369</v>
      </c>
      <c r="C61" s="94" t="s">
        <v>16</v>
      </c>
      <c r="D61" s="104" t="str">
        <f>IFERROR(IF(VLOOKUP(C61,Overview!$B$30:$E$84,2,FALSE)=0,"",VLOOKUP(C61,Overview!$B$30:$E$84,2,FALSE)),"")</f>
        <v>Bath Spa University</v>
      </c>
      <c r="E61" s="104" t="str">
        <f>IFERROR(IF(OR(VLOOKUP(C61,Overview!$B$30:$E$84,4,FALSE)="Country not found",VLOOKUP(C61,Overview!$B$30:$E$84,3,FALSE)=0),"",VLOOKUP(C61,Overview!$B$30:$E$84,3,FALSE)),"")</f>
        <v>United Kingdom</v>
      </c>
      <c r="F61" s="96">
        <v>20</v>
      </c>
      <c r="G61" s="97">
        <f t="shared" si="50"/>
        <v>20</v>
      </c>
      <c r="H61" s="98">
        <f>IF(X61="Error",0,VLOOKUP(E61,Rates!$B$5:$H$105,4,FALSE))</f>
        <v>280</v>
      </c>
      <c r="I61" s="99">
        <f t="shared" si="51"/>
        <v>5600</v>
      </c>
      <c r="J61" s="96">
        <v>0</v>
      </c>
      <c r="K61" s="97">
        <f t="shared" si="52"/>
        <v>0</v>
      </c>
      <c r="L61" s="98">
        <f>IF(X61="Error",0,VLOOKUP(E61,Rates!$B$5:$H$105,5,FALSE))</f>
        <v>214</v>
      </c>
      <c r="M61" s="99">
        <f t="shared" si="53"/>
        <v>0</v>
      </c>
      <c r="N61" s="96">
        <v>0</v>
      </c>
      <c r="O61" s="97">
        <f t="shared" si="54"/>
        <v>0</v>
      </c>
      <c r="P61" s="98">
        <f>IF(X61="Error",0,VLOOKUP(E61,Rates!$B$5:$H$105,6,FALSE))</f>
        <v>162</v>
      </c>
      <c r="Q61" s="99">
        <f t="shared" si="55"/>
        <v>0</v>
      </c>
      <c r="R61" s="96">
        <v>0</v>
      </c>
      <c r="S61" s="97">
        <f t="shared" si="56"/>
        <v>0</v>
      </c>
      <c r="T61" s="98">
        <f>IF(X61="Error",0,VLOOKUP(E61,Rates!$B$5:$H$105,7,FALSE))</f>
        <v>131</v>
      </c>
      <c r="U61" s="99">
        <f t="shared" si="57"/>
        <v>0</v>
      </c>
      <c r="V61" s="100">
        <f t="shared" si="58"/>
        <v>20</v>
      </c>
      <c r="W61" s="101">
        <f t="shared" si="59"/>
        <v>5600</v>
      </c>
      <c r="X61" s="102" t="str">
        <f>IF(OR(COUNTIF(Rates!$J$13:$J$17,B61)=0,COUNTIF(Overview!$B$30:$B$84,C61)=0,D61="",E61="",ISNUMBER(F61)=FALSE,ISNUMBER(J61)=FALSE,ISNUMBER(N61)=FALSE,ISNUMBER(R61)=FALSE,IF(ISNUMBER(F61)=TRUE,F61=INT(F61*10)/10=FALSE),IF(ISNUMBER(J61)=TRUE,J61=INT(J61*10)/10=FALSE),IF(ISNUMBER(N61)=TRUE,N61=INT(N61*10)/10=FALSE),IF(ISNUMBER(R61)=TRUE,R61=INT(R61*10)/10=FALSE)),"Error","")</f>
        <v/>
      </c>
    </row>
    <row r="62" spans="2:24" s="103" customFormat="1" x14ac:dyDescent="0.25">
      <c r="B62" s="60" t="s">
        <v>369</v>
      </c>
      <c r="C62" s="94" t="s">
        <v>20</v>
      </c>
      <c r="D62" s="104" t="str">
        <f>IFERROR(IF(VLOOKUP(C62,Overview!$B$30:$E$84,2,FALSE)=0,"",VLOOKUP(C62,Overview!$B$30:$E$84,2,FALSE)),"")</f>
        <v>Tashkent State Technical University</v>
      </c>
      <c r="E62" s="104" t="str">
        <f>IFERROR(IF(OR(VLOOKUP(C62,Overview!$B$30:$E$84,4,FALSE)="Country not found",VLOOKUP(C62,Overview!$B$30:$E$84,3,FALSE)=0),"",VLOOKUP(C62,Overview!$B$30:$E$84,3,FALSE)),"")</f>
        <v>Uzbekistan</v>
      </c>
      <c r="F62" s="96">
        <v>30</v>
      </c>
      <c r="G62" s="97">
        <f t="shared" si="50"/>
        <v>30</v>
      </c>
      <c r="H62" s="98">
        <f>IF(X62="Error",0,VLOOKUP(E62,Rates!$B$5:$H$105,4,FALSE))</f>
        <v>47</v>
      </c>
      <c r="I62" s="99">
        <f t="shared" si="51"/>
        <v>1410</v>
      </c>
      <c r="J62" s="96">
        <v>0</v>
      </c>
      <c r="K62" s="97">
        <f t="shared" si="52"/>
        <v>0</v>
      </c>
      <c r="L62" s="98">
        <f>IF(X62="Error",0,VLOOKUP(E62,Rates!$B$5:$H$105,5,FALSE))</f>
        <v>33</v>
      </c>
      <c r="M62" s="99">
        <f t="shared" si="53"/>
        <v>0</v>
      </c>
      <c r="N62" s="96">
        <v>0</v>
      </c>
      <c r="O62" s="97">
        <f t="shared" si="54"/>
        <v>0</v>
      </c>
      <c r="P62" s="98">
        <f>IF(X62="Error",0,VLOOKUP(E62,Rates!$B$5:$H$105,6,FALSE))</f>
        <v>22</v>
      </c>
      <c r="Q62" s="99">
        <f t="shared" si="55"/>
        <v>0</v>
      </c>
      <c r="R62" s="96">
        <v>19</v>
      </c>
      <c r="S62" s="97">
        <f t="shared" si="56"/>
        <v>19</v>
      </c>
      <c r="T62" s="98">
        <f>IF(X62="Error",0,VLOOKUP(E62,Rates!$B$5:$H$105,7,FALSE))</f>
        <v>17</v>
      </c>
      <c r="U62" s="99">
        <f t="shared" si="57"/>
        <v>323</v>
      </c>
      <c r="V62" s="100">
        <f t="shared" si="58"/>
        <v>49</v>
      </c>
      <c r="W62" s="101">
        <f t="shared" si="59"/>
        <v>1733</v>
      </c>
      <c r="X62" s="102" t="str">
        <f>IF(OR(COUNTIF(Rates!$J$13:$J$17,B62)=0,COUNTIF(Overview!$B$30:$B$84,C62)=0,D62="",E62="",ISNUMBER(F62)=FALSE,ISNUMBER(J62)=FALSE,ISNUMBER(N62)=FALSE,ISNUMBER(R62)=FALSE,IF(ISNUMBER(F62)=TRUE,F62=INT(F62*10)/10=FALSE),IF(ISNUMBER(J62)=TRUE,J62=INT(J62*10)/10=FALSE),IF(ISNUMBER(N62)=TRUE,N62=INT(N62*10)/10=FALSE),IF(ISNUMBER(R62)=TRUE,R62=INT(R62*10)/10=FALSE)),"Error","")</f>
        <v/>
      </c>
    </row>
    <row r="63" spans="2:24" s="103" customFormat="1" x14ac:dyDescent="0.25">
      <c r="B63" s="60" t="s">
        <v>369</v>
      </c>
      <c r="C63" s="94" t="s">
        <v>21</v>
      </c>
      <c r="D63" s="104" t="str">
        <f>IFERROR(IF(VLOOKUP(C63,Overview!$B$30:$E$84,2,FALSE)=0,"",VLOOKUP(C63,Overview!$B$30:$E$84,2,FALSE)),"")</f>
        <v>National University of Uzbekistan</v>
      </c>
      <c r="E63" s="104" t="str">
        <f>IFERROR(IF(OR(VLOOKUP(C63,Overview!$B$30:$E$84,4,FALSE)="Country not found",VLOOKUP(C63,Overview!$B$30:$E$84,3,FALSE)=0),"",VLOOKUP(C63,Overview!$B$30:$E$84,3,FALSE)),"")</f>
        <v>Uzbekistan</v>
      </c>
      <c r="F63" s="96">
        <v>30</v>
      </c>
      <c r="G63" s="97">
        <f t="shared" si="50"/>
        <v>30</v>
      </c>
      <c r="H63" s="98">
        <f>IF(X63="Error",0,VLOOKUP(E63,Rates!$B$5:$H$105,4,FALSE))</f>
        <v>47</v>
      </c>
      <c r="I63" s="99">
        <f t="shared" si="51"/>
        <v>1410</v>
      </c>
      <c r="J63" s="96">
        <v>0</v>
      </c>
      <c r="K63" s="97">
        <f t="shared" si="52"/>
        <v>0</v>
      </c>
      <c r="L63" s="98">
        <f>IF(X63="Error",0,VLOOKUP(E63,Rates!$B$5:$H$105,5,FALSE))</f>
        <v>33</v>
      </c>
      <c r="M63" s="99">
        <f t="shared" si="53"/>
        <v>0</v>
      </c>
      <c r="N63" s="96">
        <v>0</v>
      </c>
      <c r="O63" s="97">
        <f t="shared" si="54"/>
        <v>0</v>
      </c>
      <c r="P63" s="98">
        <f>IF(X63="Error",0,VLOOKUP(E63,Rates!$B$5:$H$105,6,FALSE))</f>
        <v>22</v>
      </c>
      <c r="Q63" s="99">
        <f t="shared" si="55"/>
        <v>0</v>
      </c>
      <c r="R63" s="96">
        <v>20</v>
      </c>
      <c r="S63" s="97">
        <f t="shared" si="56"/>
        <v>20</v>
      </c>
      <c r="T63" s="98">
        <f>IF(X63="Error",0,VLOOKUP(E63,Rates!$B$5:$H$105,7,FALSE))</f>
        <v>17</v>
      </c>
      <c r="U63" s="99">
        <f t="shared" si="57"/>
        <v>340</v>
      </c>
      <c r="V63" s="100">
        <f t="shared" si="58"/>
        <v>50</v>
      </c>
      <c r="W63" s="101">
        <f t="shared" si="59"/>
        <v>1750</v>
      </c>
      <c r="X63" s="102" t="str">
        <f>IF(OR(COUNTIF(Rates!$J$13:$J$17,B63)=0,COUNTIF(Overview!$B$30:$B$84,C63)=0,D63="",E63="",ISNUMBER(F63)=FALSE,ISNUMBER(J63)=FALSE,ISNUMBER(N63)=FALSE,ISNUMBER(R63)=FALSE,IF(ISNUMBER(F63)=TRUE,F63=INT(F63*10)/10=FALSE),IF(ISNUMBER(J63)=TRUE,J63=INT(J63*10)/10=FALSE),IF(ISNUMBER(N63)=TRUE,N63=INT(N63*10)/10=FALSE),IF(ISNUMBER(R63)=TRUE,R63=INT(R63*10)/10=FALSE)),"Error","")</f>
        <v/>
      </c>
    </row>
    <row r="64" spans="2:24" s="103" customFormat="1" x14ac:dyDescent="0.25">
      <c r="B64" s="60" t="s">
        <v>369</v>
      </c>
      <c r="C64" s="94" t="s">
        <v>24</v>
      </c>
      <c r="D64" s="104" t="str">
        <f>IFERROR(IF(VLOOKUP(C64,Overview!$B$30:$E$84,2,FALSE)=0,"",VLOOKUP(C64,Overview!$B$30:$E$84,2,FALSE)),"")</f>
        <v>Kyrgyz State Technical University</v>
      </c>
      <c r="E64" s="104" t="str">
        <f>IFERROR(IF(OR(VLOOKUP(C64,Overview!$B$30:$E$84,4,FALSE)="Country not found",VLOOKUP(C64,Overview!$B$30:$E$84,3,FALSE)=0),"",VLOOKUP(C64,Overview!$B$30:$E$84,3,FALSE)),"")</f>
        <v>Kyrgyzstan</v>
      </c>
      <c r="F64" s="96">
        <v>30</v>
      </c>
      <c r="G64" s="97">
        <f t="shared" si="50"/>
        <v>30</v>
      </c>
      <c r="H64" s="98">
        <f>IF(X64="Error",0,VLOOKUP(E64,Rates!$B$5:$H$105,4,FALSE))</f>
        <v>47</v>
      </c>
      <c r="I64" s="99">
        <f t="shared" si="51"/>
        <v>1410</v>
      </c>
      <c r="J64" s="96">
        <v>0</v>
      </c>
      <c r="K64" s="97">
        <f t="shared" si="52"/>
        <v>0</v>
      </c>
      <c r="L64" s="98">
        <f>IF(X64="Error",0,VLOOKUP(E64,Rates!$B$5:$H$105,5,FALSE))</f>
        <v>33</v>
      </c>
      <c r="M64" s="99">
        <f t="shared" si="53"/>
        <v>0</v>
      </c>
      <c r="N64" s="96">
        <v>0</v>
      </c>
      <c r="O64" s="97">
        <f t="shared" si="54"/>
        <v>0</v>
      </c>
      <c r="P64" s="98">
        <f>IF(X64="Error",0,VLOOKUP(E64,Rates!$B$5:$H$105,6,FALSE))</f>
        <v>22</v>
      </c>
      <c r="Q64" s="99">
        <f t="shared" si="55"/>
        <v>0</v>
      </c>
      <c r="R64" s="96">
        <v>20</v>
      </c>
      <c r="S64" s="97">
        <f t="shared" si="56"/>
        <v>20</v>
      </c>
      <c r="T64" s="98">
        <f>IF(X64="Error",0,VLOOKUP(E64,Rates!$B$5:$H$105,7,FALSE))</f>
        <v>17</v>
      </c>
      <c r="U64" s="99">
        <f t="shared" si="57"/>
        <v>340</v>
      </c>
      <c r="V64" s="100">
        <f t="shared" si="58"/>
        <v>50</v>
      </c>
      <c r="W64" s="101">
        <f t="shared" si="59"/>
        <v>1750</v>
      </c>
      <c r="X64" s="102" t="str">
        <f>IF(OR(COUNTIF(Rates!$J$13:$J$17,B64)=0,COUNTIF(Overview!$B$30:$B$84,C64)=0,D64="",E64="",ISNUMBER(F64)=FALSE,ISNUMBER(J64)=FALSE,ISNUMBER(N64)=FALSE,ISNUMBER(R64)=FALSE,IF(ISNUMBER(F64)=TRUE,F64=INT(F64*10)/10=FALSE),IF(ISNUMBER(J64)=TRUE,J64=INT(J64*10)/10=FALSE),IF(ISNUMBER(N64)=TRUE,N64=INT(N64*10)/10=FALSE),IF(ISNUMBER(R64)=TRUE,R64=INT(R64*10)/10=FALSE)),"Error","")</f>
        <v/>
      </c>
    </row>
    <row r="65" spans="2:24" s="103" customFormat="1" x14ac:dyDescent="0.25">
      <c r="B65" s="60" t="s">
        <v>369</v>
      </c>
      <c r="C65" s="94" t="s">
        <v>25</v>
      </c>
      <c r="D65" s="104" t="str">
        <f>IFERROR(IF(VLOOKUP(C65,Overview!$B$30:$E$84,2,FALSE)=0,"",VLOOKUP(C65,Overview!$B$30:$E$84,2,FALSE)),"")</f>
        <v>Bishkek Academy of Finance and Economics</v>
      </c>
      <c r="E65" s="104" t="str">
        <f>IFERROR(IF(OR(VLOOKUP(C65,Overview!$B$30:$E$84,4,FALSE)="Country not found",VLOOKUP(C65,Overview!$B$30:$E$84,3,FALSE)=0),"",VLOOKUP(C65,Overview!$B$30:$E$84,3,FALSE)),"")</f>
        <v>Kyrgyzstan</v>
      </c>
      <c r="F65" s="96">
        <v>30</v>
      </c>
      <c r="G65" s="97">
        <f t="shared" si="50"/>
        <v>30</v>
      </c>
      <c r="H65" s="98">
        <f>IF(X65="Error",0,VLOOKUP(E65,Rates!$B$5:$H$105,4,FALSE))</f>
        <v>47</v>
      </c>
      <c r="I65" s="99">
        <f t="shared" si="51"/>
        <v>1410</v>
      </c>
      <c r="J65" s="96">
        <v>0</v>
      </c>
      <c r="K65" s="97">
        <f t="shared" si="52"/>
        <v>0</v>
      </c>
      <c r="L65" s="98">
        <f>IF(X65="Error",0,VLOOKUP(E65,Rates!$B$5:$H$105,5,FALSE))</f>
        <v>33</v>
      </c>
      <c r="M65" s="99">
        <f t="shared" si="53"/>
        <v>0</v>
      </c>
      <c r="N65" s="96">
        <v>0</v>
      </c>
      <c r="O65" s="97">
        <f t="shared" si="54"/>
        <v>0</v>
      </c>
      <c r="P65" s="98">
        <f>IF(X65="Error",0,VLOOKUP(E65,Rates!$B$5:$H$105,6,FALSE))</f>
        <v>22</v>
      </c>
      <c r="Q65" s="99">
        <f t="shared" si="55"/>
        <v>0</v>
      </c>
      <c r="R65" s="96">
        <v>30</v>
      </c>
      <c r="S65" s="97">
        <f t="shared" si="56"/>
        <v>30</v>
      </c>
      <c r="T65" s="98">
        <f>IF(X65="Error",0,VLOOKUP(E65,Rates!$B$5:$H$105,7,FALSE))</f>
        <v>17</v>
      </c>
      <c r="U65" s="99">
        <f t="shared" si="57"/>
        <v>510</v>
      </c>
      <c r="V65" s="100">
        <f t="shared" si="58"/>
        <v>60</v>
      </c>
      <c r="W65" s="101">
        <f t="shared" si="59"/>
        <v>1920</v>
      </c>
      <c r="X65" s="102" t="str">
        <f>IF(OR(COUNTIF(Rates!$J$13:$J$17,B65)=0,COUNTIF(Overview!$B$30:$B$84,C65)=0,D65="",E65="",ISNUMBER(F65)=FALSE,ISNUMBER(J65)=FALSE,ISNUMBER(N65)=FALSE,ISNUMBER(R65)=FALSE,IF(ISNUMBER(F65)=TRUE,F65=INT(F65*10)/10=FALSE),IF(ISNUMBER(J65)=TRUE,J65=INT(J65*10)/10=FALSE),IF(ISNUMBER(N65)=TRUE,N65=INT(N65*10)/10=FALSE),IF(ISNUMBER(R65)=TRUE,R65=INT(R65*10)/10=FALSE)),"Error","")</f>
        <v/>
      </c>
    </row>
    <row r="66" spans="2:24" s="103" customFormat="1" x14ac:dyDescent="0.25">
      <c r="B66" s="60" t="s">
        <v>369</v>
      </c>
      <c r="C66" s="94" t="s">
        <v>26</v>
      </c>
      <c r="D66" s="104" t="str">
        <f>IFERROR(IF(VLOOKUP(C66,Overview!$B$30:$E$84,2,FALSE)=0,"",VLOOKUP(C66,Overview!$B$30:$E$84,2,FALSE)),"")</f>
        <v>Osh Technological University</v>
      </c>
      <c r="E66" s="104" t="str">
        <f>IFERROR(IF(OR(VLOOKUP(C66,Overview!$B$30:$E$84,4,FALSE)="Country not found",VLOOKUP(C66,Overview!$B$30:$E$84,3,FALSE)=0),"",VLOOKUP(C66,Overview!$B$30:$E$84,3,FALSE)),"")</f>
        <v>Kyrgyzstan</v>
      </c>
      <c r="F66" s="96">
        <v>30</v>
      </c>
      <c r="G66" s="97">
        <f t="shared" si="50"/>
        <v>30</v>
      </c>
      <c r="H66" s="98">
        <f>IF(X66="Error",0,VLOOKUP(E66,Rates!$B$5:$H$105,4,FALSE))</f>
        <v>47</v>
      </c>
      <c r="I66" s="99">
        <f t="shared" si="51"/>
        <v>1410</v>
      </c>
      <c r="J66" s="96">
        <v>0</v>
      </c>
      <c r="K66" s="97">
        <f t="shared" si="52"/>
        <v>0</v>
      </c>
      <c r="L66" s="98">
        <f>IF(X66="Error",0,VLOOKUP(E66,Rates!$B$5:$H$105,5,FALSE))</f>
        <v>33</v>
      </c>
      <c r="M66" s="99">
        <f t="shared" si="53"/>
        <v>0</v>
      </c>
      <c r="N66" s="96">
        <v>0</v>
      </c>
      <c r="O66" s="97">
        <f t="shared" si="54"/>
        <v>0</v>
      </c>
      <c r="P66" s="98">
        <f>IF(X66="Error",0,VLOOKUP(E66,Rates!$B$5:$H$105,6,FALSE))</f>
        <v>22</v>
      </c>
      <c r="Q66" s="99">
        <f t="shared" si="55"/>
        <v>0</v>
      </c>
      <c r="R66" s="96">
        <v>20</v>
      </c>
      <c r="S66" s="97">
        <f t="shared" si="56"/>
        <v>20</v>
      </c>
      <c r="T66" s="98">
        <f>IF(X66="Error",0,VLOOKUP(E66,Rates!$B$5:$H$105,7,FALSE))</f>
        <v>17</v>
      </c>
      <c r="U66" s="99">
        <f t="shared" si="57"/>
        <v>340</v>
      </c>
      <c r="V66" s="100">
        <f t="shared" si="58"/>
        <v>50</v>
      </c>
      <c r="W66" s="101">
        <f t="shared" si="59"/>
        <v>1750</v>
      </c>
      <c r="X66" s="102" t="str">
        <f>IF(OR(COUNTIF(Rates!$J$13:$J$17,B66)=0,COUNTIF(Overview!$B$30:$B$84,C66)=0,D66="",E66="",ISNUMBER(F66)=FALSE,ISNUMBER(J66)=FALSE,ISNUMBER(N66)=FALSE,ISNUMBER(R66)=FALSE,IF(ISNUMBER(F66)=TRUE,F66=INT(F66*10)/10=FALSE),IF(ISNUMBER(J66)=TRUE,J66=INT(J66*10)/10=FALSE),IF(ISNUMBER(N66)=TRUE,N66=INT(N66*10)/10=FALSE),IF(ISNUMBER(R66)=TRUE,R66=INT(R66*10)/10=FALSE)),"Error","")</f>
        <v/>
      </c>
    </row>
    <row r="67" spans="2:24" s="103" customFormat="1" x14ac:dyDescent="0.25">
      <c r="B67" s="60" t="s">
        <v>369</v>
      </c>
      <c r="C67" s="94" t="s">
        <v>28</v>
      </c>
      <c r="D67" s="104" t="str">
        <f>IFERROR(IF(VLOOKUP(C67,Overview!$B$30:$E$84,2,FALSE)=0,"",VLOOKUP(C67,Overview!$B$30:$E$84,2,FALSE)),"")</f>
        <v>Khujand State University</v>
      </c>
      <c r="E67" s="104" t="str">
        <f>IFERROR(IF(OR(VLOOKUP(C67,Overview!$B$30:$E$84,4,FALSE)="Country not found",VLOOKUP(C67,Overview!$B$30:$E$84,3,FALSE)=0),"",VLOOKUP(C67,Overview!$B$30:$E$84,3,FALSE)),"")</f>
        <v>Tajikistan</v>
      </c>
      <c r="F67" s="96">
        <v>30</v>
      </c>
      <c r="G67" s="97">
        <f t="shared" si="50"/>
        <v>30</v>
      </c>
      <c r="H67" s="98">
        <f>IF(X67="Error",0,VLOOKUP(E67,Rates!$B$5:$H$105,4,FALSE))</f>
        <v>47</v>
      </c>
      <c r="I67" s="99">
        <f t="shared" si="51"/>
        <v>1410</v>
      </c>
      <c r="J67" s="96">
        <v>0</v>
      </c>
      <c r="K67" s="97">
        <f t="shared" si="52"/>
        <v>0</v>
      </c>
      <c r="L67" s="98">
        <f>IF(X67="Error",0,VLOOKUP(E67,Rates!$B$5:$H$105,5,FALSE))</f>
        <v>33</v>
      </c>
      <c r="M67" s="99">
        <f t="shared" si="53"/>
        <v>0</v>
      </c>
      <c r="N67" s="96">
        <v>0</v>
      </c>
      <c r="O67" s="97">
        <f t="shared" si="54"/>
        <v>0</v>
      </c>
      <c r="P67" s="98">
        <f>IF(X67="Error",0,VLOOKUP(E67,Rates!$B$5:$H$105,6,FALSE))</f>
        <v>22</v>
      </c>
      <c r="Q67" s="99">
        <f t="shared" si="55"/>
        <v>0</v>
      </c>
      <c r="R67" s="96">
        <v>20</v>
      </c>
      <c r="S67" s="97">
        <f t="shared" si="56"/>
        <v>20</v>
      </c>
      <c r="T67" s="98">
        <f>IF(X67="Error",0,VLOOKUP(E67,Rates!$B$5:$H$105,7,FALSE))</f>
        <v>17</v>
      </c>
      <c r="U67" s="99">
        <f t="shared" si="57"/>
        <v>340</v>
      </c>
      <c r="V67" s="100">
        <f t="shared" si="58"/>
        <v>50</v>
      </c>
      <c r="W67" s="101">
        <f t="shared" si="59"/>
        <v>1750</v>
      </c>
      <c r="X67" s="102" t="str">
        <f>IF(OR(COUNTIF(Rates!$J$13:$J$17,B67)=0,COUNTIF(Overview!$B$30:$B$84,C67)=0,D67="",E67="",ISNUMBER(F67)=FALSE,ISNUMBER(J67)=FALSE,ISNUMBER(N67)=FALSE,ISNUMBER(R67)=FALSE,IF(ISNUMBER(F67)=TRUE,F67=INT(F67*10)/10=FALSE),IF(ISNUMBER(J67)=TRUE,J67=INT(J67*10)/10=FALSE),IF(ISNUMBER(N67)=TRUE,N67=INT(N67*10)/10=FALSE),IF(ISNUMBER(R67)=TRUE,R67=INT(R67*10)/10=FALSE)),"Error","")</f>
        <v/>
      </c>
    </row>
    <row r="68" spans="2:24" s="103" customFormat="1" x14ac:dyDescent="0.25">
      <c r="B68" s="60" t="s">
        <v>369</v>
      </c>
      <c r="C68" s="94" t="s">
        <v>29</v>
      </c>
      <c r="D68" s="104" t="str">
        <f>IFERROR(IF(VLOOKUP(C68,Overview!$B$30:$E$84,2,FALSE)=0,"",VLOOKUP(C68,Overview!$B$30:$E$84,2,FALSE)),"")</f>
        <v>Khorog State University</v>
      </c>
      <c r="E68" s="104" t="str">
        <f>IFERROR(IF(OR(VLOOKUP(C68,Overview!$B$30:$E$84,4,FALSE)="Country not found",VLOOKUP(C68,Overview!$B$30:$E$84,3,FALSE)=0),"",VLOOKUP(C68,Overview!$B$30:$E$84,3,FALSE)),"")</f>
        <v>Tajikistan</v>
      </c>
      <c r="F68" s="96">
        <v>30</v>
      </c>
      <c r="G68" s="97">
        <f t="shared" si="50"/>
        <v>30</v>
      </c>
      <c r="H68" s="98">
        <f>IF(X68="Error",0,VLOOKUP(E68,Rates!$B$5:$H$105,4,FALSE))</f>
        <v>47</v>
      </c>
      <c r="I68" s="99">
        <f t="shared" si="51"/>
        <v>1410</v>
      </c>
      <c r="J68" s="96">
        <v>0</v>
      </c>
      <c r="K68" s="97">
        <f t="shared" si="52"/>
        <v>0</v>
      </c>
      <c r="L68" s="98">
        <f>IF(X68="Error",0,VLOOKUP(E68,Rates!$B$5:$H$105,5,FALSE))</f>
        <v>33</v>
      </c>
      <c r="M68" s="99">
        <f t="shared" si="53"/>
        <v>0</v>
      </c>
      <c r="N68" s="96">
        <v>0</v>
      </c>
      <c r="O68" s="97">
        <f t="shared" si="54"/>
        <v>0</v>
      </c>
      <c r="P68" s="98">
        <f>IF(X68="Error",0,VLOOKUP(E68,Rates!$B$5:$H$105,6,FALSE))</f>
        <v>22</v>
      </c>
      <c r="Q68" s="99">
        <f t="shared" si="55"/>
        <v>0</v>
      </c>
      <c r="R68" s="96">
        <v>20</v>
      </c>
      <c r="S68" s="97">
        <f t="shared" si="56"/>
        <v>20</v>
      </c>
      <c r="T68" s="98">
        <f>IF(X68="Error",0,VLOOKUP(E68,Rates!$B$5:$H$105,7,FALSE))</f>
        <v>17</v>
      </c>
      <c r="U68" s="99">
        <f t="shared" si="57"/>
        <v>340</v>
      </c>
      <c r="V68" s="100">
        <f t="shared" si="58"/>
        <v>50</v>
      </c>
      <c r="W68" s="101">
        <f t="shared" si="59"/>
        <v>1750</v>
      </c>
      <c r="X68" s="102" t="str">
        <f>IF(OR(COUNTIF(Rates!$J$13:$J$17,B68)=0,COUNTIF(Overview!$B$30:$B$84,C68)=0,D68="",E68="",ISNUMBER(F68)=FALSE,ISNUMBER(J68)=FALSE,ISNUMBER(N68)=FALSE,ISNUMBER(R68)=FALSE,IF(ISNUMBER(F68)=TRUE,F68=INT(F68*10)/10=FALSE),IF(ISNUMBER(J68)=TRUE,J68=INT(J68*10)/10=FALSE),IF(ISNUMBER(N68)=TRUE,N68=INT(N68*10)/10=FALSE),IF(ISNUMBER(R68)=TRUE,R68=INT(R68*10)/10=FALSE)),"Error","")</f>
        <v/>
      </c>
    </row>
    <row r="69" spans="2:24" s="103" customFormat="1" x14ac:dyDescent="0.25">
      <c r="B69" s="60" t="s">
        <v>369</v>
      </c>
      <c r="C69" s="94" t="s">
        <v>30</v>
      </c>
      <c r="D69" s="104" t="str">
        <f>IFERROR(IF(VLOOKUP(C69,Overview!$B$30:$E$84,2,FALSE)=0,"",VLOOKUP(C69,Overview!$B$30:$E$84,2,FALSE)),"")</f>
        <v>Tajik Pedagogical University</v>
      </c>
      <c r="E69" s="104" t="str">
        <f>IFERROR(IF(OR(VLOOKUP(C69,Overview!$B$30:$E$84,4,FALSE)="Country not found",VLOOKUP(C69,Overview!$B$30:$E$84,3,FALSE)=0),"",VLOOKUP(C69,Overview!$B$30:$E$84,3,FALSE)),"")</f>
        <v>Tajikistan</v>
      </c>
      <c r="F69" s="96">
        <v>30</v>
      </c>
      <c r="G69" s="97">
        <f t="shared" si="50"/>
        <v>30</v>
      </c>
      <c r="H69" s="98">
        <f>IF(X69="Error",0,VLOOKUP(E69,Rates!$B$5:$H$105,4,FALSE))</f>
        <v>47</v>
      </c>
      <c r="I69" s="99">
        <f t="shared" si="51"/>
        <v>1410</v>
      </c>
      <c r="J69" s="96">
        <v>0</v>
      </c>
      <c r="K69" s="97">
        <f t="shared" si="52"/>
        <v>0</v>
      </c>
      <c r="L69" s="98">
        <f>IF(X69="Error",0,VLOOKUP(E69,Rates!$B$5:$H$105,5,FALSE))</f>
        <v>33</v>
      </c>
      <c r="M69" s="99">
        <f t="shared" si="53"/>
        <v>0</v>
      </c>
      <c r="N69" s="96">
        <v>0</v>
      </c>
      <c r="O69" s="97">
        <f t="shared" si="54"/>
        <v>0</v>
      </c>
      <c r="P69" s="98">
        <f>IF(X69="Error",0,VLOOKUP(E69,Rates!$B$5:$H$105,6,FALSE))</f>
        <v>22</v>
      </c>
      <c r="Q69" s="99">
        <f t="shared" si="55"/>
        <v>0</v>
      </c>
      <c r="R69" s="96">
        <v>19</v>
      </c>
      <c r="S69" s="97">
        <f t="shared" si="56"/>
        <v>19</v>
      </c>
      <c r="T69" s="98">
        <f>IF(X69="Error",0,VLOOKUP(E69,Rates!$B$5:$H$105,7,FALSE))</f>
        <v>17</v>
      </c>
      <c r="U69" s="99">
        <f t="shared" si="57"/>
        <v>323</v>
      </c>
      <c r="V69" s="100">
        <f t="shared" si="58"/>
        <v>49</v>
      </c>
      <c r="W69" s="101">
        <f t="shared" si="59"/>
        <v>1733</v>
      </c>
      <c r="X69" s="102" t="str">
        <f>IF(OR(COUNTIF(Rates!$J$13:$J$17,B69)=0,COUNTIF(Overview!$B$30:$B$84,C69)=0,D69="",E69="",ISNUMBER(F69)=FALSE,ISNUMBER(J69)=FALSE,ISNUMBER(N69)=FALSE,ISNUMBER(R69)=FALSE,IF(ISNUMBER(F69)=TRUE,F69=INT(F69*10)/10=FALSE),IF(ISNUMBER(J69)=TRUE,J69=INT(J69*10)/10=FALSE),IF(ISNUMBER(N69)=TRUE,N69=INT(N69*10)/10=FALSE),IF(ISNUMBER(R69)=TRUE,R69=INT(R69*10)/10=FALSE)),"Error","")</f>
        <v/>
      </c>
    </row>
    <row r="70" spans="2:24" s="103" customFormat="1" x14ac:dyDescent="0.25">
      <c r="B70" s="60" t="s">
        <v>369</v>
      </c>
      <c r="C70" s="94" t="s">
        <v>127</v>
      </c>
      <c r="D70" s="104" t="str">
        <f>IFERROR(IF(VLOOKUP(C70,Overview!$B$30:$E$84,2,FALSE)=0,"",VLOOKUP(C70,Overview!$B$30:$E$84,2,FALSE)),"")</f>
        <v>Kazakhstan National Technical University</v>
      </c>
      <c r="E70" s="104" t="str">
        <f>IFERROR(IF(OR(VLOOKUP(C70,Overview!$B$30:$E$84,4,FALSE)="Country not found",VLOOKUP(C70,Overview!$B$30:$E$84,3,FALSE)=0),"",VLOOKUP(C70,Overview!$B$30:$E$84,3,FALSE)),"")</f>
        <v>Kazakhstan</v>
      </c>
      <c r="F70" s="96">
        <v>30</v>
      </c>
      <c r="G70" s="97">
        <f t="shared" si="50"/>
        <v>30</v>
      </c>
      <c r="H70" s="98">
        <f>IF(X70="Error",0,VLOOKUP(E70,Rates!$B$5:$H$105,4,FALSE))</f>
        <v>77</v>
      </c>
      <c r="I70" s="99">
        <f t="shared" si="51"/>
        <v>2310</v>
      </c>
      <c r="J70" s="96">
        <v>0</v>
      </c>
      <c r="K70" s="97">
        <f t="shared" si="52"/>
        <v>0</v>
      </c>
      <c r="L70" s="98">
        <f>IF(X70="Error",0,VLOOKUP(E70,Rates!$B$5:$H$105,5,FALSE))</f>
        <v>57</v>
      </c>
      <c r="M70" s="99">
        <f t="shared" si="53"/>
        <v>0</v>
      </c>
      <c r="N70" s="96">
        <v>0</v>
      </c>
      <c r="O70" s="97">
        <f t="shared" si="54"/>
        <v>0</v>
      </c>
      <c r="P70" s="98">
        <f>IF(X70="Error",0,VLOOKUP(E70,Rates!$B$5:$H$105,6,FALSE))</f>
        <v>40</v>
      </c>
      <c r="Q70" s="99">
        <f t="shared" si="55"/>
        <v>0</v>
      </c>
      <c r="R70" s="96">
        <v>20</v>
      </c>
      <c r="S70" s="97">
        <f t="shared" si="56"/>
        <v>20</v>
      </c>
      <c r="T70" s="98">
        <f>IF(X70="Error",0,VLOOKUP(E70,Rates!$B$5:$H$105,7,FALSE))</f>
        <v>32</v>
      </c>
      <c r="U70" s="99">
        <f t="shared" si="57"/>
        <v>640</v>
      </c>
      <c r="V70" s="100">
        <f t="shared" si="58"/>
        <v>50</v>
      </c>
      <c r="W70" s="101">
        <f t="shared" si="59"/>
        <v>2950</v>
      </c>
      <c r="X70" s="102" t="str">
        <f>IF(OR(COUNTIF(Rates!$J$13:$J$17,B70)=0,COUNTIF(Overview!$B$30:$B$84,C70)=0,D70="",E70="",ISNUMBER(F70)=FALSE,ISNUMBER(J70)=FALSE,ISNUMBER(N70)=FALSE,ISNUMBER(R70)=FALSE,IF(ISNUMBER(F70)=TRUE,F70=INT(F70*10)/10=FALSE),IF(ISNUMBER(J70)=TRUE,J70=INT(J70*10)/10=FALSE),IF(ISNUMBER(N70)=TRUE,N70=INT(N70*10)/10=FALSE),IF(ISNUMBER(R70)=TRUE,R70=INT(R70*10)/10=FALSE)),"Error","")</f>
        <v/>
      </c>
    </row>
    <row r="71" spans="2:24" s="103" customFormat="1" x14ac:dyDescent="0.25">
      <c r="B71" s="60" t="s">
        <v>369</v>
      </c>
      <c r="C71" s="94" t="s">
        <v>128</v>
      </c>
      <c r="D71" s="104" t="str">
        <f>IFERROR(IF(VLOOKUP(C71,Overview!$B$30:$E$84,2,FALSE)=0,"",VLOOKUP(C71,Overview!$B$30:$E$84,2,FALSE)),"")</f>
        <v xml:space="preserve">Zhezkazgan Baikonurov University </v>
      </c>
      <c r="E71" s="104" t="str">
        <f>IFERROR(IF(OR(VLOOKUP(C71,Overview!$B$30:$E$84,4,FALSE)="Country not found",VLOOKUP(C71,Overview!$B$30:$E$84,3,FALSE)=0),"",VLOOKUP(C71,Overview!$B$30:$E$84,3,FALSE)),"")</f>
        <v>Kazakhstan</v>
      </c>
      <c r="F71" s="96">
        <v>30</v>
      </c>
      <c r="G71" s="97">
        <f t="shared" si="50"/>
        <v>30</v>
      </c>
      <c r="H71" s="98">
        <f>IF(X71="Error",0,VLOOKUP(E71,Rates!$B$5:$H$105,4,FALSE))</f>
        <v>77</v>
      </c>
      <c r="I71" s="99">
        <f t="shared" si="51"/>
        <v>2310</v>
      </c>
      <c r="J71" s="96">
        <v>0</v>
      </c>
      <c r="K71" s="97">
        <f t="shared" si="52"/>
        <v>0</v>
      </c>
      <c r="L71" s="98">
        <f>IF(X71="Error",0,VLOOKUP(E71,Rates!$B$5:$H$105,5,FALSE))</f>
        <v>57</v>
      </c>
      <c r="M71" s="99">
        <f t="shared" si="53"/>
        <v>0</v>
      </c>
      <c r="N71" s="96">
        <v>0</v>
      </c>
      <c r="O71" s="97">
        <f t="shared" si="54"/>
        <v>0</v>
      </c>
      <c r="P71" s="98">
        <f>IF(X71="Error",0,VLOOKUP(E71,Rates!$B$5:$H$105,6,FALSE))</f>
        <v>40</v>
      </c>
      <c r="Q71" s="99">
        <f t="shared" si="55"/>
        <v>0</v>
      </c>
      <c r="R71" s="96">
        <v>20</v>
      </c>
      <c r="S71" s="97">
        <f t="shared" si="56"/>
        <v>20</v>
      </c>
      <c r="T71" s="98">
        <f>IF(X71="Error",0,VLOOKUP(E71,Rates!$B$5:$H$105,7,FALSE))</f>
        <v>32</v>
      </c>
      <c r="U71" s="99">
        <f t="shared" si="57"/>
        <v>640</v>
      </c>
      <c r="V71" s="100">
        <f t="shared" si="58"/>
        <v>50</v>
      </c>
      <c r="W71" s="101">
        <f t="shared" si="59"/>
        <v>2950</v>
      </c>
      <c r="X71" s="102" t="str">
        <f>IF(OR(COUNTIF(Rates!$J$13:$J$17,B71)=0,COUNTIF(Overview!$B$30:$B$84,C71)=0,D71="",E71="",ISNUMBER(F71)=FALSE,ISNUMBER(J71)=FALSE,ISNUMBER(N71)=FALSE,ISNUMBER(R71)=FALSE,IF(ISNUMBER(F71)=TRUE,F71=INT(F71*10)/10=FALSE),IF(ISNUMBER(J71)=TRUE,J71=INT(J71*10)/10=FALSE),IF(ISNUMBER(N71)=TRUE,N71=INT(N71*10)/10=FALSE),IF(ISNUMBER(R71)=TRUE,R71=INT(R71*10)/10=FALSE)),"Error","")</f>
        <v/>
      </c>
    </row>
    <row r="72" spans="2:24" s="103" customFormat="1" x14ac:dyDescent="0.25">
      <c r="B72" s="60" t="s">
        <v>369</v>
      </c>
      <c r="C72" s="94" t="s">
        <v>15</v>
      </c>
      <c r="D72" s="104" t="str">
        <f>IFERROR(IF(VLOOKUP(C72,Overview!$B$30:$E$84,2,FALSE)=0,"",VLOOKUP(C72,Overview!$B$30:$E$84,2,FALSE)),"")</f>
        <v>University of Patras</v>
      </c>
      <c r="E72" s="104" t="str">
        <f>IFERROR(IF(OR(VLOOKUP(C72,Overview!$B$30:$E$84,4,FALSE)="Country not found",VLOOKUP(C72,Overview!$B$30:$E$84,3,FALSE)=0),"",VLOOKUP(C72,Overview!$B$30:$E$84,3,FALSE)),"")</f>
        <v>Greece</v>
      </c>
      <c r="F72" s="96">
        <v>70</v>
      </c>
      <c r="G72" s="97">
        <f t="shared" si="50"/>
        <v>70</v>
      </c>
      <c r="H72" s="98">
        <f>IF(X72="Error",0,VLOOKUP(E72,Rates!$B$5:$H$105,4,FALSE))</f>
        <v>164</v>
      </c>
      <c r="I72" s="99">
        <f t="shared" si="51"/>
        <v>11480</v>
      </c>
      <c r="J72" s="96">
        <v>30</v>
      </c>
      <c r="K72" s="97">
        <f t="shared" si="52"/>
        <v>30</v>
      </c>
      <c r="L72" s="98">
        <f>IF(X72="Error",0,VLOOKUP(E72,Rates!$B$5:$H$105,5,FALSE))</f>
        <v>137</v>
      </c>
      <c r="M72" s="99">
        <f t="shared" si="53"/>
        <v>4110</v>
      </c>
      <c r="N72" s="96">
        <v>0</v>
      </c>
      <c r="O72" s="97">
        <f t="shared" si="54"/>
        <v>0</v>
      </c>
      <c r="P72" s="98">
        <f>IF(X72="Error",0,VLOOKUP(E72,Rates!$B$5:$H$105,6,FALSE))</f>
        <v>102</v>
      </c>
      <c r="Q72" s="99">
        <f t="shared" si="55"/>
        <v>0</v>
      </c>
      <c r="R72" s="96">
        <v>19</v>
      </c>
      <c r="S72" s="97">
        <f t="shared" si="56"/>
        <v>19</v>
      </c>
      <c r="T72" s="98">
        <f>IF(X72="Error",0,VLOOKUP(E72,Rates!$B$5:$H$105,7,FALSE))</f>
        <v>78</v>
      </c>
      <c r="U72" s="99">
        <f t="shared" si="57"/>
        <v>1482</v>
      </c>
      <c r="V72" s="100">
        <f t="shared" si="58"/>
        <v>119</v>
      </c>
      <c r="W72" s="101">
        <f t="shared" si="59"/>
        <v>17072</v>
      </c>
      <c r="X72" s="102" t="str">
        <f>IF(OR(COUNTIF(Rates!$J$13:$J$17,B72)=0,COUNTIF(Overview!$B$30:$B$84,C72)=0,D72="",E72="",ISNUMBER(F72)=FALSE,ISNUMBER(J72)=FALSE,ISNUMBER(N72)=FALSE,ISNUMBER(R72)=FALSE,IF(ISNUMBER(F72)=TRUE,F72=INT(F72*10)/10=FALSE),IF(ISNUMBER(J72)=TRUE,J72=INT(J72*10)/10=FALSE),IF(ISNUMBER(N72)=TRUE,N72=INT(N72*10)/10=FALSE),IF(ISNUMBER(R72)=TRUE,R72=INT(R72*10)/10=FALSE)),"Error","")</f>
        <v/>
      </c>
    </row>
    <row r="73" spans="2:24" s="103" customFormat="1" x14ac:dyDescent="0.25">
      <c r="B73" s="60" t="s">
        <v>369</v>
      </c>
      <c r="C73" s="94" t="s">
        <v>17</v>
      </c>
      <c r="D73" s="104" t="str">
        <f>IFERROR(IF(VLOOKUP(C73,Overview!$B$30:$E$84,2,FALSE)=0,"",VLOOKUP(C73,Overview!$B$30:$E$84,2,FALSE)),"")</f>
        <v>Wroclaw Technical University</v>
      </c>
      <c r="E73" s="104" t="str">
        <f>IFERROR(IF(OR(VLOOKUP(C73,Overview!$B$30:$E$84,4,FALSE)="Country not found",VLOOKUP(C73,Overview!$B$30:$E$84,3,FALSE)=0),"",VLOOKUP(C73,Overview!$B$30:$E$84,3,FALSE)),"")</f>
        <v>Poland</v>
      </c>
      <c r="F73" s="96">
        <v>39</v>
      </c>
      <c r="G73" s="97">
        <f t="shared" si="50"/>
        <v>39</v>
      </c>
      <c r="H73" s="98">
        <f>IF(X73="Error",0,VLOOKUP(E73,Rates!$B$5:$H$105,4,FALSE))</f>
        <v>88</v>
      </c>
      <c r="I73" s="99">
        <f t="shared" si="51"/>
        <v>3432</v>
      </c>
      <c r="J73" s="96">
        <v>30</v>
      </c>
      <c r="K73" s="97">
        <f t="shared" si="52"/>
        <v>30</v>
      </c>
      <c r="L73" s="98">
        <f>IF(X73="Error",0,VLOOKUP(E73,Rates!$B$5:$H$105,5,FALSE))</f>
        <v>74</v>
      </c>
      <c r="M73" s="99">
        <f t="shared" si="53"/>
        <v>2220</v>
      </c>
      <c r="N73" s="96">
        <v>0</v>
      </c>
      <c r="O73" s="97">
        <f t="shared" si="54"/>
        <v>0</v>
      </c>
      <c r="P73" s="98">
        <f>IF(X73="Error",0,VLOOKUP(E73,Rates!$B$5:$H$105,6,FALSE))</f>
        <v>55</v>
      </c>
      <c r="Q73" s="99">
        <f t="shared" si="55"/>
        <v>0</v>
      </c>
      <c r="R73" s="96">
        <v>20</v>
      </c>
      <c r="S73" s="97">
        <f t="shared" si="56"/>
        <v>20</v>
      </c>
      <c r="T73" s="98">
        <f>IF(X73="Error",0,VLOOKUP(E73,Rates!$B$5:$H$105,7,FALSE))</f>
        <v>39</v>
      </c>
      <c r="U73" s="99">
        <f t="shared" si="57"/>
        <v>780</v>
      </c>
      <c r="V73" s="100">
        <f t="shared" si="58"/>
        <v>89</v>
      </c>
      <c r="W73" s="101">
        <f t="shared" si="59"/>
        <v>6432</v>
      </c>
      <c r="X73" s="102" t="str">
        <f>IF(OR(COUNTIF(Rates!$J$13:$J$17,B73)=0,COUNTIF(Overview!$B$30:$B$84,C73)=0,D73="",E73="",ISNUMBER(F73)=FALSE,ISNUMBER(J73)=FALSE,ISNUMBER(N73)=FALSE,ISNUMBER(R73)=FALSE,IF(ISNUMBER(F73)=TRUE,F73=INT(F73*10)/10=FALSE),IF(ISNUMBER(J73)=TRUE,J73=INT(J73*10)/10=FALSE),IF(ISNUMBER(N73)=TRUE,N73=INT(N73*10)/10=FALSE),IF(ISNUMBER(R73)=TRUE,R73=INT(R73*10)/10=FALSE)),"Error","")</f>
        <v/>
      </c>
    </row>
    <row r="74" spans="2:24" s="103" customFormat="1" x14ac:dyDescent="0.25">
      <c r="B74" s="60" t="s">
        <v>369</v>
      </c>
      <c r="C74" s="94" t="s">
        <v>18</v>
      </c>
      <c r="D74" s="104" t="str">
        <f>IFERROR(IF(VLOOKUP(C74,Overview!$B$30:$E$84,2,FALSE)=0,"",VLOOKUP(C74,Overview!$B$30:$E$84,2,FALSE)),"")</f>
        <v>Koblenz-Landau University</v>
      </c>
      <c r="E74" s="104" t="str">
        <f>IFERROR(IF(OR(VLOOKUP(C74,Overview!$B$30:$E$84,4,FALSE)="Country not found",VLOOKUP(C74,Overview!$B$30:$E$84,3,FALSE)=0),"",VLOOKUP(C74,Overview!$B$30:$E$84,3,FALSE)),"")</f>
        <v>Germany</v>
      </c>
      <c r="F74" s="96">
        <v>50</v>
      </c>
      <c r="G74" s="97">
        <f t="shared" si="50"/>
        <v>50</v>
      </c>
      <c r="H74" s="98">
        <f>IF(X74="Error",0,VLOOKUP(E74,Rates!$B$5:$H$105,4,FALSE))</f>
        <v>280</v>
      </c>
      <c r="I74" s="99">
        <f t="shared" si="51"/>
        <v>14000</v>
      </c>
      <c r="J74" s="96">
        <v>0</v>
      </c>
      <c r="K74" s="97">
        <f t="shared" si="52"/>
        <v>0</v>
      </c>
      <c r="L74" s="98">
        <f>IF(X74="Error",0,VLOOKUP(E74,Rates!$B$5:$H$105,5,FALSE))</f>
        <v>214</v>
      </c>
      <c r="M74" s="99">
        <f t="shared" si="53"/>
        <v>0</v>
      </c>
      <c r="N74" s="96">
        <v>0</v>
      </c>
      <c r="O74" s="97">
        <f t="shared" si="54"/>
        <v>0</v>
      </c>
      <c r="P74" s="98">
        <f>IF(X74="Error",0,VLOOKUP(E74,Rates!$B$5:$H$105,6,FALSE))</f>
        <v>162</v>
      </c>
      <c r="Q74" s="99">
        <f t="shared" si="55"/>
        <v>0</v>
      </c>
      <c r="R74" s="96">
        <v>20</v>
      </c>
      <c r="S74" s="97">
        <f t="shared" si="56"/>
        <v>20</v>
      </c>
      <c r="T74" s="98">
        <f>IF(X74="Error",0,VLOOKUP(E74,Rates!$B$5:$H$105,7,FALSE))</f>
        <v>131</v>
      </c>
      <c r="U74" s="99">
        <f t="shared" si="57"/>
        <v>2620</v>
      </c>
      <c r="V74" s="100">
        <f t="shared" si="58"/>
        <v>70</v>
      </c>
      <c r="W74" s="101">
        <f t="shared" si="59"/>
        <v>16620</v>
      </c>
      <c r="X74" s="102" t="str">
        <f>IF(OR(COUNTIF(Rates!$J$13:$J$17,B74)=0,COUNTIF(Overview!$B$30:$B$84,C74)=0,D74="",E74="",ISNUMBER(F74)=FALSE,ISNUMBER(J74)=FALSE,ISNUMBER(N74)=FALSE,ISNUMBER(R74)=FALSE,IF(ISNUMBER(F74)=TRUE,F74=INT(F74*10)/10=FALSE),IF(ISNUMBER(J74)=TRUE,J74=INT(J74*10)/10=FALSE),IF(ISNUMBER(N74)=TRUE,N74=INT(N74*10)/10=FALSE),IF(ISNUMBER(R74)=TRUE,R74=INT(R74*10)/10=FALSE)),"Error","")</f>
        <v/>
      </c>
    </row>
    <row r="75" spans="2:24" s="103" customFormat="1" x14ac:dyDescent="0.25">
      <c r="B75" s="60" t="s">
        <v>369</v>
      </c>
      <c r="C75" s="94" t="s">
        <v>19</v>
      </c>
      <c r="D75" s="104" t="str">
        <f>IFERROR(IF(VLOOKUP(C75,Overview!$B$30:$E$84,2,FALSE)=0,"",VLOOKUP(C75,Overview!$B$30:$E$84,2,FALSE)),"")</f>
        <v>The Network University</v>
      </c>
      <c r="E75" s="104" t="str">
        <f>IFERROR(IF(OR(VLOOKUP(C75,Overview!$B$30:$E$84,4,FALSE)="Country not found",VLOOKUP(C75,Overview!$B$30:$E$84,3,FALSE)=0),"",VLOOKUP(C75,Overview!$B$30:$E$84,3,FALSE)),"")</f>
        <v>Netherlands</v>
      </c>
      <c r="F75" s="96">
        <v>10</v>
      </c>
      <c r="G75" s="97">
        <f t="shared" si="50"/>
        <v>10</v>
      </c>
      <c r="H75" s="98">
        <f>IF(X75="Error",0,VLOOKUP(E75,Rates!$B$5:$H$105,4,FALSE))</f>
        <v>294</v>
      </c>
      <c r="I75" s="99">
        <f t="shared" si="51"/>
        <v>2940</v>
      </c>
      <c r="J75" s="96">
        <v>10</v>
      </c>
      <c r="K75" s="97">
        <f t="shared" si="52"/>
        <v>10</v>
      </c>
      <c r="L75" s="98">
        <f>IF(X75="Error",0,VLOOKUP(E75,Rates!$B$5:$H$105,5,FALSE))</f>
        <v>241</v>
      </c>
      <c r="M75" s="99">
        <f t="shared" si="53"/>
        <v>2410</v>
      </c>
      <c r="N75" s="96">
        <v>0</v>
      </c>
      <c r="O75" s="97">
        <f t="shared" si="54"/>
        <v>0</v>
      </c>
      <c r="P75" s="98">
        <f>IF(X75="Error",0,VLOOKUP(E75,Rates!$B$5:$H$105,6,FALSE))</f>
        <v>190</v>
      </c>
      <c r="Q75" s="99">
        <f t="shared" si="55"/>
        <v>0</v>
      </c>
      <c r="R75" s="96">
        <v>0</v>
      </c>
      <c r="S75" s="97">
        <f t="shared" si="56"/>
        <v>0</v>
      </c>
      <c r="T75" s="98">
        <f>IF(X75="Error",0,VLOOKUP(E75,Rates!$B$5:$H$105,7,FALSE))</f>
        <v>157</v>
      </c>
      <c r="U75" s="99">
        <f t="shared" si="57"/>
        <v>0</v>
      </c>
      <c r="V75" s="100">
        <f t="shared" si="58"/>
        <v>20</v>
      </c>
      <c r="W75" s="101">
        <f t="shared" si="59"/>
        <v>5350</v>
      </c>
      <c r="X75" s="102" t="str">
        <f>IF(OR(COUNTIF(Rates!$J$13:$J$17,B75)=0,COUNTIF(Overview!$B$30:$B$84,C75)=0,D75="",E75="",ISNUMBER(F75)=FALSE,ISNUMBER(J75)=FALSE,ISNUMBER(N75)=FALSE,ISNUMBER(R75)=FALSE,IF(ISNUMBER(F75)=TRUE,F75=INT(F75*10)/10=FALSE),IF(ISNUMBER(J75)=TRUE,J75=INT(J75*10)/10=FALSE),IF(ISNUMBER(N75)=TRUE,N75=INT(N75*10)/10=FALSE),IF(ISNUMBER(R75)=TRUE,R75=INT(R75*10)/10=FALSE)),"Error","")</f>
        <v/>
      </c>
    </row>
    <row r="76" spans="2:24" s="103" customFormat="1" x14ac:dyDescent="0.25">
      <c r="B76" s="60" t="s">
        <v>369</v>
      </c>
      <c r="C76" s="94" t="s">
        <v>20</v>
      </c>
      <c r="D76" s="104" t="str">
        <f>IFERROR(IF(VLOOKUP(C76,Overview!$B$30:$E$84,2,FALSE)=0,"",VLOOKUP(C76,Overview!$B$30:$E$84,2,FALSE)),"")</f>
        <v>Tashkent State Technical University</v>
      </c>
      <c r="E76" s="104" t="str">
        <f>IFERROR(IF(OR(VLOOKUP(C76,Overview!$B$30:$E$84,4,FALSE)="Country not found",VLOOKUP(C76,Overview!$B$30:$E$84,3,FALSE)=0),"",VLOOKUP(C76,Overview!$B$30:$E$84,3,FALSE)),"")</f>
        <v>Uzbekistan</v>
      </c>
      <c r="F76" s="96">
        <v>31</v>
      </c>
      <c r="G76" s="97">
        <f t="shared" si="50"/>
        <v>31</v>
      </c>
      <c r="H76" s="98">
        <f>IF(X76="Error",0,VLOOKUP(E76,Rates!$B$5:$H$105,4,FALSE))</f>
        <v>47</v>
      </c>
      <c r="I76" s="99">
        <f t="shared" si="51"/>
        <v>1457</v>
      </c>
      <c r="J76" s="96">
        <v>0</v>
      </c>
      <c r="K76" s="97">
        <f t="shared" si="52"/>
        <v>0</v>
      </c>
      <c r="L76" s="98">
        <f>IF(X76="Error",0,VLOOKUP(E76,Rates!$B$5:$H$105,5,FALSE))</f>
        <v>33</v>
      </c>
      <c r="M76" s="99">
        <f t="shared" si="53"/>
        <v>0</v>
      </c>
      <c r="N76" s="96">
        <v>0</v>
      </c>
      <c r="O76" s="97">
        <f t="shared" si="54"/>
        <v>0</v>
      </c>
      <c r="P76" s="98">
        <f>IF(X76="Error",0,VLOOKUP(E76,Rates!$B$5:$H$105,6,FALSE))</f>
        <v>22</v>
      </c>
      <c r="Q76" s="99">
        <f t="shared" si="55"/>
        <v>0</v>
      </c>
      <c r="R76" s="96">
        <v>0</v>
      </c>
      <c r="S76" s="97">
        <f t="shared" si="56"/>
        <v>0</v>
      </c>
      <c r="T76" s="98">
        <f>IF(X76="Error",0,VLOOKUP(E76,Rates!$B$5:$H$105,7,FALSE))</f>
        <v>17</v>
      </c>
      <c r="U76" s="99">
        <f t="shared" si="57"/>
        <v>0</v>
      </c>
      <c r="V76" s="100">
        <f t="shared" si="58"/>
        <v>31</v>
      </c>
      <c r="W76" s="101">
        <f t="shared" si="59"/>
        <v>1457</v>
      </c>
      <c r="X76" s="102" t="str">
        <f>IF(OR(COUNTIF(Rates!$J$13:$J$17,B76)=0,COUNTIF(Overview!$B$30:$B$84,C76)=0,D76="",E76="",ISNUMBER(F76)=FALSE,ISNUMBER(J76)=FALSE,ISNUMBER(N76)=FALSE,ISNUMBER(R76)=FALSE,IF(ISNUMBER(F76)=TRUE,F76=INT(F76*10)/10=FALSE),IF(ISNUMBER(J76)=TRUE,J76=INT(J76*10)/10=FALSE),IF(ISNUMBER(N76)=TRUE,N76=INT(N76*10)/10=FALSE),IF(ISNUMBER(R76)=TRUE,R76=INT(R76*10)/10=FALSE)),"Error","")</f>
        <v/>
      </c>
    </row>
    <row r="77" spans="2:24" s="103" customFormat="1" x14ac:dyDescent="0.25">
      <c r="B77" s="60" t="s">
        <v>369</v>
      </c>
      <c r="C77" s="94" t="s">
        <v>25</v>
      </c>
      <c r="D77" s="104" t="str">
        <f>IFERROR(IF(VLOOKUP(C77,Overview!$B$30:$E$84,2,FALSE)=0,"",VLOOKUP(C77,Overview!$B$30:$E$84,2,FALSE)),"")</f>
        <v>Bishkek Academy of Finance and Economics</v>
      </c>
      <c r="E77" s="104" t="str">
        <f>IFERROR(IF(OR(VLOOKUP(C77,Overview!$B$30:$E$84,4,FALSE)="Country not found",VLOOKUP(C77,Overview!$B$30:$E$84,3,FALSE)=0),"",VLOOKUP(C77,Overview!$B$30:$E$84,3,FALSE)),"")</f>
        <v>Kyrgyzstan</v>
      </c>
      <c r="F77" s="96">
        <v>30</v>
      </c>
      <c r="G77" s="97">
        <f t="shared" si="50"/>
        <v>30</v>
      </c>
      <c r="H77" s="98">
        <f>IF(X77="Error",0,VLOOKUP(E77,Rates!$B$5:$H$105,4,FALSE))</f>
        <v>47</v>
      </c>
      <c r="I77" s="99">
        <f t="shared" si="51"/>
        <v>1410</v>
      </c>
      <c r="J77" s="96">
        <v>0</v>
      </c>
      <c r="K77" s="97">
        <f t="shared" si="52"/>
        <v>0</v>
      </c>
      <c r="L77" s="98">
        <f>IF(X77="Error",0,VLOOKUP(E77,Rates!$B$5:$H$105,5,FALSE))</f>
        <v>33</v>
      </c>
      <c r="M77" s="99">
        <f t="shared" si="53"/>
        <v>0</v>
      </c>
      <c r="N77" s="96">
        <v>0</v>
      </c>
      <c r="O77" s="97">
        <f t="shared" si="54"/>
        <v>0</v>
      </c>
      <c r="P77" s="98">
        <f>IF(X77="Error",0,VLOOKUP(E77,Rates!$B$5:$H$105,6,FALSE))</f>
        <v>22</v>
      </c>
      <c r="Q77" s="99">
        <f t="shared" si="55"/>
        <v>0</v>
      </c>
      <c r="R77" s="96">
        <v>0</v>
      </c>
      <c r="S77" s="97">
        <f t="shared" si="56"/>
        <v>0</v>
      </c>
      <c r="T77" s="98">
        <f>IF(X77="Error",0,VLOOKUP(E77,Rates!$B$5:$H$105,7,FALSE))</f>
        <v>17</v>
      </c>
      <c r="U77" s="99">
        <f t="shared" si="57"/>
        <v>0</v>
      </c>
      <c r="V77" s="100">
        <f t="shared" si="58"/>
        <v>30</v>
      </c>
      <c r="W77" s="101">
        <f t="shared" si="59"/>
        <v>1410</v>
      </c>
      <c r="X77" s="102" t="str">
        <f>IF(OR(COUNTIF(Rates!$J$13:$J$17,B77)=0,COUNTIF(Overview!$B$30:$B$84,C77)=0,D77="",E77="",ISNUMBER(F77)=FALSE,ISNUMBER(J77)=FALSE,ISNUMBER(N77)=FALSE,ISNUMBER(R77)=FALSE,IF(ISNUMBER(F77)=TRUE,F77=INT(F77*10)/10=FALSE),IF(ISNUMBER(J77)=TRUE,J77=INT(J77*10)/10=FALSE),IF(ISNUMBER(N77)=TRUE,N77=INT(N77*10)/10=FALSE),IF(ISNUMBER(R77)=TRUE,R77=INT(R77*10)/10=FALSE)),"Error","")</f>
        <v/>
      </c>
    </row>
    <row r="78" spans="2:24" s="103" customFormat="1" x14ac:dyDescent="0.25">
      <c r="B78" s="60" t="s">
        <v>369</v>
      </c>
      <c r="C78" s="94" t="s">
        <v>30</v>
      </c>
      <c r="D78" s="104" t="str">
        <f>IFERROR(IF(VLOOKUP(C78,Overview!$B$30:$E$84,2,FALSE)=0,"",VLOOKUP(C78,Overview!$B$30:$E$84,2,FALSE)),"")</f>
        <v>Tajik Pedagogical University</v>
      </c>
      <c r="E78" s="104" t="str">
        <f>IFERROR(IF(OR(VLOOKUP(C78,Overview!$B$30:$E$84,4,FALSE)="Country not found",VLOOKUP(C78,Overview!$B$30:$E$84,3,FALSE)=0),"",VLOOKUP(C78,Overview!$B$30:$E$84,3,FALSE)),"")</f>
        <v>Tajikistan</v>
      </c>
      <c r="F78" s="96">
        <v>30</v>
      </c>
      <c r="G78" s="97">
        <f t="shared" si="50"/>
        <v>30</v>
      </c>
      <c r="H78" s="98">
        <f>IF(X78="Error",0,VLOOKUP(E78,Rates!$B$5:$H$105,4,FALSE))</f>
        <v>47</v>
      </c>
      <c r="I78" s="99">
        <f t="shared" si="51"/>
        <v>1410</v>
      </c>
      <c r="J78" s="96">
        <v>0</v>
      </c>
      <c r="K78" s="97">
        <f t="shared" si="52"/>
        <v>0</v>
      </c>
      <c r="L78" s="98">
        <f>IF(X78="Error",0,VLOOKUP(E78,Rates!$B$5:$H$105,5,FALSE))</f>
        <v>33</v>
      </c>
      <c r="M78" s="99">
        <f t="shared" si="53"/>
        <v>0</v>
      </c>
      <c r="N78" s="96">
        <v>0</v>
      </c>
      <c r="O78" s="97">
        <f t="shared" si="54"/>
        <v>0</v>
      </c>
      <c r="P78" s="98">
        <f>IF(X78="Error",0,VLOOKUP(E78,Rates!$B$5:$H$105,6,FALSE))</f>
        <v>22</v>
      </c>
      <c r="Q78" s="99">
        <f t="shared" si="55"/>
        <v>0</v>
      </c>
      <c r="R78" s="96">
        <v>0</v>
      </c>
      <c r="S78" s="97">
        <f t="shared" si="56"/>
        <v>0</v>
      </c>
      <c r="T78" s="98">
        <f>IF(X78="Error",0,VLOOKUP(E78,Rates!$B$5:$H$105,7,FALSE))</f>
        <v>17</v>
      </c>
      <c r="U78" s="99">
        <f t="shared" si="57"/>
        <v>0</v>
      </c>
      <c r="V78" s="100">
        <f t="shared" si="58"/>
        <v>30</v>
      </c>
      <c r="W78" s="101">
        <f t="shared" si="59"/>
        <v>1410</v>
      </c>
      <c r="X78" s="102" t="str">
        <f>IF(OR(COUNTIF(Rates!$J$13:$J$17,B78)=0,COUNTIF(Overview!$B$30:$B$84,C78)=0,D78="",E78="",ISNUMBER(F78)=FALSE,ISNUMBER(J78)=FALSE,ISNUMBER(N78)=FALSE,ISNUMBER(R78)=FALSE,IF(ISNUMBER(F78)=TRUE,F78=INT(F78*10)/10=FALSE),IF(ISNUMBER(J78)=TRUE,J78=INT(J78*10)/10=FALSE),IF(ISNUMBER(N78)=TRUE,N78=INT(N78*10)/10=FALSE),IF(ISNUMBER(R78)=TRUE,R78=INT(R78*10)/10=FALSE)),"Error","")</f>
        <v/>
      </c>
    </row>
    <row r="79" spans="2:24" s="103" customFormat="1" x14ac:dyDescent="0.25">
      <c r="B79" s="60" t="s">
        <v>369</v>
      </c>
      <c r="C79" s="94" t="s">
        <v>33</v>
      </c>
      <c r="D79" s="104" t="str">
        <f>IFERROR(IF(VLOOKUP(C79,Overview!$B$30:$E$84,2,FALSE)=0,"",VLOOKUP(C79,Overview!$B$30:$E$84,2,FALSE)),"")</f>
        <v>KIMEP University, JSC</v>
      </c>
      <c r="E79" s="104" t="str">
        <f>IFERROR(IF(OR(VLOOKUP(C79,Overview!$B$30:$E$84,4,FALSE)="Country not found",VLOOKUP(C79,Overview!$B$30:$E$84,3,FALSE)=0),"",VLOOKUP(C79,Overview!$B$30:$E$84,3,FALSE)),"")</f>
        <v>Kazakhstan</v>
      </c>
      <c r="F79" s="96">
        <v>30</v>
      </c>
      <c r="G79" s="97">
        <f t="shared" si="50"/>
        <v>30</v>
      </c>
      <c r="H79" s="98">
        <f>IF(X79="Error",0,VLOOKUP(E79,Rates!$B$5:$H$105,4,FALSE))</f>
        <v>77</v>
      </c>
      <c r="I79" s="99">
        <f t="shared" si="51"/>
        <v>2310</v>
      </c>
      <c r="J79" s="96">
        <v>0</v>
      </c>
      <c r="K79" s="97">
        <f t="shared" si="52"/>
        <v>0</v>
      </c>
      <c r="L79" s="98">
        <f>IF(X79="Error",0,VLOOKUP(E79,Rates!$B$5:$H$105,5,FALSE))</f>
        <v>57</v>
      </c>
      <c r="M79" s="99">
        <f t="shared" si="53"/>
        <v>0</v>
      </c>
      <c r="N79" s="96">
        <v>0</v>
      </c>
      <c r="O79" s="97">
        <f t="shared" si="54"/>
        <v>0</v>
      </c>
      <c r="P79" s="98">
        <f>IF(X79="Error",0,VLOOKUP(E79,Rates!$B$5:$H$105,6,FALSE))</f>
        <v>40</v>
      </c>
      <c r="Q79" s="99">
        <f t="shared" si="55"/>
        <v>0</v>
      </c>
      <c r="R79" s="96">
        <v>0</v>
      </c>
      <c r="S79" s="97">
        <f t="shared" si="56"/>
        <v>0</v>
      </c>
      <c r="T79" s="98">
        <f>IF(X79="Error",0,VLOOKUP(E79,Rates!$B$5:$H$105,7,FALSE))</f>
        <v>32</v>
      </c>
      <c r="U79" s="99">
        <f t="shared" si="57"/>
        <v>0</v>
      </c>
      <c r="V79" s="100">
        <f t="shared" si="58"/>
        <v>30</v>
      </c>
      <c r="W79" s="101">
        <f t="shared" si="59"/>
        <v>2310</v>
      </c>
      <c r="X79" s="102" t="str">
        <f>IF(OR(COUNTIF(Rates!$J$13:$J$17,B79)=0,COUNTIF(Overview!$B$30:$B$84,C79)=0,D79="",E79="",ISNUMBER(F79)=FALSE,ISNUMBER(J79)=FALSE,ISNUMBER(N79)=FALSE,ISNUMBER(R79)=FALSE,IF(ISNUMBER(F79)=TRUE,F79=INT(F79*10)/10=FALSE),IF(ISNUMBER(J79)=TRUE,J79=INT(J79*10)/10=FALSE),IF(ISNUMBER(N79)=TRUE,N79=INT(N79*10)/10=FALSE),IF(ISNUMBER(R79)=TRUE,R79=INT(R79*10)/10=FALSE)),"Error","")</f>
        <v/>
      </c>
    </row>
    <row r="80" spans="2:24" s="103" customFormat="1" x14ac:dyDescent="0.25">
      <c r="B80" s="60" t="s">
        <v>369</v>
      </c>
      <c r="C80" s="94" t="s">
        <v>126</v>
      </c>
      <c r="D80" s="104" t="str">
        <f>IFERROR(IF(VLOOKUP(C80,Overview!$B$30:$E$84,2,FALSE)=0,"",VLOOKUP(C80,Overview!$B$30:$E$84,2,FALSE)),"")</f>
        <v>Al-Farabi Kazakhstan National University</v>
      </c>
      <c r="E80" s="104" t="str">
        <f>IFERROR(IF(OR(VLOOKUP(C80,Overview!$B$30:$E$84,4,FALSE)="Country not found",VLOOKUP(C80,Overview!$B$30:$E$84,3,FALSE)=0),"",VLOOKUP(C80,Overview!$B$30:$E$84,3,FALSE)),"")</f>
        <v>Kazakhstan</v>
      </c>
      <c r="F80" s="96">
        <v>40</v>
      </c>
      <c r="G80" s="97">
        <f t="shared" si="50"/>
        <v>40</v>
      </c>
      <c r="H80" s="98">
        <f>IF(X80="Error",0,VLOOKUP(E80,Rates!$B$5:$H$105,4,FALSE))</f>
        <v>77</v>
      </c>
      <c r="I80" s="99">
        <f t="shared" si="51"/>
        <v>3080</v>
      </c>
      <c r="J80" s="96">
        <v>49</v>
      </c>
      <c r="K80" s="97">
        <f t="shared" si="52"/>
        <v>49</v>
      </c>
      <c r="L80" s="98">
        <f>IF(X80="Error",0,VLOOKUP(E80,Rates!$B$5:$H$105,5,FALSE))</f>
        <v>57</v>
      </c>
      <c r="M80" s="99">
        <f t="shared" si="53"/>
        <v>2793</v>
      </c>
      <c r="N80" s="96">
        <v>120</v>
      </c>
      <c r="O80" s="97">
        <f t="shared" si="54"/>
        <v>120</v>
      </c>
      <c r="P80" s="98">
        <f>IF(X80="Error",0,VLOOKUP(E80,Rates!$B$5:$H$105,6,FALSE))</f>
        <v>40</v>
      </c>
      <c r="Q80" s="99">
        <f t="shared" si="55"/>
        <v>4800</v>
      </c>
      <c r="R80" s="96">
        <v>0</v>
      </c>
      <c r="S80" s="97">
        <f t="shared" si="56"/>
        <v>0</v>
      </c>
      <c r="T80" s="98">
        <f>IF(X80="Error",0,VLOOKUP(E80,Rates!$B$5:$H$105,7,FALSE))</f>
        <v>32</v>
      </c>
      <c r="U80" s="99">
        <f t="shared" si="57"/>
        <v>0</v>
      </c>
      <c r="V80" s="100">
        <f t="shared" si="58"/>
        <v>209</v>
      </c>
      <c r="W80" s="101">
        <f t="shared" si="59"/>
        <v>10673</v>
      </c>
      <c r="X80" s="102" t="str">
        <f>IF(OR(COUNTIF(Rates!$J$13:$J$17,B80)=0,COUNTIF(Overview!$B$30:$B$84,C80)=0,D80="",E80="",ISNUMBER(F80)=FALSE,ISNUMBER(J80)=FALSE,ISNUMBER(N80)=FALSE,ISNUMBER(R80)=FALSE,IF(ISNUMBER(F80)=TRUE,F80=INT(F80*10)/10=FALSE),IF(ISNUMBER(J80)=TRUE,J80=INT(J80*10)/10=FALSE),IF(ISNUMBER(N80)=TRUE,N80=INT(N80*10)/10=FALSE),IF(ISNUMBER(R80)=TRUE,R80=INT(R80*10)/10=FALSE)),"Error","")</f>
        <v/>
      </c>
    </row>
    <row r="81" spans="2:24" s="103" customFormat="1" x14ac:dyDescent="0.25">
      <c r="B81" s="60" t="s">
        <v>369</v>
      </c>
      <c r="C81" s="94" t="s">
        <v>127</v>
      </c>
      <c r="D81" s="104" t="str">
        <f>IFERROR(IF(VLOOKUP(C81,Overview!$B$30:$E$84,2,FALSE)=0,"",VLOOKUP(C81,Overview!$B$30:$E$84,2,FALSE)),"")</f>
        <v>Kazakhstan National Technical University</v>
      </c>
      <c r="E81" s="104" t="str">
        <f>IFERROR(IF(OR(VLOOKUP(C81,Overview!$B$30:$E$84,4,FALSE)="Country not found",VLOOKUP(C81,Overview!$B$30:$E$84,3,FALSE)=0),"",VLOOKUP(C81,Overview!$B$30:$E$84,3,FALSE)),"")</f>
        <v>Kazakhstan</v>
      </c>
      <c r="F81" s="96">
        <v>20</v>
      </c>
      <c r="G81" s="97">
        <f t="shared" si="50"/>
        <v>20</v>
      </c>
      <c r="H81" s="98">
        <f>IF(X81="Error",0,VLOOKUP(E81,Rates!$B$5:$H$105,4,FALSE))</f>
        <v>77</v>
      </c>
      <c r="I81" s="99">
        <f t="shared" si="51"/>
        <v>1540</v>
      </c>
      <c r="J81" s="96">
        <v>0</v>
      </c>
      <c r="K81" s="97">
        <f t="shared" si="52"/>
        <v>0</v>
      </c>
      <c r="L81" s="98">
        <f>IF(X81="Error",0,VLOOKUP(E81,Rates!$B$5:$H$105,5,FALSE))</f>
        <v>57</v>
      </c>
      <c r="M81" s="99">
        <f t="shared" si="53"/>
        <v>0</v>
      </c>
      <c r="N81" s="96">
        <v>0</v>
      </c>
      <c r="O81" s="97">
        <f t="shared" si="54"/>
        <v>0</v>
      </c>
      <c r="P81" s="98">
        <f>IF(X81="Error",0,VLOOKUP(E81,Rates!$B$5:$H$105,6,FALSE))</f>
        <v>40</v>
      </c>
      <c r="Q81" s="99">
        <f t="shared" si="55"/>
        <v>0</v>
      </c>
      <c r="R81" s="96">
        <v>0</v>
      </c>
      <c r="S81" s="97">
        <f t="shared" si="56"/>
        <v>0</v>
      </c>
      <c r="T81" s="98">
        <f>IF(X81="Error",0,VLOOKUP(E81,Rates!$B$5:$H$105,7,FALSE))</f>
        <v>32</v>
      </c>
      <c r="U81" s="99">
        <f t="shared" si="57"/>
        <v>0</v>
      </c>
      <c r="V81" s="100">
        <f t="shared" si="58"/>
        <v>20</v>
      </c>
      <c r="W81" s="101">
        <f t="shared" si="59"/>
        <v>1540</v>
      </c>
      <c r="X81" s="102" t="str">
        <f>IF(OR(COUNTIF(Rates!$J$13:$J$17,B81)=0,COUNTIF(Overview!$B$30:$B$84,C81)=0,D81="",E81="",ISNUMBER(F81)=FALSE,ISNUMBER(J81)=FALSE,ISNUMBER(N81)=FALSE,ISNUMBER(R81)=FALSE,IF(ISNUMBER(F81)=TRUE,F81=INT(F81*10)/10=FALSE),IF(ISNUMBER(J81)=TRUE,J81=INT(J81*10)/10=FALSE),IF(ISNUMBER(N81)=TRUE,N81=INT(N81*10)/10=FALSE),IF(ISNUMBER(R81)=TRUE,R81=INT(R81*10)/10=FALSE)),"Error","")</f>
        <v/>
      </c>
    </row>
    <row r="82" spans="2:24" s="103" customFormat="1" x14ac:dyDescent="0.25">
      <c r="B82" s="60" t="s">
        <v>369</v>
      </c>
      <c r="C82" s="94" t="s">
        <v>128</v>
      </c>
      <c r="D82" s="104" t="str">
        <f>IFERROR(IF(VLOOKUP(C82,Overview!$B$30:$E$84,2,FALSE)=0,"",VLOOKUP(C82,Overview!$B$30:$E$84,2,FALSE)),"")</f>
        <v xml:space="preserve">Zhezkazgan Baikonurov University </v>
      </c>
      <c r="E82" s="104" t="str">
        <f>IFERROR(IF(OR(VLOOKUP(C82,Overview!$B$30:$E$84,4,FALSE)="Country not found",VLOOKUP(C82,Overview!$B$30:$E$84,3,FALSE)=0),"",VLOOKUP(C82,Overview!$B$30:$E$84,3,FALSE)),"")</f>
        <v>Kazakhstan</v>
      </c>
      <c r="F82" s="96">
        <v>20</v>
      </c>
      <c r="G82" s="97">
        <f t="shared" si="50"/>
        <v>20</v>
      </c>
      <c r="H82" s="98">
        <f>IF(X82="Error",0,VLOOKUP(E82,Rates!$B$5:$H$105,4,FALSE))</f>
        <v>77</v>
      </c>
      <c r="I82" s="99">
        <f t="shared" si="51"/>
        <v>1540</v>
      </c>
      <c r="J82" s="96">
        <v>0</v>
      </c>
      <c r="K82" s="97">
        <f t="shared" si="52"/>
        <v>0</v>
      </c>
      <c r="L82" s="98">
        <f>IF(X82="Error",0,VLOOKUP(E82,Rates!$B$5:$H$105,5,FALSE))</f>
        <v>57</v>
      </c>
      <c r="M82" s="99">
        <f t="shared" si="53"/>
        <v>0</v>
      </c>
      <c r="N82" s="96">
        <v>0</v>
      </c>
      <c r="O82" s="97">
        <f t="shared" si="54"/>
        <v>0</v>
      </c>
      <c r="P82" s="98">
        <f>IF(X82="Error",0,VLOOKUP(E82,Rates!$B$5:$H$105,6,FALSE))</f>
        <v>40</v>
      </c>
      <c r="Q82" s="99">
        <f t="shared" si="55"/>
        <v>0</v>
      </c>
      <c r="R82" s="96">
        <v>0</v>
      </c>
      <c r="S82" s="97">
        <f t="shared" si="56"/>
        <v>0</v>
      </c>
      <c r="T82" s="98">
        <f>IF(X82="Error",0,VLOOKUP(E82,Rates!$B$5:$H$105,7,FALSE))</f>
        <v>32</v>
      </c>
      <c r="U82" s="99">
        <f t="shared" si="57"/>
        <v>0</v>
      </c>
      <c r="V82" s="100">
        <f t="shared" si="58"/>
        <v>20</v>
      </c>
      <c r="W82" s="101">
        <f t="shared" si="59"/>
        <v>1540</v>
      </c>
      <c r="X82" s="102" t="str">
        <f>IF(OR(COUNTIF(Rates!$J$13:$J$17,B82)=0,COUNTIF(Overview!$B$30:$B$84,C82)=0,D82="",E82="",ISNUMBER(F82)=FALSE,ISNUMBER(J82)=FALSE,ISNUMBER(N82)=FALSE,ISNUMBER(R82)=FALSE,IF(ISNUMBER(F82)=TRUE,F82=INT(F82*10)/10=FALSE),IF(ISNUMBER(J82)=TRUE,J82=INT(J82*10)/10=FALSE),IF(ISNUMBER(N82)=TRUE,N82=INT(N82*10)/10=FALSE),IF(ISNUMBER(R82)=TRUE,R82=INT(R82*10)/10=FALSE)),"Error","")</f>
        <v/>
      </c>
    </row>
    <row r="83" spans="2:24" s="103" customFormat="1" x14ac:dyDescent="0.25">
      <c r="B83" s="60" t="s">
        <v>366</v>
      </c>
      <c r="C83" s="94" t="s">
        <v>15</v>
      </c>
      <c r="D83" s="104" t="str">
        <f>IFERROR(IF(VLOOKUP(C83,Overview!$B$30:$E$84,2,FALSE)=0,"",VLOOKUP(C83,Overview!$B$30:$E$84,2,FALSE)),"")</f>
        <v>University of Patras</v>
      </c>
      <c r="E83" s="104" t="str">
        <f>IFERROR(IF(OR(VLOOKUP(C83,Overview!$B$30:$E$84,4,FALSE)="Country not found",VLOOKUP(C83,Overview!$B$30:$E$84,3,FALSE)=0),"",VLOOKUP(C83,Overview!$B$30:$E$84,3,FALSE)),"")</f>
        <v>Greece</v>
      </c>
      <c r="F83" s="96">
        <v>0</v>
      </c>
      <c r="G83" s="97">
        <f t="shared" si="50"/>
        <v>0</v>
      </c>
      <c r="H83" s="98">
        <f>IF(X83="Error",0,VLOOKUP(E83,Rates!$B$5:$H$105,4,FALSE))</f>
        <v>164</v>
      </c>
      <c r="I83" s="99">
        <f t="shared" si="51"/>
        <v>0</v>
      </c>
      <c r="J83" s="96">
        <v>30</v>
      </c>
      <c r="K83" s="97">
        <f t="shared" si="52"/>
        <v>30</v>
      </c>
      <c r="L83" s="98">
        <f>IF(X83="Error",0,VLOOKUP(E83,Rates!$B$5:$H$105,5,FALSE))</f>
        <v>137</v>
      </c>
      <c r="M83" s="99">
        <f t="shared" si="53"/>
        <v>4110</v>
      </c>
      <c r="N83" s="96">
        <v>0</v>
      </c>
      <c r="O83" s="97">
        <f t="shared" si="54"/>
        <v>0</v>
      </c>
      <c r="P83" s="98">
        <f>IF(X83="Error",0,VLOOKUP(E83,Rates!$B$5:$H$105,6,FALSE))</f>
        <v>102</v>
      </c>
      <c r="Q83" s="99">
        <f t="shared" si="55"/>
        <v>0</v>
      </c>
      <c r="R83" s="96">
        <v>30</v>
      </c>
      <c r="S83" s="97">
        <f t="shared" si="56"/>
        <v>30</v>
      </c>
      <c r="T83" s="98">
        <f>IF(X83="Error",0,VLOOKUP(E83,Rates!$B$5:$H$105,7,FALSE))</f>
        <v>78</v>
      </c>
      <c r="U83" s="99">
        <f t="shared" si="57"/>
        <v>2340</v>
      </c>
      <c r="V83" s="100">
        <f t="shared" si="58"/>
        <v>60</v>
      </c>
      <c r="W83" s="101">
        <f t="shared" si="59"/>
        <v>6450</v>
      </c>
      <c r="X83" s="102" t="str">
        <f>IF(OR(COUNTIF(Rates!$J$13:$J$17,B83)=0,COUNTIF(Overview!$B$30:$B$84,C83)=0,D83="",E83="",ISNUMBER(F83)=FALSE,ISNUMBER(J83)=FALSE,ISNUMBER(N83)=FALSE,ISNUMBER(R83)=FALSE,IF(ISNUMBER(F83)=TRUE,F83=INT(F83*10)/10=FALSE),IF(ISNUMBER(J83)=TRUE,J83=INT(J83*10)/10=FALSE),IF(ISNUMBER(N83)=TRUE,N83=INT(N83*10)/10=FALSE),IF(ISNUMBER(R83)=TRUE,R83=INT(R83*10)/10=FALSE)),"Error","")</f>
        <v/>
      </c>
    </row>
    <row r="84" spans="2:24" s="103" customFormat="1" x14ac:dyDescent="0.25">
      <c r="B84" s="60" t="s">
        <v>366</v>
      </c>
      <c r="C84" s="94" t="s">
        <v>19</v>
      </c>
      <c r="D84" s="104" t="str">
        <f>IFERROR(IF(VLOOKUP(C84,Overview!$B$30:$E$84,2,FALSE)=0,"",VLOOKUP(C84,Overview!$B$30:$E$84,2,FALSE)),"")</f>
        <v>The Network University</v>
      </c>
      <c r="E84" s="104" t="str">
        <f>IFERROR(IF(OR(VLOOKUP(C84,Overview!$B$30:$E$84,4,FALSE)="Country not found",VLOOKUP(C84,Overview!$B$30:$E$84,3,FALSE)=0),"",VLOOKUP(C84,Overview!$B$30:$E$84,3,FALSE)),"")</f>
        <v>Netherlands</v>
      </c>
      <c r="F84" s="96">
        <v>0</v>
      </c>
      <c r="G84" s="97">
        <f t="shared" si="50"/>
        <v>0</v>
      </c>
      <c r="H84" s="98">
        <f>IF(X84="Error",0,VLOOKUP(E84,Rates!$B$5:$H$105,4,FALSE))</f>
        <v>294</v>
      </c>
      <c r="I84" s="99">
        <f t="shared" si="51"/>
        <v>0</v>
      </c>
      <c r="J84" s="96">
        <v>30</v>
      </c>
      <c r="K84" s="97">
        <f t="shared" si="52"/>
        <v>30</v>
      </c>
      <c r="L84" s="98">
        <f>IF(X84="Error",0,VLOOKUP(E84,Rates!$B$5:$H$105,5,FALSE))</f>
        <v>241</v>
      </c>
      <c r="M84" s="99">
        <f t="shared" si="53"/>
        <v>7230</v>
      </c>
      <c r="N84" s="96">
        <v>0</v>
      </c>
      <c r="O84" s="97">
        <f t="shared" si="54"/>
        <v>0</v>
      </c>
      <c r="P84" s="98">
        <f>IF(X84="Error",0,VLOOKUP(E84,Rates!$B$5:$H$105,6,FALSE))</f>
        <v>190</v>
      </c>
      <c r="Q84" s="99">
        <f t="shared" si="55"/>
        <v>0</v>
      </c>
      <c r="R84" s="96">
        <v>10</v>
      </c>
      <c r="S84" s="97">
        <f t="shared" si="56"/>
        <v>10</v>
      </c>
      <c r="T84" s="98">
        <f>IF(X84="Error",0,VLOOKUP(E84,Rates!$B$5:$H$105,7,FALSE))</f>
        <v>157</v>
      </c>
      <c r="U84" s="99">
        <f t="shared" si="57"/>
        <v>1570</v>
      </c>
      <c r="V84" s="100">
        <f t="shared" si="58"/>
        <v>40</v>
      </c>
      <c r="W84" s="101">
        <f t="shared" si="59"/>
        <v>8800</v>
      </c>
      <c r="X84" s="102" t="str">
        <f>IF(OR(COUNTIF(Rates!$J$13:$J$17,B84)=0,COUNTIF(Overview!$B$30:$B$84,C84)=0,D84="",E84="",ISNUMBER(F84)=FALSE,ISNUMBER(J84)=FALSE,ISNUMBER(N84)=FALSE,ISNUMBER(R84)=FALSE,IF(ISNUMBER(F84)=TRUE,F84=INT(F84*10)/10=FALSE),IF(ISNUMBER(J84)=TRUE,J84=INT(J84*10)/10=FALSE),IF(ISNUMBER(N84)=TRUE,N84=INT(N84*10)/10=FALSE),IF(ISNUMBER(R84)=TRUE,R84=INT(R84*10)/10=FALSE)),"Error","")</f>
        <v/>
      </c>
    </row>
    <row r="85" spans="2:24" s="103" customFormat="1" x14ac:dyDescent="0.25">
      <c r="B85" s="60" t="s">
        <v>366</v>
      </c>
      <c r="C85" s="94" t="s">
        <v>20</v>
      </c>
      <c r="D85" s="104" t="str">
        <f>IFERROR(IF(VLOOKUP(C85,Overview!$B$30:$E$84,2,FALSE)=0,"",VLOOKUP(C85,Overview!$B$30:$E$84,2,FALSE)),"")</f>
        <v>Tashkent State Technical University</v>
      </c>
      <c r="E85" s="104" t="str">
        <f>IFERROR(IF(OR(VLOOKUP(C85,Overview!$B$30:$E$84,4,FALSE)="Country not found",VLOOKUP(C85,Overview!$B$30:$E$84,3,FALSE)=0),"",VLOOKUP(C85,Overview!$B$30:$E$84,3,FALSE)),"")</f>
        <v>Uzbekistan</v>
      </c>
      <c r="F85" s="96">
        <v>0</v>
      </c>
      <c r="G85" s="97">
        <f t="shared" si="50"/>
        <v>0</v>
      </c>
      <c r="H85" s="98">
        <f>IF(X85="Error",0,VLOOKUP(E85,Rates!$B$5:$H$105,4,FALSE))</f>
        <v>47</v>
      </c>
      <c r="I85" s="99">
        <f t="shared" si="51"/>
        <v>0</v>
      </c>
      <c r="J85" s="96">
        <v>29</v>
      </c>
      <c r="K85" s="97">
        <f t="shared" si="52"/>
        <v>29</v>
      </c>
      <c r="L85" s="98">
        <f>IF(X85="Error",0,VLOOKUP(E85,Rates!$B$5:$H$105,5,FALSE))</f>
        <v>33</v>
      </c>
      <c r="M85" s="99">
        <f t="shared" si="53"/>
        <v>957</v>
      </c>
      <c r="N85" s="96">
        <v>0</v>
      </c>
      <c r="O85" s="97">
        <f t="shared" si="54"/>
        <v>0</v>
      </c>
      <c r="P85" s="98">
        <f>IF(X85="Error",0,VLOOKUP(E85,Rates!$B$5:$H$105,6,FALSE))</f>
        <v>22</v>
      </c>
      <c r="Q85" s="99">
        <f t="shared" si="55"/>
        <v>0</v>
      </c>
      <c r="R85" s="96">
        <v>0</v>
      </c>
      <c r="S85" s="97">
        <f t="shared" si="56"/>
        <v>0</v>
      </c>
      <c r="T85" s="98">
        <f>IF(X85="Error",0,VLOOKUP(E85,Rates!$B$5:$H$105,7,FALSE))</f>
        <v>17</v>
      </c>
      <c r="U85" s="99">
        <f t="shared" si="57"/>
        <v>0</v>
      </c>
      <c r="V85" s="100">
        <f t="shared" si="58"/>
        <v>29</v>
      </c>
      <c r="W85" s="101">
        <f t="shared" si="59"/>
        <v>957</v>
      </c>
      <c r="X85" s="102" t="str">
        <f>IF(OR(COUNTIF(Rates!$J$13:$J$17,B85)=0,COUNTIF(Overview!$B$30:$B$84,C85)=0,D85="",E85="",ISNUMBER(F85)=FALSE,ISNUMBER(J85)=FALSE,ISNUMBER(N85)=FALSE,ISNUMBER(R85)=FALSE,IF(ISNUMBER(F85)=TRUE,F85=INT(F85*10)/10=FALSE),IF(ISNUMBER(J85)=TRUE,J85=INT(J85*10)/10=FALSE),IF(ISNUMBER(N85)=TRUE,N85=INT(N85*10)/10=FALSE),IF(ISNUMBER(R85)=TRUE,R85=INT(R85*10)/10=FALSE)),"Error","")</f>
        <v/>
      </c>
    </row>
    <row r="86" spans="2:24" s="103" customFormat="1" x14ac:dyDescent="0.25">
      <c r="B86" s="60" t="s">
        <v>366</v>
      </c>
      <c r="C86" s="94" t="s">
        <v>21</v>
      </c>
      <c r="D86" s="104" t="str">
        <f>IFERROR(IF(VLOOKUP(C86,Overview!$B$30:$E$84,2,FALSE)=0,"",VLOOKUP(C86,Overview!$B$30:$E$84,2,FALSE)),"")</f>
        <v>National University of Uzbekistan</v>
      </c>
      <c r="E86" s="104" t="str">
        <f>IFERROR(IF(OR(VLOOKUP(C86,Overview!$B$30:$E$84,4,FALSE)="Country not found",VLOOKUP(C86,Overview!$B$30:$E$84,3,FALSE)=0),"",VLOOKUP(C86,Overview!$B$30:$E$84,3,FALSE)),"")</f>
        <v>Uzbekistan</v>
      </c>
      <c r="F86" s="96">
        <v>21</v>
      </c>
      <c r="G86" s="97">
        <f t="shared" si="50"/>
        <v>21</v>
      </c>
      <c r="H86" s="98">
        <f>IF(X86="Error",0,VLOOKUP(E86,Rates!$B$5:$H$105,4,FALSE))</f>
        <v>47</v>
      </c>
      <c r="I86" s="99">
        <f t="shared" si="51"/>
        <v>987</v>
      </c>
      <c r="J86" s="96">
        <v>50</v>
      </c>
      <c r="K86" s="97">
        <f t="shared" si="52"/>
        <v>50</v>
      </c>
      <c r="L86" s="98">
        <f>IF(X86="Error",0,VLOOKUP(E86,Rates!$B$5:$H$105,5,FALSE))</f>
        <v>33</v>
      </c>
      <c r="M86" s="99">
        <f t="shared" si="53"/>
        <v>1650</v>
      </c>
      <c r="N86" s="96">
        <v>0</v>
      </c>
      <c r="O86" s="97">
        <f t="shared" si="54"/>
        <v>0</v>
      </c>
      <c r="P86" s="98">
        <f>IF(X86="Error",0,VLOOKUP(E86,Rates!$B$5:$H$105,6,FALSE))</f>
        <v>22</v>
      </c>
      <c r="Q86" s="99">
        <f t="shared" si="55"/>
        <v>0</v>
      </c>
      <c r="R86" s="96">
        <v>0</v>
      </c>
      <c r="S86" s="97">
        <f t="shared" si="56"/>
        <v>0</v>
      </c>
      <c r="T86" s="98">
        <f>IF(X86="Error",0,VLOOKUP(E86,Rates!$B$5:$H$105,7,FALSE))</f>
        <v>17</v>
      </c>
      <c r="U86" s="99">
        <f t="shared" si="57"/>
        <v>0</v>
      </c>
      <c r="V86" s="100">
        <f t="shared" si="58"/>
        <v>71</v>
      </c>
      <c r="W86" s="101">
        <f t="shared" si="59"/>
        <v>2637</v>
      </c>
      <c r="X86" s="102" t="str">
        <f>IF(OR(COUNTIF(Rates!$J$13:$J$17,B86)=0,COUNTIF(Overview!$B$30:$B$84,C86)=0,D86="",E86="",ISNUMBER(F86)=FALSE,ISNUMBER(J86)=FALSE,ISNUMBER(N86)=FALSE,ISNUMBER(R86)=FALSE,IF(ISNUMBER(F86)=TRUE,F86=INT(F86*10)/10=FALSE),IF(ISNUMBER(J86)=TRUE,J86=INT(J86*10)/10=FALSE),IF(ISNUMBER(N86)=TRUE,N86=INT(N86*10)/10=FALSE),IF(ISNUMBER(R86)=TRUE,R86=INT(R86*10)/10=FALSE)),"Error","")</f>
        <v/>
      </c>
    </row>
    <row r="87" spans="2:24" s="103" customFormat="1" x14ac:dyDescent="0.25">
      <c r="B87" s="60" t="s">
        <v>366</v>
      </c>
      <c r="C87" s="94" t="s">
        <v>25</v>
      </c>
      <c r="D87" s="104" t="str">
        <f>IFERROR(IF(VLOOKUP(C87,Overview!$B$30:$E$84,2,FALSE)=0,"",VLOOKUP(C87,Overview!$B$30:$E$84,2,FALSE)),"")</f>
        <v>Bishkek Academy of Finance and Economics</v>
      </c>
      <c r="E87" s="104" t="str">
        <f>IFERROR(IF(OR(VLOOKUP(C87,Overview!$B$30:$E$84,4,FALSE)="Country not found",VLOOKUP(C87,Overview!$B$30:$E$84,3,FALSE)=0),"",VLOOKUP(C87,Overview!$B$30:$E$84,3,FALSE)),"")</f>
        <v>Kyrgyzstan</v>
      </c>
      <c r="F87" s="96">
        <v>20</v>
      </c>
      <c r="G87" s="97">
        <f t="shared" si="50"/>
        <v>20</v>
      </c>
      <c r="H87" s="98">
        <f>IF(X87="Error",0,VLOOKUP(E87,Rates!$B$5:$H$105,4,FALSE))</f>
        <v>47</v>
      </c>
      <c r="I87" s="99">
        <f t="shared" si="51"/>
        <v>940</v>
      </c>
      <c r="J87" s="96">
        <v>50</v>
      </c>
      <c r="K87" s="97">
        <f t="shared" si="52"/>
        <v>50</v>
      </c>
      <c r="L87" s="98">
        <f>IF(X87="Error",0,VLOOKUP(E87,Rates!$B$5:$H$105,5,FALSE))</f>
        <v>33</v>
      </c>
      <c r="M87" s="99">
        <f t="shared" si="53"/>
        <v>1650</v>
      </c>
      <c r="N87" s="96">
        <v>0</v>
      </c>
      <c r="O87" s="97">
        <f t="shared" si="54"/>
        <v>0</v>
      </c>
      <c r="P87" s="98">
        <f>IF(X87="Error",0,VLOOKUP(E87,Rates!$B$5:$H$105,6,FALSE))</f>
        <v>22</v>
      </c>
      <c r="Q87" s="99">
        <f t="shared" si="55"/>
        <v>0</v>
      </c>
      <c r="R87" s="96">
        <v>0</v>
      </c>
      <c r="S87" s="97">
        <f t="shared" si="56"/>
        <v>0</v>
      </c>
      <c r="T87" s="98">
        <f>IF(X87="Error",0,VLOOKUP(E87,Rates!$B$5:$H$105,7,FALSE))</f>
        <v>17</v>
      </c>
      <c r="U87" s="99">
        <f t="shared" si="57"/>
        <v>0</v>
      </c>
      <c r="V87" s="100">
        <f t="shared" si="58"/>
        <v>70</v>
      </c>
      <c r="W87" s="101">
        <f t="shared" si="59"/>
        <v>2590</v>
      </c>
      <c r="X87" s="102" t="str">
        <f>IF(OR(COUNTIF(Rates!$J$13:$J$17,B87)=0,COUNTIF(Overview!$B$30:$B$84,C87)=0,D87="",E87="",ISNUMBER(F87)=FALSE,ISNUMBER(J87)=FALSE,ISNUMBER(N87)=FALSE,ISNUMBER(R87)=FALSE,IF(ISNUMBER(F87)=TRUE,F87=INT(F87*10)/10=FALSE),IF(ISNUMBER(J87)=TRUE,J87=INT(J87*10)/10=FALSE),IF(ISNUMBER(N87)=TRUE,N87=INT(N87*10)/10=FALSE),IF(ISNUMBER(R87)=TRUE,R87=INT(R87*10)/10=FALSE)),"Error","")</f>
        <v/>
      </c>
    </row>
    <row r="88" spans="2:24" s="103" customFormat="1" x14ac:dyDescent="0.25">
      <c r="B88" s="60" t="s">
        <v>366</v>
      </c>
      <c r="C88" s="94" t="s">
        <v>26</v>
      </c>
      <c r="D88" s="104" t="str">
        <f>IFERROR(IF(VLOOKUP(C88,Overview!$B$30:$E$84,2,FALSE)=0,"",VLOOKUP(C88,Overview!$B$30:$E$84,2,FALSE)),"")</f>
        <v>Osh Technological University</v>
      </c>
      <c r="E88" s="104" t="str">
        <f>IFERROR(IF(OR(VLOOKUP(C88,Overview!$B$30:$E$84,4,FALSE)="Country not found",VLOOKUP(C88,Overview!$B$30:$E$84,3,FALSE)=0),"",VLOOKUP(C88,Overview!$B$30:$E$84,3,FALSE)),"")</f>
        <v>Kyrgyzstan</v>
      </c>
      <c r="F88" s="96">
        <v>20</v>
      </c>
      <c r="G88" s="97">
        <f t="shared" si="50"/>
        <v>20</v>
      </c>
      <c r="H88" s="98">
        <f>IF(X88="Error",0,VLOOKUP(E88,Rates!$B$5:$H$105,4,FALSE))</f>
        <v>47</v>
      </c>
      <c r="I88" s="99">
        <f t="shared" si="51"/>
        <v>940</v>
      </c>
      <c r="J88" s="96">
        <v>50</v>
      </c>
      <c r="K88" s="97">
        <f t="shared" si="52"/>
        <v>50</v>
      </c>
      <c r="L88" s="98">
        <f>IF(X88="Error",0,VLOOKUP(E88,Rates!$B$5:$H$105,5,FALSE))</f>
        <v>33</v>
      </c>
      <c r="M88" s="99">
        <f t="shared" si="53"/>
        <v>1650</v>
      </c>
      <c r="N88" s="96">
        <v>0</v>
      </c>
      <c r="O88" s="97">
        <f t="shared" si="54"/>
        <v>0</v>
      </c>
      <c r="P88" s="98">
        <f>IF(X88="Error",0,VLOOKUP(E88,Rates!$B$5:$H$105,6,FALSE))</f>
        <v>22</v>
      </c>
      <c r="Q88" s="99">
        <f t="shared" si="55"/>
        <v>0</v>
      </c>
      <c r="R88" s="96">
        <v>0</v>
      </c>
      <c r="S88" s="97">
        <f t="shared" si="56"/>
        <v>0</v>
      </c>
      <c r="T88" s="98">
        <f>IF(X88="Error",0,VLOOKUP(E88,Rates!$B$5:$H$105,7,FALSE))</f>
        <v>17</v>
      </c>
      <c r="U88" s="99">
        <f t="shared" si="57"/>
        <v>0</v>
      </c>
      <c r="V88" s="100">
        <f t="shared" si="58"/>
        <v>70</v>
      </c>
      <c r="W88" s="101">
        <f t="shared" si="59"/>
        <v>2590</v>
      </c>
      <c r="X88" s="102" t="str">
        <f>IF(OR(COUNTIF(Rates!$J$13:$J$17,B88)=0,COUNTIF(Overview!$B$30:$B$84,C88)=0,D88="",E88="",ISNUMBER(F88)=FALSE,ISNUMBER(J88)=FALSE,ISNUMBER(N88)=FALSE,ISNUMBER(R88)=FALSE,IF(ISNUMBER(F88)=TRUE,F88=INT(F88*10)/10=FALSE),IF(ISNUMBER(J88)=TRUE,J88=INT(J88*10)/10=FALSE),IF(ISNUMBER(N88)=TRUE,N88=INT(N88*10)/10=FALSE),IF(ISNUMBER(R88)=TRUE,R88=INT(R88*10)/10=FALSE)),"Error","")</f>
        <v/>
      </c>
    </row>
    <row r="89" spans="2:24" s="103" customFormat="1" x14ac:dyDescent="0.25">
      <c r="B89" s="60" t="s">
        <v>366</v>
      </c>
      <c r="C89" s="94" t="s">
        <v>28</v>
      </c>
      <c r="D89" s="104" t="str">
        <f>IFERROR(IF(VLOOKUP(C89,Overview!$B$30:$E$84,2,FALSE)=0,"",VLOOKUP(C89,Overview!$B$30:$E$84,2,FALSE)),"")</f>
        <v>Khujand State University</v>
      </c>
      <c r="E89" s="104" t="str">
        <f>IFERROR(IF(OR(VLOOKUP(C89,Overview!$B$30:$E$84,4,FALSE)="Country not found",VLOOKUP(C89,Overview!$B$30:$E$84,3,FALSE)=0),"",VLOOKUP(C89,Overview!$B$30:$E$84,3,FALSE)),"")</f>
        <v>Tajikistan</v>
      </c>
      <c r="F89" s="96">
        <v>20</v>
      </c>
      <c r="G89" s="97">
        <f t="shared" si="50"/>
        <v>20</v>
      </c>
      <c r="H89" s="98">
        <f>IF(X89="Error",0,VLOOKUP(E89,Rates!$B$5:$H$105,4,FALSE))</f>
        <v>47</v>
      </c>
      <c r="I89" s="99">
        <f t="shared" si="51"/>
        <v>940</v>
      </c>
      <c r="J89" s="96">
        <v>50</v>
      </c>
      <c r="K89" s="97">
        <f t="shared" si="52"/>
        <v>50</v>
      </c>
      <c r="L89" s="98">
        <f>IF(X89="Error",0,VLOOKUP(E89,Rates!$B$5:$H$105,5,FALSE))</f>
        <v>33</v>
      </c>
      <c r="M89" s="99">
        <f t="shared" si="53"/>
        <v>1650</v>
      </c>
      <c r="N89" s="96">
        <v>0</v>
      </c>
      <c r="O89" s="97">
        <f t="shared" si="54"/>
        <v>0</v>
      </c>
      <c r="P89" s="98">
        <f>IF(X89="Error",0,VLOOKUP(E89,Rates!$B$5:$H$105,6,FALSE))</f>
        <v>22</v>
      </c>
      <c r="Q89" s="99">
        <f t="shared" si="55"/>
        <v>0</v>
      </c>
      <c r="R89" s="96">
        <v>0</v>
      </c>
      <c r="S89" s="97">
        <f t="shared" si="56"/>
        <v>0</v>
      </c>
      <c r="T89" s="98">
        <f>IF(X89="Error",0,VLOOKUP(E89,Rates!$B$5:$H$105,7,FALSE))</f>
        <v>17</v>
      </c>
      <c r="U89" s="99">
        <f t="shared" si="57"/>
        <v>0</v>
      </c>
      <c r="V89" s="100">
        <f t="shared" si="58"/>
        <v>70</v>
      </c>
      <c r="W89" s="101">
        <f t="shared" si="59"/>
        <v>2590</v>
      </c>
      <c r="X89" s="102" t="str">
        <f>IF(OR(COUNTIF(Rates!$J$13:$J$17,B89)=0,COUNTIF(Overview!$B$30:$B$84,C89)=0,D89="",E89="",ISNUMBER(F89)=FALSE,ISNUMBER(J89)=FALSE,ISNUMBER(N89)=FALSE,ISNUMBER(R89)=FALSE,IF(ISNUMBER(F89)=TRUE,F89=INT(F89*10)/10=FALSE),IF(ISNUMBER(J89)=TRUE,J89=INT(J89*10)/10=FALSE),IF(ISNUMBER(N89)=TRUE,N89=INT(N89*10)/10=FALSE),IF(ISNUMBER(R89)=TRUE,R89=INT(R89*10)/10=FALSE)),"Error","")</f>
        <v/>
      </c>
    </row>
    <row r="90" spans="2:24" s="103" customFormat="1" x14ac:dyDescent="0.25">
      <c r="B90" s="60" t="s">
        <v>366</v>
      </c>
      <c r="C90" s="94" t="s">
        <v>29</v>
      </c>
      <c r="D90" s="104" t="str">
        <f>IFERROR(IF(VLOOKUP(C90,Overview!$B$30:$E$84,2,FALSE)=0,"",VLOOKUP(C90,Overview!$B$30:$E$84,2,FALSE)),"")</f>
        <v>Khorog State University</v>
      </c>
      <c r="E90" s="104" t="str">
        <f>IFERROR(IF(OR(VLOOKUP(C90,Overview!$B$30:$E$84,4,FALSE)="Country not found",VLOOKUP(C90,Overview!$B$30:$E$84,3,FALSE)=0),"",VLOOKUP(C90,Overview!$B$30:$E$84,3,FALSE)),"")</f>
        <v>Tajikistan</v>
      </c>
      <c r="F90" s="96">
        <v>20</v>
      </c>
      <c r="G90" s="97">
        <f t="shared" si="50"/>
        <v>20</v>
      </c>
      <c r="H90" s="98">
        <f>IF(X90="Error",0,VLOOKUP(E90,Rates!$B$5:$H$105,4,FALSE))</f>
        <v>47</v>
      </c>
      <c r="I90" s="99">
        <f t="shared" si="51"/>
        <v>940</v>
      </c>
      <c r="J90" s="96">
        <v>50</v>
      </c>
      <c r="K90" s="97">
        <f t="shared" si="52"/>
        <v>50</v>
      </c>
      <c r="L90" s="98">
        <f>IF(X90="Error",0,VLOOKUP(E90,Rates!$B$5:$H$105,5,FALSE))</f>
        <v>33</v>
      </c>
      <c r="M90" s="99">
        <f t="shared" si="53"/>
        <v>1650</v>
      </c>
      <c r="N90" s="96">
        <v>0</v>
      </c>
      <c r="O90" s="97">
        <f t="shared" si="54"/>
        <v>0</v>
      </c>
      <c r="P90" s="98">
        <f>IF(X90="Error",0,VLOOKUP(E90,Rates!$B$5:$H$105,6,FALSE))</f>
        <v>22</v>
      </c>
      <c r="Q90" s="99">
        <f t="shared" si="55"/>
        <v>0</v>
      </c>
      <c r="R90" s="96">
        <v>0</v>
      </c>
      <c r="S90" s="97">
        <f t="shared" si="56"/>
        <v>0</v>
      </c>
      <c r="T90" s="98">
        <f>IF(X90="Error",0,VLOOKUP(E90,Rates!$B$5:$H$105,7,FALSE))</f>
        <v>17</v>
      </c>
      <c r="U90" s="99">
        <f t="shared" si="57"/>
        <v>0</v>
      </c>
      <c r="V90" s="100">
        <f t="shared" si="58"/>
        <v>70</v>
      </c>
      <c r="W90" s="101">
        <f t="shared" si="59"/>
        <v>2590</v>
      </c>
      <c r="X90" s="102" t="str">
        <f>IF(OR(COUNTIF(Rates!$J$13:$J$17,B90)=0,COUNTIF(Overview!$B$30:$B$84,C90)=0,D90="",E90="",ISNUMBER(F90)=FALSE,ISNUMBER(J90)=FALSE,ISNUMBER(N90)=FALSE,ISNUMBER(R90)=FALSE,IF(ISNUMBER(F90)=TRUE,F90=INT(F90*10)/10=FALSE),IF(ISNUMBER(J90)=TRUE,J90=INT(J90*10)/10=FALSE),IF(ISNUMBER(N90)=TRUE,N90=INT(N90*10)/10=FALSE),IF(ISNUMBER(R90)=TRUE,R90=INT(R90*10)/10=FALSE)),"Error","")</f>
        <v/>
      </c>
    </row>
    <row r="91" spans="2:24" s="103" customFormat="1" x14ac:dyDescent="0.25">
      <c r="B91" s="60" t="s">
        <v>366</v>
      </c>
      <c r="C91" s="94" t="s">
        <v>33</v>
      </c>
      <c r="D91" s="104" t="str">
        <f>IFERROR(IF(VLOOKUP(C91,Overview!$B$30:$E$84,2,FALSE)=0,"",VLOOKUP(C91,Overview!$B$30:$E$84,2,FALSE)),"")</f>
        <v>KIMEP University, JSC</v>
      </c>
      <c r="E91" s="104" t="str">
        <f>IFERROR(IF(OR(VLOOKUP(C91,Overview!$B$30:$E$84,4,FALSE)="Country not found",VLOOKUP(C91,Overview!$B$30:$E$84,3,FALSE)=0),"",VLOOKUP(C91,Overview!$B$30:$E$84,3,FALSE)),"")</f>
        <v>Kazakhstan</v>
      </c>
      <c r="F91" s="96">
        <v>20</v>
      </c>
      <c r="G91" s="97">
        <f t="shared" si="50"/>
        <v>20</v>
      </c>
      <c r="H91" s="98">
        <f>IF(X91="Error",0,VLOOKUP(E91,Rates!$B$5:$H$105,4,FALSE))</f>
        <v>77</v>
      </c>
      <c r="I91" s="99">
        <f t="shared" si="51"/>
        <v>1540</v>
      </c>
      <c r="J91" s="96">
        <v>70</v>
      </c>
      <c r="K91" s="97">
        <f t="shared" si="52"/>
        <v>70</v>
      </c>
      <c r="L91" s="98">
        <f>IF(X91="Error",0,VLOOKUP(E91,Rates!$B$5:$H$105,5,FALSE))</f>
        <v>57</v>
      </c>
      <c r="M91" s="99">
        <f t="shared" si="53"/>
        <v>3990</v>
      </c>
      <c r="N91" s="96">
        <v>0</v>
      </c>
      <c r="O91" s="97">
        <f t="shared" si="54"/>
        <v>0</v>
      </c>
      <c r="P91" s="98">
        <f>IF(X91="Error",0,VLOOKUP(E91,Rates!$B$5:$H$105,6,FALSE))</f>
        <v>40</v>
      </c>
      <c r="Q91" s="99">
        <f t="shared" si="55"/>
        <v>0</v>
      </c>
      <c r="R91" s="96">
        <v>0</v>
      </c>
      <c r="S91" s="97">
        <f t="shared" si="56"/>
        <v>0</v>
      </c>
      <c r="T91" s="98">
        <f>IF(X91="Error",0,VLOOKUP(E91,Rates!$B$5:$H$105,7,FALSE))</f>
        <v>32</v>
      </c>
      <c r="U91" s="99">
        <f t="shared" si="57"/>
        <v>0</v>
      </c>
      <c r="V91" s="100">
        <f t="shared" si="58"/>
        <v>90</v>
      </c>
      <c r="W91" s="101">
        <f t="shared" si="59"/>
        <v>5530</v>
      </c>
      <c r="X91" s="102" t="str">
        <f>IF(OR(COUNTIF(Rates!$J$13:$J$17,B91)=0,COUNTIF(Overview!$B$30:$B$84,C91)=0,D91="",E91="",ISNUMBER(F91)=FALSE,ISNUMBER(J91)=FALSE,ISNUMBER(N91)=FALSE,ISNUMBER(R91)=FALSE,IF(ISNUMBER(F91)=TRUE,F91=INT(F91*10)/10=FALSE),IF(ISNUMBER(J91)=TRUE,J91=INT(J91*10)/10=FALSE),IF(ISNUMBER(N91)=TRUE,N91=INT(N91*10)/10=FALSE),IF(ISNUMBER(R91)=TRUE,R91=INT(R91*10)/10=FALSE)),"Error","")</f>
        <v/>
      </c>
    </row>
    <row r="92" spans="2:24" s="103" customFormat="1" x14ac:dyDescent="0.25">
      <c r="B92" s="60" t="s">
        <v>366</v>
      </c>
      <c r="C92" s="94" t="s">
        <v>127</v>
      </c>
      <c r="D92" s="104" t="str">
        <f>IFERROR(IF(VLOOKUP(C92,Overview!$B$30:$E$84,2,FALSE)=0,"",VLOOKUP(C92,Overview!$B$30:$E$84,2,FALSE)),"")</f>
        <v>Kazakhstan National Technical University</v>
      </c>
      <c r="E92" s="104" t="str">
        <f>IFERROR(IF(OR(VLOOKUP(C92,Overview!$B$30:$E$84,4,FALSE)="Country not found",VLOOKUP(C92,Overview!$B$30:$E$84,3,FALSE)=0),"",VLOOKUP(C92,Overview!$B$30:$E$84,3,FALSE)),"")</f>
        <v>Kazakhstan</v>
      </c>
      <c r="F92" s="96">
        <v>30</v>
      </c>
      <c r="G92" s="97">
        <f t="shared" si="50"/>
        <v>30</v>
      </c>
      <c r="H92" s="98">
        <f>IF(X92="Error",0,VLOOKUP(E92,Rates!$B$5:$H$105,4,FALSE))</f>
        <v>77</v>
      </c>
      <c r="I92" s="99">
        <f t="shared" si="51"/>
        <v>2310</v>
      </c>
      <c r="J92" s="96">
        <v>69</v>
      </c>
      <c r="K92" s="97">
        <f t="shared" si="52"/>
        <v>69</v>
      </c>
      <c r="L92" s="98">
        <f>IF(X92="Error",0,VLOOKUP(E92,Rates!$B$5:$H$105,5,FALSE))</f>
        <v>57</v>
      </c>
      <c r="M92" s="99">
        <f t="shared" si="53"/>
        <v>3933</v>
      </c>
      <c r="N92" s="96">
        <v>0</v>
      </c>
      <c r="O92" s="97">
        <f t="shared" si="54"/>
        <v>0</v>
      </c>
      <c r="P92" s="98">
        <f>IF(X92="Error",0,VLOOKUP(E92,Rates!$B$5:$H$105,6,FALSE))</f>
        <v>40</v>
      </c>
      <c r="Q92" s="99">
        <f t="shared" si="55"/>
        <v>0</v>
      </c>
      <c r="R92" s="96">
        <v>0</v>
      </c>
      <c r="S92" s="97">
        <f t="shared" si="56"/>
        <v>0</v>
      </c>
      <c r="T92" s="98">
        <f>IF(X92="Error",0,VLOOKUP(E92,Rates!$B$5:$H$105,7,FALSE))</f>
        <v>32</v>
      </c>
      <c r="U92" s="99">
        <f t="shared" si="57"/>
        <v>0</v>
      </c>
      <c r="V92" s="100">
        <f t="shared" si="58"/>
        <v>99</v>
      </c>
      <c r="W92" s="101">
        <f t="shared" si="59"/>
        <v>6243</v>
      </c>
      <c r="X92" s="102" t="str">
        <f>IF(OR(COUNTIF(Rates!$J$13:$J$17,B92)=0,COUNTIF(Overview!$B$30:$B$84,C92)=0,D92="",E92="",ISNUMBER(F92)=FALSE,ISNUMBER(J92)=FALSE,ISNUMBER(N92)=FALSE,ISNUMBER(R92)=FALSE,IF(ISNUMBER(F92)=TRUE,F92=INT(F92*10)/10=FALSE),IF(ISNUMBER(J92)=TRUE,J92=INT(J92*10)/10=FALSE),IF(ISNUMBER(N92)=TRUE,N92=INT(N92*10)/10=FALSE),IF(ISNUMBER(R92)=TRUE,R92=INT(R92*10)/10=FALSE)),"Error","")</f>
        <v/>
      </c>
    </row>
    <row r="93" spans="2:24" s="103" customFormat="1" x14ac:dyDescent="0.25">
      <c r="B93" s="60" t="s">
        <v>368</v>
      </c>
      <c r="C93" s="94" t="s">
        <v>15</v>
      </c>
      <c r="D93" s="104" t="str">
        <f>IFERROR(IF(VLOOKUP(C93,Overview!$B$30:$E$84,2,FALSE)=0,"",VLOOKUP(C93,Overview!$B$30:$E$84,2,FALSE)),"")</f>
        <v>University of Patras</v>
      </c>
      <c r="E93" s="104" t="str">
        <f>IFERROR(IF(OR(VLOOKUP(C93,Overview!$B$30:$E$84,4,FALSE)="Country not found",VLOOKUP(C93,Overview!$B$30:$E$84,3,FALSE)=0),"",VLOOKUP(C93,Overview!$B$30:$E$84,3,FALSE)),"")</f>
        <v>Greece</v>
      </c>
      <c r="F93" s="96">
        <v>100</v>
      </c>
      <c r="G93" s="97">
        <f t="shared" si="50"/>
        <v>100</v>
      </c>
      <c r="H93" s="98">
        <f>IF(X93="Error",0,VLOOKUP(E93,Rates!$B$5:$H$105,4,FALSE))</f>
        <v>164</v>
      </c>
      <c r="I93" s="99">
        <f t="shared" si="51"/>
        <v>16400</v>
      </c>
      <c r="J93" s="96">
        <v>50</v>
      </c>
      <c r="K93" s="97">
        <f t="shared" si="52"/>
        <v>50</v>
      </c>
      <c r="L93" s="98">
        <f>IF(X93="Error",0,VLOOKUP(E93,Rates!$B$5:$H$105,5,FALSE))</f>
        <v>137</v>
      </c>
      <c r="M93" s="99">
        <f t="shared" si="53"/>
        <v>6850</v>
      </c>
      <c r="N93" s="96">
        <v>0</v>
      </c>
      <c r="O93" s="97">
        <f t="shared" si="54"/>
        <v>0</v>
      </c>
      <c r="P93" s="98">
        <f>IF(X93="Error",0,VLOOKUP(E93,Rates!$B$5:$H$105,6,FALSE))</f>
        <v>102</v>
      </c>
      <c r="Q93" s="99">
        <f t="shared" si="55"/>
        <v>0</v>
      </c>
      <c r="R93" s="96">
        <v>100</v>
      </c>
      <c r="S93" s="97">
        <f t="shared" si="56"/>
        <v>100</v>
      </c>
      <c r="T93" s="98">
        <f>IF(X93="Error",0,VLOOKUP(E93,Rates!$B$5:$H$105,7,FALSE))</f>
        <v>78</v>
      </c>
      <c r="U93" s="99">
        <f t="shared" si="57"/>
        <v>7800</v>
      </c>
      <c r="V93" s="100">
        <f t="shared" si="58"/>
        <v>250</v>
      </c>
      <c r="W93" s="101">
        <f t="shared" si="59"/>
        <v>31050</v>
      </c>
      <c r="X93" s="102" t="str">
        <f>IF(OR(COUNTIF(Rates!$J$13:$J$17,B93)=0,COUNTIF(Overview!$B$30:$B$84,C93)=0,D93="",E93="",ISNUMBER(F93)=FALSE,ISNUMBER(J93)=FALSE,ISNUMBER(N93)=FALSE,ISNUMBER(R93)=FALSE,IF(ISNUMBER(F93)=TRUE,F93=INT(F93*10)/10=FALSE),IF(ISNUMBER(J93)=TRUE,J93=INT(J93*10)/10=FALSE),IF(ISNUMBER(N93)=TRUE,N93=INT(N93*10)/10=FALSE),IF(ISNUMBER(R93)=TRUE,R93=INT(R93*10)/10=FALSE)),"Error","")</f>
        <v/>
      </c>
    </row>
    <row r="94" spans="2:24" s="103" customFormat="1" x14ac:dyDescent="0.25">
      <c r="B94" s="60" t="s">
        <v>368</v>
      </c>
      <c r="C94" s="94" t="s">
        <v>16</v>
      </c>
      <c r="D94" s="104" t="str">
        <f>IFERROR(IF(VLOOKUP(C94,Overview!$B$30:$E$84,2,FALSE)=0,"",VLOOKUP(C94,Overview!$B$30:$E$84,2,FALSE)),"")</f>
        <v>Bath Spa University</v>
      </c>
      <c r="E94" s="104" t="str">
        <f>IFERROR(IF(OR(VLOOKUP(C94,Overview!$B$30:$E$84,4,FALSE)="Country not found",VLOOKUP(C94,Overview!$B$30:$E$84,3,FALSE)=0),"",VLOOKUP(C94,Overview!$B$30:$E$84,3,FALSE)),"")</f>
        <v>United Kingdom</v>
      </c>
      <c r="F94" s="96">
        <v>50</v>
      </c>
      <c r="G94" s="97">
        <f t="shared" si="50"/>
        <v>50</v>
      </c>
      <c r="H94" s="98">
        <f>IF(X94="Error",0,VLOOKUP(E94,Rates!$B$5:$H$105,4,FALSE))</f>
        <v>280</v>
      </c>
      <c r="I94" s="99">
        <f t="shared" si="51"/>
        <v>14000</v>
      </c>
      <c r="J94" s="96">
        <v>0</v>
      </c>
      <c r="K94" s="97">
        <f t="shared" si="52"/>
        <v>0</v>
      </c>
      <c r="L94" s="98">
        <f>IF(X94="Error",0,VLOOKUP(E94,Rates!$B$5:$H$105,5,FALSE))</f>
        <v>214</v>
      </c>
      <c r="M94" s="99">
        <f t="shared" si="53"/>
        <v>0</v>
      </c>
      <c r="N94" s="96">
        <v>0</v>
      </c>
      <c r="O94" s="97">
        <f t="shared" si="54"/>
        <v>0</v>
      </c>
      <c r="P94" s="98">
        <f>IF(X94="Error",0,VLOOKUP(E94,Rates!$B$5:$H$105,6,FALSE))</f>
        <v>162</v>
      </c>
      <c r="Q94" s="99">
        <f t="shared" si="55"/>
        <v>0</v>
      </c>
      <c r="R94" s="96">
        <v>50</v>
      </c>
      <c r="S94" s="97">
        <f t="shared" si="56"/>
        <v>50</v>
      </c>
      <c r="T94" s="98">
        <f>IF(X94="Error",0,VLOOKUP(E94,Rates!$B$5:$H$105,7,FALSE))</f>
        <v>131</v>
      </c>
      <c r="U94" s="99">
        <f t="shared" si="57"/>
        <v>6550</v>
      </c>
      <c r="V94" s="100">
        <f t="shared" si="58"/>
        <v>100</v>
      </c>
      <c r="W94" s="101">
        <f t="shared" si="59"/>
        <v>20550</v>
      </c>
      <c r="X94" s="102" t="str">
        <f>IF(OR(COUNTIF(Rates!$J$13:$J$17,B94)=0,COUNTIF(Overview!$B$30:$B$84,C94)=0,D94="",E94="",ISNUMBER(F94)=FALSE,ISNUMBER(J94)=FALSE,ISNUMBER(N94)=FALSE,ISNUMBER(R94)=FALSE,IF(ISNUMBER(F94)=TRUE,F94=INT(F94*10)/10=FALSE),IF(ISNUMBER(J94)=TRUE,J94=INT(J94*10)/10=FALSE),IF(ISNUMBER(N94)=TRUE,N94=INT(N94*10)/10=FALSE),IF(ISNUMBER(R94)=TRUE,R94=INT(R94*10)/10=FALSE)),"Error","")</f>
        <v/>
      </c>
    </row>
    <row r="95" spans="2:24" s="103" customFormat="1" x14ac:dyDescent="0.25">
      <c r="B95" s="60" t="s">
        <v>368</v>
      </c>
      <c r="C95" s="94" t="s">
        <v>17</v>
      </c>
      <c r="D95" s="104" t="str">
        <f>IFERROR(IF(VLOOKUP(C95,Overview!$B$30:$E$84,2,FALSE)=0,"",VLOOKUP(C95,Overview!$B$30:$E$84,2,FALSE)),"")</f>
        <v>Wroclaw Technical University</v>
      </c>
      <c r="E95" s="104" t="str">
        <f>IFERROR(IF(OR(VLOOKUP(C95,Overview!$B$30:$E$84,4,FALSE)="Country not found",VLOOKUP(C95,Overview!$B$30:$E$84,3,FALSE)=0),"",VLOOKUP(C95,Overview!$B$30:$E$84,3,FALSE)),"")</f>
        <v>Poland</v>
      </c>
      <c r="F95" s="96">
        <v>50</v>
      </c>
      <c r="G95" s="97">
        <f t="shared" si="50"/>
        <v>50</v>
      </c>
      <c r="H95" s="98">
        <f>IF(X95="Error",0,VLOOKUP(E95,Rates!$B$5:$H$105,4,FALSE))</f>
        <v>88</v>
      </c>
      <c r="I95" s="99">
        <f t="shared" si="51"/>
        <v>4400</v>
      </c>
      <c r="J95" s="96">
        <v>0</v>
      </c>
      <c r="K95" s="97">
        <f t="shared" si="52"/>
        <v>0</v>
      </c>
      <c r="L95" s="98">
        <f>IF(X95="Error",0,VLOOKUP(E95,Rates!$B$5:$H$105,5,FALSE))</f>
        <v>74</v>
      </c>
      <c r="M95" s="99">
        <f t="shared" si="53"/>
        <v>0</v>
      </c>
      <c r="N95" s="96">
        <v>0</v>
      </c>
      <c r="O95" s="97">
        <f t="shared" si="54"/>
        <v>0</v>
      </c>
      <c r="P95" s="98">
        <f>IF(X95="Error",0,VLOOKUP(E95,Rates!$B$5:$H$105,6,FALSE))</f>
        <v>55</v>
      </c>
      <c r="Q95" s="99">
        <f t="shared" si="55"/>
        <v>0</v>
      </c>
      <c r="R95" s="96">
        <v>50</v>
      </c>
      <c r="S95" s="97">
        <f t="shared" si="56"/>
        <v>50</v>
      </c>
      <c r="T95" s="98">
        <f>IF(X95="Error",0,VLOOKUP(E95,Rates!$B$5:$H$105,7,FALSE))</f>
        <v>39</v>
      </c>
      <c r="U95" s="99">
        <f t="shared" si="57"/>
        <v>1950</v>
      </c>
      <c r="V95" s="100">
        <f t="shared" si="58"/>
        <v>100</v>
      </c>
      <c r="W95" s="101">
        <f t="shared" si="59"/>
        <v>6350</v>
      </c>
      <c r="X95" s="102" t="str">
        <f>IF(OR(COUNTIF(Rates!$J$13:$J$17,B95)=0,COUNTIF(Overview!$B$30:$B$84,C95)=0,D95="",E95="",ISNUMBER(F95)=FALSE,ISNUMBER(J95)=FALSE,ISNUMBER(N95)=FALSE,ISNUMBER(R95)=FALSE,IF(ISNUMBER(F95)=TRUE,F95=INT(F95*10)/10=FALSE),IF(ISNUMBER(J95)=TRUE,J95=INT(J95*10)/10=FALSE),IF(ISNUMBER(N95)=TRUE,N95=INT(N95*10)/10=FALSE),IF(ISNUMBER(R95)=TRUE,R95=INT(R95*10)/10=FALSE)),"Error","")</f>
        <v/>
      </c>
    </row>
    <row r="96" spans="2:24" s="103" customFormat="1" x14ac:dyDescent="0.25">
      <c r="B96" s="60" t="s">
        <v>368</v>
      </c>
      <c r="C96" s="94" t="s">
        <v>18</v>
      </c>
      <c r="D96" s="104" t="str">
        <f>IFERROR(IF(VLOOKUP(C96,Overview!$B$30:$E$84,2,FALSE)=0,"",VLOOKUP(C96,Overview!$B$30:$E$84,2,FALSE)),"")</f>
        <v>Koblenz-Landau University</v>
      </c>
      <c r="E96" s="104" t="str">
        <f>IFERROR(IF(OR(VLOOKUP(C96,Overview!$B$30:$E$84,4,FALSE)="Country not found",VLOOKUP(C96,Overview!$B$30:$E$84,3,FALSE)=0),"",VLOOKUP(C96,Overview!$B$30:$E$84,3,FALSE)),"")</f>
        <v>Germany</v>
      </c>
      <c r="F96" s="96">
        <v>50</v>
      </c>
      <c r="G96" s="97">
        <f t="shared" si="50"/>
        <v>50</v>
      </c>
      <c r="H96" s="98">
        <f>IF(X96="Error",0,VLOOKUP(E96,Rates!$B$5:$H$105,4,FALSE))</f>
        <v>280</v>
      </c>
      <c r="I96" s="99">
        <f t="shared" si="51"/>
        <v>14000</v>
      </c>
      <c r="J96" s="96">
        <v>0</v>
      </c>
      <c r="K96" s="97">
        <f t="shared" si="52"/>
        <v>0</v>
      </c>
      <c r="L96" s="98">
        <f>IF(X96="Error",0,VLOOKUP(E96,Rates!$B$5:$H$105,5,FALSE))</f>
        <v>214</v>
      </c>
      <c r="M96" s="99">
        <f t="shared" si="53"/>
        <v>0</v>
      </c>
      <c r="N96" s="96">
        <v>0</v>
      </c>
      <c r="O96" s="97">
        <f t="shared" si="54"/>
        <v>0</v>
      </c>
      <c r="P96" s="98">
        <f>IF(X96="Error",0,VLOOKUP(E96,Rates!$B$5:$H$105,6,FALSE))</f>
        <v>162</v>
      </c>
      <c r="Q96" s="99">
        <f t="shared" si="55"/>
        <v>0</v>
      </c>
      <c r="R96" s="96">
        <v>50</v>
      </c>
      <c r="S96" s="97">
        <f t="shared" si="56"/>
        <v>50</v>
      </c>
      <c r="T96" s="98">
        <f>IF(X96="Error",0,VLOOKUP(E96,Rates!$B$5:$H$105,7,FALSE))</f>
        <v>131</v>
      </c>
      <c r="U96" s="99">
        <f t="shared" si="57"/>
        <v>6550</v>
      </c>
      <c r="V96" s="100">
        <f t="shared" si="58"/>
        <v>100</v>
      </c>
      <c r="W96" s="101">
        <f t="shared" si="59"/>
        <v>20550</v>
      </c>
      <c r="X96" s="102" t="str">
        <f>IF(OR(COUNTIF(Rates!$J$13:$J$17,B96)=0,COUNTIF(Overview!$B$30:$B$84,C96)=0,D96="",E96="",ISNUMBER(F96)=FALSE,ISNUMBER(J96)=FALSE,ISNUMBER(N96)=FALSE,ISNUMBER(R96)=FALSE,IF(ISNUMBER(F96)=TRUE,F96=INT(F96*10)/10=FALSE),IF(ISNUMBER(J96)=TRUE,J96=INT(J96*10)/10=FALSE),IF(ISNUMBER(N96)=TRUE,N96=INT(N96*10)/10=FALSE),IF(ISNUMBER(R96)=TRUE,R96=INT(R96*10)/10=FALSE)),"Error","")</f>
        <v/>
      </c>
    </row>
    <row r="97" spans="2:24" s="103" customFormat="1" x14ac:dyDescent="0.25">
      <c r="B97" s="60" t="s">
        <v>368</v>
      </c>
      <c r="C97" s="94" t="s">
        <v>19</v>
      </c>
      <c r="D97" s="104" t="str">
        <f>IFERROR(IF(VLOOKUP(C97,Overview!$B$30:$E$84,2,FALSE)=0,"",VLOOKUP(C97,Overview!$B$30:$E$84,2,FALSE)),"")</f>
        <v>The Network University</v>
      </c>
      <c r="E97" s="104" t="str">
        <f>IFERROR(IF(OR(VLOOKUP(C97,Overview!$B$30:$E$84,4,FALSE)="Country not found",VLOOKUP(C97,Overview!$B$30:$E$84,3,FALSE)=0),"",VLOOKUP(C97,Overview!$B$30:$E$84,3,FALSE)),"")</f>
        <v>Netherlands</v>
      </c>
      <c r="F97" s="96">
        <v>50</v>
      </c>
      <c r="G97" s="97">
        <f t="shared" si="50"/>
        <v>50</v>
      </c>
      <c r="H97" s="98">
        <f>IF(X97="Error",0,VLOOKUP(E97,Rates!$B$5:$H$105,4,FALSE))</f>
        <v>294</v>
      </c>
      <c r="I97" s="99">
        <f t="shared" si="51"/>
        <v>14700</v>
      </c>
      <c r="J97" s="96">
        <v>0</v>
      </c>
      <c r="K97" s="97">
        <f t="shared" si="52"/>
        <v>0</v>
      </c>
      <c r="L97" s="98">
        <f>IF(X97="Error",0,VLOOKUP(E97,Rates!$B$5:$H$105,5,FALSE))</f>
        <v>241</v>
      </c>
      <c r="M97" s="99">
        <f t="shared" si="53"/>
        <v>0</v>
      </c>
      <c r="N97" s="96">
        <v>0</v>
      </c>
      <c r="O97" s="97">
        <f t="shared" si="54"/>
        <v>0</v>
      </c>
      <c r="P97" s="98">
        <f>IF(X97="Error",0,VLOOKUP(E97,Rates!$B$5:$H$105,6,FALSE))</f>
        <v>190</v>
      </c>
      <c r="Q97" s="99">
        <f t="shared" si="55"/>
        <v>0</v>
      </c>
      <c r="R97" s="96">
        <v>50</v>
      </c>
      <c r="S97" s="97">
        <f t="shared" si="56"/>
        <v>50</v>
      </c>
      <c r="T97" s="98">
        <f>IF(X97="Error",0,VLOOKUP(E97,Rates!$B$5:$H$105,7,FALSE))</f>
        <v>157</v>
      </c>
      <c r="U97" s="99">
        <f t="shared" si="57"/>
        <v>7850</v>
      </c>
      <c r="V97" s="100">
        <f t="shared" si="58"/>
        <v>100</v>
      </c>
      <c r="W97" s="101">
        <f t="shared" si="59"/>
        <v>22550</v>
      </c>
      <c r="X97" s="102" t="str">
        <f>IF(OR(COUNTIF(Rates!$J$13:$J$17,B97)=0,COUNTIF(Overview!$B$30:$B$84,C97)=0,D97="",E97="",ISNUMBER(F97)=FALSE,ISNUMBER(J97)=FALSE,ISNUMBER(N97)=FALSE,ISNUMBER(R97)=FALSE,IF(ISNUMBER(F97)=TRUE,F97=INT(F97*10)/10=FALSE),IF(ISNUMBER(J97)=TRUE,J97=INT(J97*10)/10=FALSE),IF(ISNUMBER(N97)=TRUE,N97=INT(N97*10)/10=FALSE),IF(ISNUMBER(R97)=TRUE,R97=INT(R97*10)/10=FALSE)),"Error","")</f>
        <v/>
      </c>
    </row>
    <row r="98" spans="2:24" s="103" customFormat="1" x14ac:dyDescent="0.25">
      <c r="B98" s="60" t="s">
        <v>368</v>
      </c>
      <c r="C98" s="94" t="s">
        <v>20</v>
      </c>
      <c r="D98" s="104" t="str">
        <f>IFERROR(IF(VLOOKUP(C98,Overview!$B$30:$E$84,2,FALSE)=0,"",VLOOKUP(C98,Overview!$B$30:$E$84,2,FALSE)),"")</f>
        <v>Tashkent State Technical University</v>
      </c>
      <c r="E98" s="104" t="str">
        <f>IFERROR(IF(OR(VLOOKUP(C98,Overview!$B$30:$E$84,4,FALSE)="Country not found",VLOOKUP(C98,Overview!$B$30:$E$84,3,FALSE)=0),"",VLOOKUP(C98,Overview!$B$30:$E$84,3,FALSE)),"")</f>
        <v>Uzbekistan</v>
      </c>
      <c r="F98" s="96">
        <v>50</v>
      </c>
      <c r="G98" s="97">
        <f t="shared" ref="G98:G109" si="60">IF(X98="Error",0,ROUND(F98,1))</f>
        <v>50</v>
      </c>
      <c r="H98" s="98">
        <f>IF(X98="Error",0,VLOOKUP(E98,Rates!$B$5:$H$105,4,FALSE))</f>
        <v>47</v>
      </c>
      <c r="I98" s="99">
        <f t="shared" ref="I98:I109" si="61">ROUND(G98*H98,2)</f>
        <v>2350</v>
      </c>
      <c r="J98" s="96">
        <v>0</v>
      </c>
      <c r="K98" s="97">
        <f t="shared" ref="K98:K109" si="62">IF(X98="Error",0,ROUND(J98,1))</f>
        <v>0</v>
      </c>
      <c r="L98" s="98">
        <f>IF(X98="Error",0,VLOOKUP(E98,Rates!$B$5:$H$105,5,FALSE))</f>
        <v>33</v>
      </c>
      <c r="M98" s="99">
        <f t="shared" ref="M98:M109" si="63">ROUND(K98*L98,2)</f>
        <v>0</v>
      </c>
      <c r="N98" s="96">
        <v>0</v>
      </c>
      <c r="O98" s="97">
        <f t="shared" ref="O98:O109" si="64">IF(X98="Error",0,ROUND(N98,1))</f>
        <v>0</v>
      </c>
      <c r="P98" s="98">
        <f>IF(X98="Error",0,VLOOKUP(E98,Rates!$B$5:$H$105,6,FALSE))</f>
        <v>22</v>
      </c>
      <c r="Q98" s="99">
        <f t="shared" ref="Q98:Q109" si="65">ROUND(O98*P98,2)</f>
        <v>0</v>
      </c>
      <c r="R98" s="96">
        <v>50</v>
      </c>
      <c r="S98" s="97">
        <f t="shared" ref="S98:S109" si="66">IF(X98="Error",0,ROUND(R98,1))</f>
        <v>50</v>
      </c>
      <c r="T98" s="98">
        <f>IF(X98="Error",0,VLOOKUP(E98,Rates!$B$5:$H$105,7,FALSE))</f>
        <v>17</v>
      </c>
      <c r="U98" s="99">
        <f t="shared" ref="U98:U109" si="67">ROUND(S98*T98,2)</f>
        <v>850</v>
      </c>
      <c r="V98" s="100">
        <f t="shared" ref="V98:V109" si="68">IF(X98="Error",0,G98+K98+O98+S98)</f>
        <v>100</v>
      </c>
      <c r="W98" s="101">
        <f t="shared" ref="W98:W109" si="69">IF(X98="Error",0,I98+M98+Q98+U98)</f>
        <v>3200</v>
      </c>
      <c r="X98" s="102" t="str">
        <f>IF(OR(COUNTIF(Rates!$J$13:$J$17,B98)=0,COUNTIF(Overview!$B$30:$B$84,C98)=0,D98="",E98="",ISNUMBER(F98)=FALSE,ISNUMBER(J98)=FALSE,ISNUMBER(N98)=FALSE,ISNUMBER(R98)=FALSE,IF(ISNUMBER(F98)=TRUE,F98=INT(F98*10)/10=FALSE),IF(ISNUMBER(J98)=TRUE,J98=INT(J98*10)/10=FALSE),IF(ISNUMBER(N98)=TRUE,N98=INT(N98*10)/10=FALSE),IF(ISNUMBER(R98)=TRUE,R98=INT(R98*10)/10=FALSE)),"Error","")</f>
        <v/>
      </c>
    </row>
    <row r="99" spans="2:24" s="103" customFormat="1" x14ac:dyDescent="0.25">
      <c r="B99" s="60" t="s">
        <v>368</v>
      </c>
      <c r="C99" s="94" t="s">
        <v>21</v>
      </c>
      <c r="D99" s="104" t="str">
        <f>IFERROR(IF(VLOOKUP(C99,Overview!$B$30:$E$84,2,FALSE)=0,"",VLOOKUP(C99,Overview!$B$30:$E$84,2,FALSE)),"")</f>
        <v>National University of Uzbekistan</v>
      </c>
      <c r="E99" s="104" t="str">
        <f>IFERROR(IF(OR(VLOOKUP(C99,Overview!$B$30:$E$84,4,FALSE)="Country not found",VLOOKUP(C99,Overview!$B$30:$E$84,3,FALSE)=0),"",VLOOKUP(C99,Overview!$B$30:$E$84,3,FALSE)),"")</f>
        <v>Uzbekistan</v>
      </c>
      <c r="F99" s="96">
        <v>50</v>
      </c>
      <c r="G99" s="97">
        <f t="shared" si="60"/>
        <v>50</v>
      </c>
      <c r="H99" s="98">
        <f>IF(X99="Error",0,VLOOKUP(E99,Rates!$B$5:$H$105,4,FALSE))</f>
        <v>47</v>
      </c>
      <c r="I99" s="99">
        <f t="shared" si="61"/>
        <v>2350</v>
      </c>
      <c r="J99" s="96">
        <v>0</v>
      </c>
      <c r="K99" s="97">
        <f t="shared" si="62"/>
        <v>0</v>
      </c>
      <c r="L99" s="98">
        <f>IF(X99="Error",0,VLOOKUP(E99,Rates!$B$5:$H$105,5,FALSE))</f>
        <v>33</v>
      </c>
      <c r="M99" s="99">
        <f t="shared" si="63"/>
        <v>0</v>
      </c>
      <c r="N99" s="96">
        <v>0</v>
      </c>
      <c r="O99" s="97">
        <f t="shared" si="64"/>
        <v>0</v>
      </c>
      <c r="P99" s="98">
        <f>IF(X99="Error",0,VLOOKUP(E99,Rates!$B$5:$H$105,6,FALSE))</f>
        <v>22</v>
      </c>
      <c r="Q99" s="99">
        <f t="shared" si="65"/>
        <v>0</v>
      </c>
      <c r="R99" s="96">
        <v>50</v>
      </c>
      <c r="S99" s="97">
        <f t="shared" si="66"/>
        <v>50</v>
      </c>
      <c r="T99" s="98">
        <f>IF(X99="Error",0,VLOOKUP(E99,Rates!$B$5:$H$105,7,FALSE))</f>
        <v>17</v>
      </c>
      <c r="U99" s="99">
        <f t="shared" si="67"/>
        <v>850</v>
      </c>
      <c r="V99" s="100">
        <f t="shared" si="68"/>
        <v>100</v>
      </c>
      <c r="W99" s="101">
        <f t="shared" si="69"/>
        <v>3200</v>
      </c>
      <c r="X99" s="102" t="str">
        <f>IF(OR(COUNTIF(Rates!$J$13:$J$17,B99)=0,COUNTIF(Overview!$B$30:$B$84,C99)=0,D99="",E99="",ISNUMBER(F99)=FALSE,ISNUMBER(J99)=FALSE,ISNUMBER(N99)=FALSE,ISNUMBER(R99)=FALSE,IF(ISNUMBER(F99)=TRUE,F99=INT(F99*10)/10=FALSE),IF(ISNUMBER(J99)=TRUE,J99=INT(J99*10)/10=FALSE),IF(ISNUMBER(N99)=TRUE,N99=INT(N99*10)/10=FALSE),IF(ISNUMBER(R99)=TRUE,R99=INT(R99*10)/10=FALSE)),"Error","")</f>
        <v/>
      </c>
    </row>
    <row r="100" spans="2:24" s="103" customFormat="1" x14ac:dyDescent="0.25">
      <c r="B100" s="60" t="s">
        <v>368</v>
      </c>
      <c r="C100" s="94" t="s">
        <v>24</v>
      </c>
      <c r="D100" s="104" t="str">
        <f>IFERROR(IF(VLOOKUP(C100,Overview!$B$30:$E$84,2,FALSE)=0,"",VLOOKUP(C100,Overview!$B$30:$E$84,2,FALSE)),"")</f>
        <v>Kyrgyz State Technical University</v>
      </c>
      <c r="E100" s="104" t="str">
        <f>IFERROR(IF(OR(VLOOKUP(C100,Overview!$B$30:$E$84,4,FALSE)="Country not found",VLOOKUP(C100,Overview!$B$30:$E$84,3,FALSE)=0),"",VLOOKUP(C100,Overview!$B$30:$E$84,3,FALSE)),"")</f>
        <v>Kyrgyzstan</v>
      </c>
      <c r="F100" s="96">
        <v>50</v>
      </c>
      <c r="G100" s="97">
        <f t="shared" si="60"/>
        <v>50</v>
      </c>
      <c r="H100" s="98">
        <f>IF(X100="Error",0,VLOOKUP(E100,Rates!$B$5:$H$105,4,FALSE))</f>
        <v>47</v>
      </c>
      <c r="I100" s="99">
        <f t="shared" si="61"/>
        <v>2350</v>
      </c>
      <c r="J100" s="96">
        <v>0</v>
      </c>
      <c r="K100" s="97">
        <f t="shared" si="62"/>
        <v>0</v>
      </c>
      <c r="L100" s="98">
        <f>IF(X100="Error",0,VLOOKUP(E100,Rates!$B$5:$H$105,5,FALSE))</f>
        <v>33</v>
      </c>
      <c r="M100" s="99">
        <f t="shared" si="63"/>
        <v>0</v>
      </c>
      <c r="N100" s="96">
        <v>0</v>
      </c>
      <c r="O100" s="97">
        <f t="shared" si="64"/>
        <v>0</v>
      </c>
      <c r="P100" s="98">
        <f>IF(X100="Error",0,VLOOKUP(E100,Rates!$B$5:$H$105,6,FALSE))</f>
        <v>22</v>
      </c>
      <c r="Q100" s="99">
        <f t="shared" si="65"/>
        <v>0</v>
      </c>
      <c r="R100" s="96">
        <v>50</v>
      </c>
      <c r="S100" s="97">
        <f t="shared" si="66"/>
        <v>50</v>
      </c>
      <c r="T100" s="98">
        <f>IF(X100="Error",0,VLOOKUP(E100,Rates!$B$5:$H$105,7,FALSE))</f>
        <v>17</v>
      </c>
      <c r="U100" s="99">
        <f t="shared" si="67"/>
        <v>850</v>
      </c>
      <c r="V100" s="100">
        <f t="shared" si="68"/>
        <v>100</v>
      </c>
      <c r="W100" s="101">
        <f t="shared" si="69"/>
        <v>3200</v>
      </c>
      <c r="X100" s="102" t="str">
        <f>IF(OR(COUNTIF(Rates!$J$13:$J$17,B100)=0,COUNTIF(Overview!$B$30:$B$84,C100)=0,D100="",E100="",ISNUMBER(F100)=FALSE,ISNUMBER(J100)=FALSE,ISNUMBER(N100)=FALSE,ISNUMBER(R100)=FALSE,IF(ISNUMBER(F100)=TRUE,F100=INT(F100*10)/10=FALSE),IF(ISNUMBER(J100)=TRUE,J100=INT(J100*10)/10=FALSE),IF(ISNUMBER(N100)=TRUE,N100=INT(N100*10)/10=FALSE),IF(ISNUMBER(R100)=TRUE,R100=INT(R100*10)/10=FALSE)),"Error","")</f>
        <v/>
      </c>
    </row>
    <row r="101" spans="2:24" s="103" customFormat="1" x14ac:dyDescent="0.25">
      <c r="B101" s="60" t="s">
        <v>368</v>
      </c>
      <c r="C101" s="94" t="s">
        <v>25</v>
      </c>
      <c r="D101" s="104" t="str">
        <f>IFERROR(IF(VLOOKUP(C101,Overview!$B$30:$E$84,2,FALSE)=0,"",VLOOKUP(C101,Overview!$B$30:$E$84,2,FALSE)),"")</f>
        <v>Bishkek Academy of Finance and Economics</v>
      </c>
      <c r="E101" s="104" t="str">
        <f>IFERROR(IF(OR(VLOOKUP(C101,Overview!$B$30:$E$84,4,FALSE)="Country not found",VLOOKUP(C101,Overview!$B$30:$E$84,3,FALSE)=0),"",VLOOKUP(C101,Overview!$B$30:$E$84,3,FALSE)),"")</f>
        <v>Kyrgyzstan</v>
      </c>
      <c r="F101" s="96">
        <v>50</v>
      </c>
      <c r="G101" s="97">
        <f t="shared" si="60"/>
        <v>50</v>
      </c>
      <c r="H101" s="98">
        <f>IF(X101="Error",0,VLOOKUP(E101,Rates!$B$5:$H$105,4,FALSE))</f>
        <v>47</v>
      </c>
      <c r="I101" s="99">
        <f t="shared" si="61"/>
        <v>2350</v>
      </c>
      <c r="J101" s="96">
        <v>0</v>
      </c>
      <c r="K101" s="97">
        <f t="shared" si="62"/>
        <v>0</v>
      </c>
      <c r="L101" s="98">
        <f>IF(X101="Error",0,VLOOKUP(E101,Rates!$B$5:$H$105,5,FALSE))</f>
        <v>33</v>
      </c>
      <c r="M101" s="99">
        <f t="shared" si="63"/>
        <v>0</v>
      </c>
      <c r="N101" s="96">
        <v>0</v>
      </c>
      <c r="O101" s="97">
        <f t="shared" si="64"/>
        <v>0</v>
      </c>
      <c r="P101" s="98">
        <f>IF(X101="Error",0,VLOOKUP(E101,Rates!$B$5:$H$105,6,FALSE))</f>
        <v>22</v>
      </c>
      <c r="Q101" s="99">
        <f t="shared" si="65"/>
        <v>0</v>
      </c>
      <c r="R101" s="96">
        <v>50</v>
      </c>
      <c r="S101" s="97">
        <f t="shared" si="66"/>
        <v>50</v>
      </c>
      <c r="T101" s="98">
        <f>IF(X101="Error",0,VLOOKUP(E101,Rates!$B$5:$H$105,7,FALSE))</f>
        <v>17</v>
      </c>
      <c r="U101" s="99">
        <f t="shared" si="67"/>
        <v>850</v>
      </c>
      <c r="V101" s="100">
        <f t="shared" si="68"/>
        <v>100</v>
      </c>
      <c r="W101" s="101">
        <f t="shared" si="69"/>
        <v>3200</v>
      </c>
      <c r="X101" s="102" t="str">
        <f>IF(OR(COUNTIF(Rates!$J$13:$J$17,B101)=0,COUNTIF(Overview!$B$30:$B$84,C101)=0,D101="",E101="",ISNUMBER(F101)=FALSE,ISNUMBER(J101)=FALSE,ISNUMBER(N101)=FALSE,ISNUMBER(R101)=FALSE,IF(ISNUMBER(F101)=TRUE,F101=INT(F101*10)/10=FALSE),IF(ISNUMBER(J101)=TRUE,J101=INT(J101*10)/10=FALSE),IF(ISNUMBER(N101)=TRUE,N101=INT(N101*10)/10=FALSE),IF(ISNUMBER(R101)=TRUE,R101=INT(R101*10)/10=FALSE)),"Error","")</f>
        <v/>
      </c>
    </row>
    <row r="102" spans="2:24" s="103" customFormat="1" x14ac:dyDescent="0.25">
      <c r="B102" s="60" t="s">
        <v>368</v>
      </c>
      <c r="C102" s="94" t="s">
        <v>26</v>
      </c>
      <c r="D102" s="104" t="str">
        <f>IFERROR(IF(VLOOKUP(C102,Overview!$B$30:$E$84,2,FALSE)=0,"",VLOOKUP(C102,Overview!$B$30:$E$84,2,FALSE)),"")</f>
        <v>Osh Technological University</v>
      </c>
      <c r="E102" s="104" t="str">
        <f>IFERROR(IF(OR(VLOOKUP(C102,Overview!$B$30:$E$84,4,FALSE)="Country not found",VLOOKUP(C102,Overview!$B$30:$E$84,3,FALSE)=0),"",VLOOKUP(C102,Overview!$B$30:$E$84,3,FALSE)),"")</f>
        <v>Kyrgyzstan</v>
      </c>
      <c r="F102" s="96">
        <v>50</v>
      </c>
      <c r="G102" s="97">
        <f t="shared" si="60"/>
        <v>50</v>
      </c>
      <c r="H102" s="98">
        <f>IF(X102="Error",0,VLOOKUP(E102,Rates!$B$5:$H$105,4,FALSE))</f>
        <v>47</v>
      </c>
      <c r="I102" s="99">
        <f t="shared" si="61"/>
        <v>2350</v>
      </c>
      <c r="J102" s="96">
        <v>0</v>
      </c>
      <c r="K102" s="97">
        <f t="shared" si="62"/>
        <v>0</v>
      </c>
      <c r="L102" s="98">
        <f>IF(X102="Error",0,VLOOKUP(E102,Rates!$B$5:$H$105,5,FALSE))</f>
        <v>33</v>
      </c>
      <c r="M102" s="99">
        <f t="shared" si="63"/>
        <v>0</v>
      </c>
      <c r="N102" s="96">
        <v>0</v>
      </c>
      <c r="O102" s="97">
        <f t="shared" si="64"/>
        <v>0</v>
      </c>
      <c r="P102" s="98">
        <f>IF(X102="Error",0,VLOOKUP(E102,Rates!$B$5:$H$105,6,FALSE))</f>
        <v>22</v>
      </c>
      <c r="Q102" s="99">
        <f t="shared" si="65"/>
        <v>0</v>
      </c>
      <c r="R102" s="96">
        <v>50</v>
      </c>
      <c r="S102" s="97">
        <f t="shared" si="66"/>
        <v>50</v>
      </c>
      <c r="T102" s="98">
        <f>IF(X102="Error",0,VLOOKUP(E102,Rates!$B$5:$H$105,7,FALSE))</f>
        <v>17</v>
      </c>
      <c r="U102" s="99">
        <f t="shared" si="67"/>
        <v>850</v>
      </c>
      <c r="V102" s="100">
        <f t="shared" si="68"/>
        <v>100</v>
      </c>
      <c r="W102" s="101">
        <f t="shared" si="69"/>
        <v>3200</v>
      </c>
      <c r="X102" s="102" t="str">
        <f>IF(OR(COUNTIF(Rates!$J$13:$J$17,B102)=0,COUNTIF(Overview!$B$30:$B$84,C102)=0,D102="",E102="",ISNUMBER(F102)=FALSE,ISNUMBER(J102)=FALSE,ISNUMBER(N102)=FALSE,ISNUMBER(R102)=FALSE,IF(ISNUMBER(F102)=TRUE,F102=INT(F102*10)/10=FALSE),IF(ISNUMBER(J102)=TRUE,J102=INT(J102*10)/10=FALSE),IF(ISNUMBER(N102)=TRUE,N102=INT(N102*10)/10=FALSE),IF(ISNUMBER(R102)=TRUE,R102=INT(R102*10)/10=FALSE)),"Error","")</f>
        <v/>
      </c>
    </row>
    <row r="103" spans="2:24" s="103" customFormat="1" x14ac:dyDescent="0.25">
      <c r="B103" s="60" t="s">
        <v>368</v>
      </c>
      <c r="C103" s="94" t="s">
        <v>28</v>
      </c>
      <c r="D103" s="104" t="str">
        <f>IFERROR(IF(VLOOKUP(C103,Overview!$B$30:$E$84,2,FALSE)=0,"",VLOOKUP(C103,Overview!$B$30:$E$84,2,FALSE)),"")</f>
        <v>Khujand State University</v>
      </c>
      <c r="E103" s="104" t="str">
        <f>IFERROR(IF(OR(VLOOKUP(C103,Overview!$B$30:$E$84,4,FALSE)="Country not found",VLOOKUP(C103,Overview!$B$30:$E$84,3,FALSE)=0),"",VLOOKUP(C103,Overview!$B$30:$E$84,3,FALSE)),"")</f>
        <v>Tajikistan</v>
      </c>
      <c r="F103" s="96">
        <v>50</v>
      </c>
      <c r="G103" s="97">
        <f t="shared" si="60"/>
        <v>50</v>
      </c>
      <c r="H103" s="98">
        <f>IF(X103="Error",0,VLOOKUP(E103,Rates!$B$5:$H$105,4,FALSE))</f>
        <v>47</v>
      </c>
      <c r="I103" s="99">
        <f t="shared" si="61"/>
        <v>2350</v>
      </c>
      <c r="J103" s="96">
        <v>0</v>
      </c>
      <c r="K103" s="97">
        <f t="shared" si="62"/>
        <v>0</v>
      </c>
      <c r="L103" s="98">
        <f>IF(X103="Error",0,VLOOKUP(E103,Rates!$B$5:$H$105,5,FALSE))</f>
        <v>33</v>
      </c>
      <c r="M103" s="99">
        <f t="shared" si="63"/>
        <v>0</v>
      </c>
      <c r="N103" s="96">
        <v>0</v>
      </c>
      <c r="O103" s="97">
        <f t="shared" si="64"/>
        <v>0</v>
      </c>
      <c r="P103" s="98">
        <f>IF(X103="Error",0,VLOOKUP(E103,Rates!$B$5:$H$105,6,FALSE))</f>
        <v>22</v>
      </c>
      <c r="Q103" s="99">
        <f t="shared" si="65"/>
        <v>0</v>
      </c>
      <c r="R103" s="96">
        <v>50</v>
      </c>
      <c r="S103" s="97">
        <f t="shared" si="66"/>
        <v>50</v>
      </c>
      <c r="T103" s="98">
        <f>IF(X103="Error",0,VLOOKUP(E103,Rates!$B$5:$H$105,7,FALSE))</f>
        <v>17</v>
      </c>
      <c r="U103" s="99">
        <f t="shared" si="67"/>
        <v>850</v>
      </c>
      <c r="V103" s="100">
        <f t="shared" si="68"/>
        <v>100</v>
      </c>
      <c r="W103" s="101">
        <f t="shared" si="69"/>
        <v>3200</v>
      </c>
      <c r="X103" s="102" t="str">
        <f>IF(OR(COUNTIF(Rates!$J$13:$J$17,B103)=0,COUNTIF(Overview!$B$30:$B$84,C103)=0,D103="",E103="",ISNUMBER(F103)=FALSE,ISNUMBER(J103)=FALSE,ISNUMBER(N103)=FALSE,ISNUMBER(R103)=FALSE,IF(ISNUMBER(F103)=TRUE,F103=INT(F103*10)/10=FALSE),IF(ISNUMBER(J103)=TRUE,J103=INT(J103*10)/10=FALSE),IF(ISNUMBER(N103)=TRUE,N103=INT(N103*10)/10=FALSE),IF(ISNUMBER(R103)=TRUE,R103=INT(R103*10)/10=FALSE)),"Error","")</f>
        <v/>
      </c>
    </row>
    <row r="104" spans="2:24" s="103" customFormat="1" x14ac:dyDescent="0.25">
      <c r="B104" s="60" t="s">
        <v>368</v>
      </c>
      <c r="C104" s="94" t="s">
        <v>29</v>
      </c>
      <c r="D104" s="104" t="str">
        <f>IFERROR(IF(VLOOKUP(C104,Overview!$B$30:$E$84,2,FALSE)=0,"",VLOOKUP(C104,Overview!$B$30:$E$84,2,FALSE)),"")</f>
        <v>Khorog State University</v>
      </c>
      <c r="E104" s="104" t="str">
        <f>IFERROR(IF(OR(VLOOKUP(C104,Overview!$B$30:$E$84,4,FALSE)="Country not found",VLOOKUP(C104,Overview!$B$30:$E$84,3,FALSE)=0),"",VLOOKUP(C104,Overview!$B$30:$E$84,3,FALSE)),"")</f>
        <v>Tajikistan</v>
      </c>
      <c r="F104" s="96">
        <v>50</v>
      </c>
      <c r="G104" s="97">
        <f t="shared" si="60"/>
        <v>50</v>
      </c>
      <c r="H104" s="98">
        <f>IF(X104="Error",0,VLOOKUP(E104,Rates!$B$5:$H$105,4,FALSE))</f>
        <v>47</v>
      </c>
      <c r="I104" s="99">
        <f t="shared" si="61"/>
        <v>2350</v>
      </c>
      <c r="J104" s="96">
        <v>0</v>
      </c>
      <c r="K104" s="97">
        <f t="shared" si="62"/>
        <v>0</v>
      </c>
      <c r="L104" s="98">
        <f>IF(X104="Error",0,VLOOKUP(E104,Rates!$B$5:$H$105,5,FALSE))</f>
        <v>33</v>
      </c>
      <c r="M104" s="99">
        <f t="shared" si="63"/>
        <v>0</v>
      </c>
      <c r="N104" s="96">
        <v>0</v>
      </c>
      <c r="O104" s="97">
        <f t="shared" si="64"/>
        <v>0</v>
      </c>
      <c r="P104" s="98">
        <f>IF(X104="Error",0,VLOOKUP(E104,Rates!$B$5:$H$105,6,FALSE))</f>
        <v>22</v>
      </c>
      <c r="Q104" s="99">
        <f t="shared" si="65"/>
        <v>0</v>
      </c>
      <c r="R104" s="96">
        <v>50</v>
      </c>
      <c r="S104" s="97">
        <f t="shared" si="66"/>
        <v>50</v>
      </c>
      <c r="T104" s="98">
        <f>IF(X104="Error",0,VLOOKUP(E104,Rates!$B$5:$H$105,7,FALSE))</f>
        <v>17</v>
      </c>
      <c r="U104" s="99">
        <f t="shared" si="67"/>
        <v>850</v>
      </c>
      <c r="V104" s="100">
        <f t="shared" si="68"/>
        <v>100</v>
      </c>
      <c r="W104" s="101">
        <f t="shared" si="69"/>
        <v>3200</v>
      </c>
      <c r="X104" s="102" t="str">
        <f>IF(OR(COUNTIF(Rates!$J$13:$J$17,B104)=0,COUNTIF(Overview!$B$30:$B$84,C104)=0,D104="",E104="",ISNUMBER(F104)=FALSE,ISNUMBER(J104)=FALSE,ISNUMBER(N104)=FALSE,ISNUMBER(R104)=FALSE,IF(ISNUMBER(F104)=TRUE,F104=INT(F104*10)/10=FALSE),IF(ISNUMBER(J104)=TRUE,J104=INT(J104*10)/10=FALSE),IF(ISNUMBER(N104)=TRUE,N104=INT(N104*10)/10=FALSE),IF(ISNUMBER(R104)=TRUE,R104=INT(R104*10)/10=FALSE)),"Error","")</f>
        <v/>
      </c>
    </row>
    <row r="105" spans="2:24" s="103" customFormat="1" x14ac:dyDescent="0.25">
      <c r="B105" s="60" t="s">
        <v>368</v>
      </c>
      <c r="C105" s="94" t="s">
        <v>30</v>
      </c>
      <c r="D105" s="104" t="str">
        <f>IFERROR(IF(VLOOKUP(C105,Overview!$B$30:$E$84,2,FALSE)=0,"",VLOOKUP(C105,Overview!$B$30:$E$84,2,FALSE)),"")</f>
        <v>Tajik Pedagogical University</v>
      </c>
      <c r="E105" s="104" t="str">
        <f>IFERROR(IF(OR(VLOOKUP(C105,Overview!$B$30:$E$84,4,FALSE)="Country not found",VLOOKUP(C105,Overview!$B$30:$E$84,3,FALSE)=0),"",VLOOKUP(C105,Overview!$B$30:$E$84,3,FALSE)),"")</f>
        <v>Tajikistan</v>
      </c>
      <c r="F105" s="96">
        <v>50</v>
      </c>
      <c r="G105" s="97">
        <f t="shared" si="60"/>
        <v>50</v>
      </c>
      <c r="H105" s="98">
        <f>IF(X105="Error",0,VLOOKUP(E105,Rates!$B$5:$H$105,4,FALSE))</f>
        <v>47</v>
      </c>
      <c r="I105" s="99">
        <f t="shared" si="61"/>
        <v>2350</v>
      </c>
      <c r="J105" s="96">
        <v>0</v>
      </c>
      <c r="K105" s="97">
        <f t="shared" si="62"/>
        <v>0</v>
      </c>
      <c r="L105" s="98">
        <f>IF(X105="Error",0,VLOOKUP(E105,Rates!$B$5:$H$105,5,FALSE))</f>
        <v>33</v>
      </c>
      <c r="M105" s="99">
        <f t="shared" si="63"/>
        <v>0</v>
      </c>
      <c r="N105" s="96">
        <v>0</v>
      </c>
      <c r="O105" s="97">
        <f t="shared" si="64"/>
        <v>0</v>
      </c>
      <c r="P105" s="98">
        <f>IF(X105="Error",0,VLOOKUP(E105,Rates!$B$5:$H$105,6,FALSE))</f>
        <v>22</v>
      </c>
      <c r="Q105" s="99">
        <f t="shared" si="65"/>
        <v>0</v>
      </c>
      <c r="R105" s="96">
        <v>50</v>
      </c>
      <c r="S105" s="97">
        <f t="shared" si="66"/>
        <v>50</v>
      </c>
      <c r="T105" s="98">
        <f>IF(X105="Error",0,VLOOKUP(E105,Rates!$B$5:$H$105,7,FALSE))</f>
        <v>17</v>
      </c>
      <c r="U105" s="99">
        <f t="shared" si="67"/>
        <v>850</v>
      </c>
      <c r="V105" s="100">
        <f t="shared" si="68"/>
        <v>100</v>
      </c>
      <c r="W105" s="101">
        <f t="shared" si="69"/>
        <v>3200</v>
      </c>
      <c r="X105" s="102" t="str">
        <f>IF(OR(COUNTIF(Rates!$J$13:$J$17,B105)=0,COUNTIF(Overview!$B$30:$B$84,C105)=0,D105="",E105="",ISNUMBER(F105)=FALSE,ISNUMBER(J105)=FALSE,ISNUMBER(N105)=FALSE,ISNUMBER(R105)=FALSE,IF(ISNUMBER(F105)=TRUE,F105=INT(F105*10)/10=FALSE),IF(ISNUMBER(J105)=TRUE,J105=INT(J105*10)/10=FALSE),IF(ISNUMBER(N105)=TRUE,N105=INT(N105*10)/10=FALSE),IF(ISNUMBER(R105)=TRUE,R105=INT(R105*10)/10=FALSE)),"Error","")</f>
        <v/>
      </c>
    </row>
    <row r="106" spans="2:24" s="103" customFormat="1" x14ac:dyDescent="0.25">
      <c r="B106" s="60" t="s">
        <v>368</v>
      </c>
      <c r="C106" s="94" t="s">
        <v>33</v>
      </c>
      <c r="D106" s="104" t="str">
        <f>IFERROR(IF(VLOOKUP(C106,Overview!$B$30:$E$84,2,FALSE)=0,"",VLOOKUP(C106,Overview!$B$30:$E$84,2,FALSE)),"")</f>
        <v>KIMEP University, JSC</v>
      </c>
      <c r="E106" s="104" t="str">
        <f>IFERROR(IF(OR(VLOOKUP(C106,Overview!$B$30:$E$84,4,FALSE)="Country not found",VLOOKUP(C106,Overview!$B$30:$E$84,3,FALSE)=0),"",VLOOKUP(C106,Overview!$B$30:$E$84,3,FALSE)),"")</f>
        <v>Kazakhstan</v>
      </c>
      <c r="F106" s="96">
        <v>50</v>
      </c>
      <c r="G106" s="97">
        <f t="shared" si="60"/>
        <v>50</v>
      </c>
      <c r="H106" s="98">
        <f>IF(X106="Error",0,VLOOKUP(E106,Rates!$B$5:$H$105,4,FALSE))</f>
        <v>77</v>
      </c>
      <c r="I106" s="99">
        <f t="shared" si="61"/>
        <v>3850</v>
      </c>
      <c r="J106" s="96">
        <v>0</v>
      </c>
      <c r="K106" s="97">
        <f t="shared" si="62"/>
        <v>0</v>
      </c>
      <c r="L106" s="98">
        <f>IF(X106="Error",0,VLOOKUP(E106,Rates!$B$5:$H$105,5,FALSE))</f>
        <v>57</v>
      </c>
      <c r="M106" s="99">
        <f t="shared" si="63"/>
        <v>0</v>
      </c>
      <c r="N106" s="96">
        <v>0</v>
      </c>
      <c r="O106" s="97">
        <f t="shared" si="64"/>
        <v>0</v>
      </c>
      <c r="P106" s="98">
        <f>IF(X106="Error",0,VLOOKUP(E106,Rates!$B$5:$H$105,6,FALSE))</f>
        <v>40</v>
      </c>
      <c r="Q106" s="99">
        <f t="shared" si="65"/>
        <v>0</v>
      </c>
      <c r="R106" s="96">
        <v>50</v>
      </c>
      <c r="S106" s="97">
        <f t="shared" si="66"/>
        <v>50</v>
      </c>
      <c r="T106" s="98">
        <f>IF(X106="Error",0,VLOOKUP(E106,Rates!$B$5:$H$105,7,FALSE))</f>
        <v>32</v>
      </c>
      <c r="U106" s="99">
        <f t="shared" si="67"/>
        <v>1600</v>
      </c>
      <c r="V106" s="100">
        <f t="shared" si="68"/>
        <v>100</v>
      </c>
      <c r="W106" s="101">
        <f t="shared" si="69"/>
        <v>5450</v>
      </c>
      <c r="X106" s="102" t="str">
        <f>IF(OR(COUNTIF(Rates!$J$13:$J$17,B106)=0,COUNTIF(Overview!$B$30:$B$84,C106)=0,D106="",E106="",ISNUMBER(F106)=FALSE,ISNUMBER(J106)=FALSE,ISNUMBER(N106)=FALSE,ISNUMBER(R106)=FALSE,IF(ISNUMBER(F106)=TRUE,F106=INT(F106*10)/10=FALSE),IF(ISNUMBER(J106)=TRUE,J106=INT(J106*10)/10=FALSE),IF(ISNUMBER(N106)=TRUE,N106=INT(N106*10)/10=FALSE),IF(ISNUMBER(R106)=TRUE,R106=INT(R106*10)/10=FALSE)),"Error","")</f>
        <v/>
      </c>
    </row>
    <row r="107" spans="2:24" s="103" customFormat="1" x14ac:dyDescent="0.25">
      <c r="B107" s="60" t="s">
        <v>368</v>
      </c>
      <c r="C107" s="94" t="s">
        <v>126</v>
      </c>
      <c r="D107" s="104" t="str">
        <f>IFERROR(IF(VLOOKUP(C107,Overview!$B$30:$E$84,2,FALSE)=0,"",VLOOKUP(C107,Overview!$B$30:$E$84,2,FALSE)),"")</f>
        <v>Al-Farabi Kazakhstan National University</v>
      </c>
      <c r="E107" s="104" t="str">
        <f>IFERROR(IF(OR(VLOOKUP(C107,Overview!$B$30:$E$84,4,FALSE)="Country not found",VLOOKUP(C107,Overview!$B$30:$E$84,3,FALSE)=0),"",VLOOKUP(C107,Overview!$B$30:$E$84,3,FALSE)),"")</f>
        <v>Kazakhstan</v>
      </c>
      <c r="F107" s="96">
        <v>50</v>
      </c>
      <c r="G107" s="97">
        <f t="shared" si="60"/>
        <v>50</v>
      </c>
      <c r="H107" s="98">
        <f>IF(X107="Error",0,VLOOKUP(E107,Rates!$B$5:$H$105,4,FALSE))</f>
        <v>77</v>
      </c>
      <c r="I107" s="99">
        <f t="shared" si="61"/>
        <v>3850</v>
      </c>
      <c r="J107" s="96">
        <v>0</v>
      </c>
      <c r="K107" s="97">
        <f t="shared" si="62"/>
        <v>0</v>
      </c>
      <c r="L107" s="98">
        <f>IF(X107="Error",0,VLOOKUP(E107,Rates!$B$5:$H$105,5,FALSE))</f>
        <v>57</v>
      </c>
      <c r="M107" s="99">
        <f t="shared" si="63"/>
        <v>0</v>
      </c>
      <c r="N107" s="96">
        <v>0</v>
      </c>
      <c r="O107" s="97">
        <f t="shared" si="64"/>
        <v>0</v>
      </c>
      <c r="P107" s="98">
        <f>IF(X107="Error",0,VLOOKUP(E107,Rates!$B$5:$H$105,6,FALSE))</f>
        <v>40</v>
      </c>
      <c r="Q107" s="99">
        <f t="shared" si="65"/>
        <v>0</v>
      </c>
      <c r="R107" s="96">
        <v>50</v>
      </c>
      <c r="S107" s="97">
        <f t="shared" si="66"/>
        <v>50</v>
      </c>
      <c r="T107" s="98">
        <f>IF(X107="Error",0,VLOOKUP(E107,Rates!$B$5:$H$105,7,FALSE))</f>
        <v>32</v>
      </c>
      <c r="U107" s="99">
        <f t="shared" si="67"/>
        <v>1600</v>
      </c>
      <c r="V107" s="100">
        <f t="shared" si="68"/>
        <v>100</v>
      </c>
      <c r="W107" s="101">
        <f t="shared" si="69"/>
        <v>5450</v>
      </c>
      <c r="X107" s="102" t="str">
        <f>IF(OR(COUNTIF(Rates!$J$13:$J$17,B107)=0,COUNTIF(Overview!$B$30:$B$84,C107)=0,D107="",E107="",ISNUMBER(F107)=FALSE,ISNUMBER(J107)=FALSE,ISNUMBER(N107)=FALSE,ISNUMBER(R107)=FALSE,IF(ISNUMBER(F107)=TRUE,F107=INT(F107*10)/10=FALSE),IF(ISNUMBER(J107)=TRUE,J107=INT(J107*10)/10=FALSE),IF(ISNUMBER(N107)=TRUE,N107=INT(N107*10)/10=FALSE),IF(ISNUMBER(R107)=TRUE,R107=INT(R107*10)/10=FALSE)),"Error","")</f>
        <v/>
      </c>
    </row>
    <row r="108" spans="2:24" s="103" customFormat="1" x14ac:dyDescent="0.25">
      <c r="B108" s="60" t="s">
        <v>368</v>
      </c>
      <c r="C108" s="94" t="s">
        <v>127</v>
      </c>
      <c r="D108" s="104" t="str">
        <f>IFERROR(IF(VLOOKUP(C108,Overview!$B$30:$E$84,2,FALSE)=0,"",VLOOKUP(C108,Overview!$B$30:$E$84,2,FALSE)),"")</f>
        <v>Kazakhstan National Technical University</v>
      </c>
      <c r="E108" s="104" t="str">
        <f>IFERROR(IF(OR(VLOOKUP(C108,Overview!$B$30:$E$84,4,FALSE)="Country not found",VLOOKUP(C108,Overview!$B$30:$E$84,3,FALSE)=0),"",VLOOKUP(C108,Overview!$B$30:$E$84,3,FALSE)),"")</f>
        <v>Kazakhstan</v>
      </c>
      <c r="F108" s="96">
        <v>50</v>
      </c>
      <c r="G108" s="97">
        <f t="shared" si="60"/>
        <v>50</v>
      </c>
      <c r="H108" s="98">
        <f>IF(X108="Error",0,VLOOKUP(E108,Rates!$B$5:$H$105,4,FALSE))</f>
        <v>77</v>
      </c>
      <c r="I108" s="99">
        <f t="shared" si="61"/>
        <v>3850</v>
      </c>
      <c r="J108" s="96">
        <v>0</v>
      </c>
      <c r="K108" s="97">
        <f t="shared" si="62"/>
        <v>0</v>
      </c>
      <c r="L108" s="98">
        <f>IF(X108="Error",0,VLOOKUP(E108,Rates!$B$5:$H$105,5,FALSE))</f>
        <v>57</v>
      </c>
      <c r="M108" s="99">
        <f t="shared" si="63"/>
        <v>0</v>
      </c>
      <c r="N108" s="96">
        <v>0</v>
      </c>
      <c r="O108" s="97">
        <f t="shared" si="64"/>
        <v>0</v>
      </c>
      <c r="P108" s="98">
        <f>IF(X108="Error",0,VLOOKUP(E108,Rates!$B$5:$H$105,6,FALSE))</f>
        <v>40</v>
      </c>
      <c r="Q108" s="99">
        <f t="shared" si="65"/>
        <v>0</v>
      </c>
      <c r="R108" s="96">
        <v>50</v>
      </c>
      <c r="S108" s="97">
        <f t="shared" si="66"/>
        <v>50</v>
      </c>
      <c r="T108" s="98">
        <f>IF(X108="Error",0,VLOOKUP(E108,Rates!$B$5:$H$105,7,FALSE))</f>
        <v>32</v>
      </c>
      <c r="U108" s="99">
        <f t="shared" si="67"/>
        <v>1600</v>
      </c>
      <c r="V108" s="100">
        <f t="shared" si="68"/>
        <v>100</v>
      </c>
      <c r="W108" s="101">
        <f t="shared" si="69"/>
        <v>5450</v>
      </c>
      <c r="X108" s="102" t="str">
        <f>IF(OR(COUNTIF(Rates!$J$13:$J$17,B108)=0,COUNTIF(Overview!$B$30:$B$84,C108)=0,D108="",E108="",ISNUMBER(F108)=FALSE,ISNUMBER(J108)=FALSE,ISNUMBER(N108)=FALSE,ISNUMBER(R108)=FALSE,IF(ISNUMBER(F108)=TRUE,F108=INT(F108*10)/10=FALSE),IF(ISNUMBER(J108)=TRUE,J108=INT(J108*10)/10=FALSE),IF(ISNUMBER(N108)=TRUE,N108=INT(N108*10)/10=FALSE),IF(ISNUMBER(R108)=TRUE,R108=INT(R108*10)/10=FALSE)),"Error","")</f>
        <v/>
      </c>
    </row>
    <row r="109" spans="2:24" s="103" customFormat="1" x14ac:dyDescent="0.25">
      <c r="B109" s="60" t="s">
        <v>368</v>
      </c>
      <c r="C109" s="94" t="s">
        <v>128</v>
      </c>
      <c r="D109" s="104" t="str">
        <f>IFERROR(IF(VLOOKUP(C109,Overview!$B$30:$E$84,2,FALSE)=0,"",VLOOKUP(C109,Overview!$B$30:$E$84,2,FALSE)),"")</f>
        <v xml:space="preserve">Zhezkazgan Baikonurov University </v>
      </c>
      <c r="E109" s="104" t="str">
        <f>IFERROR(IF(OR(VLOOKUP(C109,Overview!$B$30:$E$84,4,FALSE)="Country not found",VLOOKUP(C109,Overview!$B$30:$E$84,3,FALSE)=0),"",VLOOKUP(C109,Overview!$B$30:$E$84,3,FALSE)),"")</f>
        <v>Kazakhstan</v>
      </c>
      <c r="F109" s="96">
        <v>50</v>
      </c>
      <c r="G109" s="97">
        <f t="shared" si="60"/>
        <v>50</v>
      </c>
      <c r="H109" s="98">
        <f>IF(X109="Error",0,VLOOKUP(E109,Rates!$B$5:$H$105,4,FALSE))</f>
        <v>77</v>
      </c>
      <c r="I109" s="99">
        <f t="shared" si="61"/>
        <v>3850</v>
      </c>
      <c r="J109" s="96">
        <v>0</v>
      </c>
      <c r="K109" s="97">
        <f t="shared" si="62"/>
        <v>0</v>
      </c>
      <c r="L109" s="98">
        <f>IF(X109="Error",0,VLOOKUP(E109,Rates!$B$5:$H$105,5,FALSE))</f>
        <v>57</v>
      </c>
      <c r="M109" s="99">
        <f t="shared" si="63"/>
        <v>0</v>
      </c>
      <c r="N109" s="96">
        <v>0</v>
      </c>
      <c r="O109" s="97">
        <f t="shared" si="64"/>
        <v>0</v>
      </c>
      <c r="P109" s="98">
        <f>IF(X109="Error",0,VLOOKUP(E109,Rates!$B$5:$H$105,6,FALSE))</f>
        <v>40</v>
      </c>
      <c r="Q109" s="99">
        <f t="shared" si="65"/>
        <v>0</v>
      </c>
      <c r="R109" s="96">
        <v>50</v>
      </c>
      <c r="S109" s="97">
        <f t="shared" si="66"/>
        <v>50</v>
      </c>
      <c r="T109" s="98">
        <f>IF(X109="Error",0,VLOOKUP(E109,Rates!$B$5:$H$105,7,FALSE))</f>
        <v>32</v>
      </c>
      <c r="U109" s="99">
        <f t="shared" si="67"/>
        <v>1600</v>
      </c>
      <c r="V109" s="100">
        <f t="shared" si="68"/>
        <v>100</v>
      </c>
      <c r="W109" s="101">
        <f t="shared" si="69"/>
        <v>5450</v>
      </c>
      <c r="X109" s="102" t="str">
        <f>IF(OR(COUNTIF(Rates!$J$13:$J$17,B109)=0,COUNTIF(Overview!$B$30:$B$84,C109)=0,D109="",E109="",ISNUMBER(F109)=FALSE,ISNUMBER(J109)=FALSE,ISNUMBER(N109)=FALSE,ISNUMBER(R109)=FALSE,IF(ISNUMBER(F109)=TRUE,F109=INT(F109*10)/10=FALSE),IF(ISNUMBER(J109)=TRUE,J109=INT(J109*10)/10=FALSE),IF(ISNUMBER(N109)=TRUE,N109=INT(N109*10)/10=FALSE),IF(ISNUMBER(R109)=TRUE,R109=INT(R109*10)/10=FALSE)),"Error","")</f>
        <v/>
      </c>
    </row>
  </sheetData>
  <sheetProtection password="E359" sheet="1" objects="1" scenarios="1" selectLockedCells="1"/>
  <dataConsolidate/>
  <mergeCells count="21">
    <mergeCell ref="X11:X12"/>
    <mergeCell ref="B2:X2"/>
    <mergeCell ref="W11:W12"/>
    <mergeCell ref="F11:I11"/>
    <mergeCell ref="J11:M11"/>
    <mergeCell ref="N11:Q11"/>
    <mergeCell ref="R11:U11"/>
    <mergeCell ref="B10:W10"/>
    <mergeCell ref="F4:W9"/>
    <mergeCell ref="B11:B12"/>
    <mergeCell ref="E11:E12"/>
    <mergeCell ref="D11:D12"/>
    <mergeCell ref="C11:C12"/>
    <mergeCell ref="B8:C8"/>
    <mergeCell ref="B7:C7"/>
    <mergeCell ref="B6:C6"/>
    <mergeCell ref="B5:C5"/>
    <mergeCell ref="B4:C4"/>
    <mergeCell ref="B9:C9"/>
    <mergeCell ref="B3:W3"/>
    <mergeCell ref="V11:V12"/>
  </mergeCells>
  <conditionalFormatting sqref="X13:X14">
    <cfRule type="containsText" dxfId="906" priority="309" operator="containsText" text="Error">
      <formula>NOT(ISERROR(SEARCH("Error",X13)))</formula>
    </cfRule>
  </conditionalFormatting>
  <conditionalFormatting sqref="D13:E14">
    <cfRule type="containsBlanks" dxfId="905" priority="305">
      <formula>LEN(TRIM(D13))=0</formula>
    </cfRule>
  </conditionalFormatting>
  <conditionalFormatting sqref="X17">
    <cfRule type="containsText" dxfId="904" priority="216" operator="containsText" text="Error">
      <formula>NOT(ISERROR(SEARCH("Error",X17)))</formula>
    </cfRule>
  </conditionalFormatting>
  <conditionalFormatting sqref="D17:E17">
    <cfRule type="containsBlanks" dxfId="903" priority="215">
      <formula>LEN(TRIM(D17))=0</formula>
    </cfRule>
  </conditionalFormatting>
  <conditionalFormatting sqref="X18">
    <cfRule type="containsText" dxfId="902" priority="214" operator="containsText" text="Error">
      <formula>NOT(ISERROR(SEARCH("Error",X18)))</formula>
    </cfRule>
  </conditionalFormatting>
  <conditionalFormatting sqref="D18:E18">
    <cfRule type="containsBlanks" dxfId="901" priority="213">
      <formula>LEN(TRIM(D18))=0</formula>
    </cfRule>
  </conditionalFormatting>
  <conditionalFormatting sqref="X20">
    <cfRule type="containsText" dxfId="900" priority="212" operator="containsText" text="Error">
      <formula>NOT(ISERROR(SEARCH("Error",X20)))</formula>
    </cfRule>
  </conditionalFormatting>
  <conditionalFormatting sqref="D20:E20">
    <cfRule type="containsBlanks" dxfId="899" priority="211">
      <formula>LEN(TRIM(D20))=0</formula>
    </cfRule>
  </conditionalFormatting>
  <conditionalFormatting sqref="X21">
    <cfRule type="containsText" dxfId="898" priority="210" operator="containsText" text="Error">
      <formula>NOT(ISERROR(SEARCH("Error",X21)))</formula>
    </cfRule>
  </conditionalFormatting>
  <conditionalFormatting sqref="D21:E21">
    <cfRule type="containsBlanks" dxfId="897" priority="209">
      <formula>LEN(TRIM(D21))=0</formula>
    </cfRule>
  </conditionalFormatting>
  <conditionalFormatting sqref="X22">
    <cfRule type="containsText" dxfId="896" priority="208" operator="containsText" text="Error">
      <formula>NOT(ISERROR(SEARCH("Error",X22)))</formula>
    </cfRule>
  </conditionalFormatting>
  <conditionalFormatting sqref="D22:E22">
    <cfRule type="containsBlanks" dxfId="895" priority="207">
      <formula>LEN(TRIM(D22))=0</formula>
    </cfRule>
  </conditionalFormatting>
  <conditionalFormatting sqref="X24">
    <cfRule type="containsText" dxfId="894" priority="206" operator="containsText" text="Error">
      <formula>NOT(ISERROR(SEARCH("Error",X24)))</formula>
    </cfRule>
  </conditionalFormatting>
  <conditionalFormatting sqref="D24:E24">
    <cfRule type="containsBlanks" dxfId="893" priority="205">
      <formula>LEN(TRIM(D24))=0</formula>
    </cfRule>
  </conditionalFormatting>
  <conditionalFormatting sqref="X25">
    <cfRule type="containsText" dxfId="892" priority="204" operator="containsText" text="Error">
      <formula>NOT(ISERROR(SEARCH("Error",X25)))</formula>
    </cfRule>
  </conditionalFormatting>
  <conditionalFormatting sqref="D25:E25">
    <cfRule type="containsBlanks" dxfId="891" priority="203">
      <formula>LEN(TRIM(D25))=0</formula>
    </cfRule>
  </conditionalFormatting>
  <conditionalFormatting sqref="X26">
    <cfRule type="containsText" dxfId="890" priority="202" operator="containsText" text="Error">
      <formula>NOT(ISERROR(SEARCH("Error",X26)))</formula>
    </cfRule>
  </conditionalFormatting>
  <conditionalFormatting sqref="D26:E26">
    <cfRule type="containsBlanks" dxfId="889" priority="201">
      <formula>LEN(TRIM(D26))=0</formula>
    </cfRule>
  </conditionalFormatting>
  <conditionalFormatting sqref="X28">
    <cfRule type="containsText" dxfId="888" priority="196" operator="containsText" text="Error">
      <formula>NOT(ISERROR(SEARCH("Error",X28)))</formula>
    </cfRule>
  </conditionalFormatting>
  <conditionalFormatting sqref="D28:E28">
    <cfRule type="containsBlanks" dxfId="887" priority="195">
      <formula>LEN(TRIM(D28))=0</formula>
    </cfRule>
  </conditionalFormatting>
  <conditionalFormatting sqref="X29">
    <cfRule type="containsText" dxfId="886" priority="194" operator="containsText" text="Error">
      <formula>NOT(ISERROR(SEARCH("Error",X29)))</formula>
    </cfRule>
  </conditionalFormatting>
  <conditionalFormatting sqref="D29:E29">
    <cfRule type="containsBlanks" dxfId="885" priority="193">
      <formula>LEN(TRIM(D29))=0</formula>
    </cfRule>
  </conditionalFormatting>
  <conditionalFormatting sqref="X30">
    <cfRule type="containsText" dxfId="884" priority="192" operator="containsText" text="Error">
      <formula>NOT(ISERROR(SEARCH("Error",X30)))</formula>
    </cfRule>
  </conditionalFormatting>
  <conditionalFormatting sqref="D30:E30">
    <cfRule type="containsBlanks" dxfId="883" priority="191">
      <formula>LEN(TRIM(D30))=0</formula>
    </cfRule>
  </conditionalFormatting>
  <conditionalFormatting sqref="X31">
    <cfRule type="containsText" dxfId="882" priority="190" operator="containsText" text="Error">
      <formula>NOT(ISERROR(SEARCH("Error",X31)))</formula>
    </cfRule>
  </conditionalFormatting>
  <conditionalFormatting sqref="D31:E31">
    <cfRule type="containsBlanks" dxfId="881" priority="189">
      <formula>LEN(TRIM(D31))=0</formula>
    </cfRule>
  </conditionalFormatting>
  <conditionalFormatting sqref="X33">
    <cfRule type="containsText" dxfId="880" priority="188" operator="containsText" text="Error">
      <formula>NOT(ISERROR(SEARCH("Error",X33)))</formula>
    </cfRule>
  </conditionalFormatting>
  <conditionalFormatting sqref="D33:E33">
    <cfRule type="containsBlanks" dxfId="879" priority="187">
      <formula>LEN(TRIM(D33))=0</formula>
    </cfRule>
  </conditionalFormatting>
  <conditionalFormatting sqref="X35">
    <cfRule type="containsText" dxfId="878" priority="186" operator="containsText" text="Error">
      <formula>NOT(ISERROR(SEARCH("Error",X35)))</formula>
    </cfRule>
  </conditionalFormatting>
  <conditionalFormatting sqref="D35:E35">
    <cfRule type="containsBlanks" dxfId="877" priority="185">
      <formula>LEN(TRIM(D35))=0</formula>
    </cfRule>
  </conditionalFormatting>
  <conditionalFormatting sqref="X36">
    <cfRule type="containsText" dxfId="876" priority="184" operator="containsText" text="Error">
      <formula>NOT(ISERROR(SEARCH("Error",X36)))</formula>
    </cfRule>
  </conditionalFormatting>
  <conditionalFormatting sqref="D36:E36">
    <cfRule type="containsBlanks" dxfId="875" priority="183">
      <formula>LEN(TRIM(D36))=0</formula>
    </cfRule>
  </conditionalFormatting>
  <conditionalFormatting sqref="X37">
    <cfRule type="containsText" dxfId="874" priority="182" operator="containsText" text="Error">
      <formula>NOT(ISERROR(SEARCH("Error",X37)))</formula>
    </cfRule>
  </conditionalFormatting>
  <conditionalFormatting sqref="D37:E37">
    <cfRule type="containsBlanks" dxfId="873" priority="181">
      <formula>LEN(TRIM(D37))=0</formula>
    </cfRule>
  </conditionalFormatting>
  <conditionalFormatting sqref="X38">
    <cfRule type="containsText" dxfId="872" priority="180" operator="containsText" text="Error">
      <formula>NOT(ISERROR(SEARCH("Error",X38)))</formula>
    </cfRule>
  </conditionalFormatting>
  <conditionalFormatting sqref="D38:E38">
    <cfRule type="containsBlanks" dxfId="871" priority="179">
      <formula>LEN(TRIM(D38))=0</formula>
    </cfRule>
  </conditionalFormatting>
  <conditionalFormatting sqref="X39">
    <cfRule type="containsText" dxfId="870" priority="178" operator="containsText" text="Error">
      <formula>NOT(ISERROR(SEARCH("Error",X39)))</formula>
    </cfRule>
  </conditionalFormatting>
  <conditionalFormatting sqref="D39:E39">
    <cfRule type="containsBlanks" dxfId="869" priority="177">
      <formula>LEN(TRIM(D39))=0</formula>
    </cfRule>
  </conditionalFormatting>
  <conditionalFormatting sqref="X41">
    <cfRule type="containsText" dxfId="868" priority="176" operator="containsText" text="Error">
      <formula>NOT(ISERROR(SEARCH("Error",X41)))</formula>
    </cfRule>
  </conditionalFormatting>
  <conditionalFormatting sqref="D41:E41">
    <cfRule type="containsBlanks" dxfId="867" priority="175">
      <formula>LEN(TRIM(D41))=0</formula>
    </cfRule>
  </conditionalFormatting>
  <conditionalFormatting sqref="X42">
    <cfRule type="containsText" dxfId="866" priority="172" operator="containsText" text="Error">
      <formula>NOT(ISERROR(SEARCH("Error",X42)))</formula>
    </cfRule>
  </conditionalFormatting>
  <conditionalFormatting sqref="D42:E42">
    <cfRule type="containsBlanks" dxfId="865" priority="171">
      <formula>LEN(TRIM(D42))=0</formula>
    </cfRule>
  </conditionalFormatting>
  <conditionalFormatting sqref="X43">
    <cfRule type="containsText" dxfId="864" priority="170" operator="containsText" text="Error">
      <formula>NOT(ISERROR(SEARCH("Error",X43)))</formula>
    </cfRule>
  </conditionalFormatting>
  <conditionalFormatting sqref="D43:E43">
    <cfRule type="containsBlanks" dxfId="863" priority="169">
      <formula>LEN(TRIM(D43))=0</formula>
    </cfRule>
  </conditionalFormatting>
  <conditionalFormatting sqref="X44">
    <cfRule type="containsText" dxfId="862" priority="168" operator="containsText" text="Error">
      <formula>NOT(ISERROR(SEARCH("Error",X44)))</formula>
    </cfRule>
  </conditionalFormatting>
  <conditionalFormatting sqref="D44:E44">
    <cfRule type="containsBlanks" dxfId="861" priority="167">
      <formula>LEN(TRIM(D44))=0</formula>
    </cfRule>
  </conditionalFormatting>
  <conditionalFormatting sqref="X45">
    <cfRule type="containsText" dxfId="860" priority="166" operator="containsText" text="Error">
      <formula>NOT(ISERROR(SEARCH("Error",X45)))</formula>
    </cfRule>
  </conditionalFormatting>
  <conditionalFormatting sqref="D45:E45">
    <cfRule type="containsBlanks" dxfId="859" priority="165">
      <formula>LEN(TRIM(D45))=0</formula>
    </cfRule>
  </conditionalFormatting>
  <conditionalFormatting sqref="X46">
    <cfRule type="containsText" dxfId="858" priority="164" operator="containsText" text="Error">
      <formula>NOT(ISERROR(SEARCH("Error",X46)))</formula>
    </cfRule>
  </conditionalFormatting>
  <conditionalFormatting sqref="D46:E46">
    <cfRule type="containsBlanks" dxfId="857" priority="163">
      <formula>LEN(TRIM(D46))=0</formula>
    </cfRule>
  </conditionalFormatting>
  <conditionalFormatting sqref="X47">
    <cfRule type="containsText" dxfId="856" priority="162" operator="containsText" text="Error">
      <formula>NOT(ISERROR(SEARCH("Error",X47)))</formula>
    </cfRule>
  </conditionalFormatting>
  <conditionalFormatting sqref="D47:E47">
    <cfRule type="containsBlanks" dxfId="855" priority="161">
      <formula>LEN(TRIM(D47))=0</formula>
    </cfRule>
  </conditionalFormatting>
  <conditionalFormatting sqref="X48">
    <cfRule type="containsText" dxfId="854" priority="160" operator="containsText" text="Error">
      <formula>NOT(ISERROR(SEARCH("Error",X48)))</formula>
    </cfRule>
  </conditionalFormatting>
  <conditionalFormatting sqref="D48:E48">
    <cfRule type="containsBlanks" dxfId="853" priority="159">
      <formula>LEN(TRIM(D48))=0</formula>
    </cfRule>
  </conditionalFormatting>
  <conditionalFormatting sqref="X49">
    <cfRule type="containsText" dxfId="852" priority="158" operator="containsText" text="Error">
      <formula>NOT(ISERROR(SEARCH("Error",X49)))</formula>
    </cfRule>
  </conditionalFormatting>
  <conditionalFormatting sqref="D49:E49">
    <cfRule type="containsBlanks" dxfId="851" priority="157">
      <formula>LEN(TRIM(D49))=0</formula>
    </cfRule>
  </conditionalFormatting>
  <conditionalFormatting sqref="X50">
    <cfRule type="containsText" dxfId="850" priority="156" operator="containsText" text="Error">
      <formula>NOT(ISERROR(SEARCH("Error",X50)))</formula>
    </cfRule>
  </conditionalFormatting>
  <conditionalFormatting sqref="D50:E50">
    <cfRule type="containsBlanks" dxfId="849" priority="155">
      <formula>LEN(TRIM(D50))=0</formula>
    </cfRule>
  </conditionalFormatting>
  <conditionalFormatting sqref="X15">
    <cfRule type="containsText" dxfId="848" priority="148" operator="containsText" text="Error">
      <formula>NOT(ISERROR(SEARCH("Error",X15)))</formula>
    </cfRule>
  </conditionalFormatting>
  <conditionalFormatting sqref="D15:E15">
    <cfRule type="containsBlanks" dxfId="847" priority="147">
      <formula>LEN(TRIM(D15))=0</formula>
    </cfRule>
  </conditionalFormatting>
  <conditionalFormatting sqref="X16">
    <cfRule type="containsText" dxfId="846" priority="146" operator="containsText" text="Error">
      <formula>NOT(ISERROR(SEARCH("Error",X16)))</formula>
    </cfRule>
  </conditionalFormatting>
  <conditionalFormatting sqref="D16:E16">
    <cfRule type="containsBlanks" dxfId="845" priority="145">
      <formula>LEN(TRIM(D16))=0</formula>
    </cfRule>
  </conditionalFormatting>
  <conditionalFormatting sqref="X19">
    <cfRule type="containsText" dxfId="844" priority="144" operator="containsText" text="Error">
      <formula>NOT(ISERROR(SEARCH("Error",X19)))</formula>
    </cfRule>
  </conditionalFormatting>
  <conditionalFormatting sqref="D19:E19">
    <cfRule type="containsBlanks" dxfId="843" priority="143">
      <formula>LEN(TRIM(D19))=0</formula>
    </cfRule>
  </conditionalFormatting>
  <conditionalFormatting sqref="X27">
    <cfRule type="containsText" dxfId="842" priority="142" operator="containsText" text="Error">
      <formula>NOT(ISERROR(SEARCH("Error",X27)))</formula>
    </cfRule>
  </conditionalFormatting>
  <conditionalFormatting sqref="D27:E27">
    <cfRule type="containsBlanks" dxfId="841" priority="141">
      <formula>LEN(TRIM(D27))=0</formula>
    </cfRule>
  </conditionalFormatting>
  <conditionalFormatting sqref="X53">
    <cfRule type="containsText" dxfId="840" priority="140" operator="containsText" text="Error">
      <formula>NOT(ISERROR(SEARCH("Error",X53)))</formula>
    </cfRule>
  </conditionalFormatting>
  <conditionalFormatting sqref="D53:E53">
    <cfRule type="containsBlanks" dxfId="839" priority="139">
      <formula>LEN(TRIM(D53))=0</formula>
    </cfRule>
  </conditionalFormatting>
  <conditionalFormatting sqref="X54">
    <cfRule type="containsText" dxfId="838" priority="138" operator="containsText" text="Error">
      <formula>NOT(ISERROR(SEARCH("Error",X54)))</formula>
    </cfRule>
  </conditionalFormatting>
  <conditionalFormatting sqref="D54:E54">
    <cfRule type="containsBlanks" dxfId="837" priority="137">
      <formula>LEN(TRIM(D54))=0</formula>
    </cfRule>
  </conditionalFormatting>
  <conditionalFormatting sqref="X55">
    <cfRule type="containsText" dxfId="836" priority="136" operator="containsText" text="Error">
      <formula>NOT(ISERROR(SEARCH("Error",X55)))</formula>
    </cfRule>
  </conditionalFormatting>
  <conditionalFormatting sqref="D55:E55">
    <cfRule type="containsBlanks" dxfId="835" priority="135">
      <formula>LEN(TRIM(D55))=0</formula>
    </cfRule>
  </conditionalFormatting>
  <conditionalFormatting sqref="X56">
    <cfRule type="containsText" dxfId="834" priority="134" operator="containsText" text="Error">
      <formula>NOT(ISERROR(SEARCH("Error",X56)))</formula>
    </cfRule>
  </conditionalFormatting>
  <conditionalFormatting sqref="D56:E56">
    <cfRule type="containsBlanks" dxfId="833" priority="133">
      <formula>LEN(TRIM(D56))=0</formula>
    </cfRule>
  </conditionalFormatting>
  <conditionalFormatting sqref="X57">
    <cfRule type="containsText" dxfId="832" priority="132" operator="containsText" text="Error">
      <formula>NOT(ISERROR(SEARCH("Error",X57)))</formula>
    </cfRule>
  </conditionalFormatting>
  <conditionalFormatting sqref="D57:E57">
    <cfRule type="containsBlanks" dxfId="831" priority="131">
      <formula>LEN(TRIM(D57))=0</formula>
    </cfRule>
  </conditionalFormatting>
  <conditionalFormatting sqref="X58">
    <cfRule type="containsText" dxfId="830" priority="130" operator="containsText" text="Error">
      <formula>NOT(ISERROR(SEARCH("Error",X58)))</formula>
    </cfRule>
  </conditionalFormatting>
  <conditionalFormatting sqref="D58:E58">
    <cfRule type="containsBlanks" dxfId="829" priority="129">
      <formula>LEN(TRIM(D58))=0</formula>
    </cfRule>
  </conditionalFormatting>
  <conditionalFormatting sqref="X59">
    <cfRule type="containsText" dxfId="828" priority="128" operator="containsText" text="Error">
      <formula>NOT(ISERROR(SEARCH("Error",X59)))</formula>
    </cfRule>
  </conditionalFormatting>
  <conditionalFormatting sqref="D59:E59">
    <cfRule type="containsBlanks" dxfId="827" priority="127">
      <formula>LEN(TRIM(D59))=0</formula>
    </cfRule>
  </conditionalFormatting>
  <conditionalFormatting sqref="X60">
    <cfRule type="containsText" dxfId="826" priority="126" operator="containsText" text="Error">
      <formula>NOT(ISERROR(SEARCH("Error",X60)))</formula>
    </cfRule>
  </conditionalFormatting>
  <conditionalFormatting sqref="D60:E60">
    <cfRule type="containsBlanks" dxfId="825" priority="125">
      <formula>LEN(TRIM(D60))=0</formula>
    </cfRule>
  </conditionalFormatting>
  <conditionalFormatting sqref="X61">
    <cfRule type="containsText" dxfId="824" priority="124" operator="containsText" text="Error">
      <formula>NOT(ISERROR(SEARCH("Error",X61)))</formula>
    </cfRule>
  </conditionalFormatting>
  <conditionalFormatting sqref="D61:E61">
    <cfRule type="containsBlanks" dxfId="823" priority="123">
      <formula>LEN(TRIM(D61))=0</formula>
    </cfRule>
  </conditionalFormatting>
  <conditionalFormatting sqref="X62">
    <cfRule type="containsText" dxfId="822" priority="122" operator="containsText" text="Error">
      <formula>NOT(ISERROR(SEARCH("Error",X62)))</formula>
    </cfRule>
  </conditionalFormatting>
  <conditionalFormatting sqref="D62:E62">
    <cfRule type="containsBlanks" dxfId="821" priority="121">
      <formula>LEN(TRIM(D62))=0</formula>
    </cfRule>
  </conditionalFormatting>
  <conditionalFormatting sqref="X63">
    <cfRule type="containsText" dxfId="820" priority="120" operator="containsText" text="Error">
      <formula>NOT(ISERROR(SEARCH("Error",X63)))</formula>
    </cfRule>
  </conditionalFormatting>
  <conditionalFormatting sqref="D63:E63">
    <cfRule type="containsBlanks" dxfId="819" priority="119">
      <formula>LEN(TRIM(D63))=0</formula>
    </cfRule>
  </conditionalFormatting>
  <conditionalFormatting sqref="X64">
    <cfRule type="containsText" dxfId="818" priority="118" operator="containsText" text="Error">
      <formula>NOT(ISERROR(SEARCH("Error",X64)))</formula>
    </cfRule>
  </conditionalFormatting>
  <conditionalFormatting sqref="D64:E64">
    <cfRule type="containsBlanks" dxfId="817" priority="117">
      <formula>LEN(TRIM(D64))=0</formula>
    </cfRule>
  </conditionalFormatting>
  <conditionalFormatting sqref="X65">
    <cfRule type="containsText" dxfId="816" priority="116" operator="containsText" text="Error">
      <formula>NOT(ISERROR(SEARCH("Error",X65)))</formula>
    </cfRule>
  </conditionalFormatting>
  <conditionalFormatting sqref="D65:E65">
    <cfRule type="containsBlanks" dxfId="815" priority="115">
      <formula>LEN(TRIM(D65))=0</formula>
    </cfRule>
  </conditionalFormatting>
  <conditionalFormatting sqref="X66">
    <cfRule type="containsText" dxfId="814" priority="114" operator="containsText" text="Error">
      <formula>NOT(ISERROR(SEARCH("Error",X66)))</formula>
    </cfRule>
  </conditionalFormatting>
  <conditionalFormatting sqref="D66:E66">
    <cfRule type="containsBlanks" dxfId="813" priority="113">
      <formula>LEN(TRIM(D66))=0</formula>
    </cfRule>
  </conditionalFormatting>
  <conditionalFormatting sqref="X67">
    <cfRule type="containsText" dxfId="812" priority="112" operator="containsText" text="Error">
      <formula>NOT(ISERROR(SEARCH("Error",X67)))</formula>
    </cfRule>
  </conditionalFormatting>
  <conditionalFormatting sqref="D67:E67">
    <cfRule type="containsBlanks" dxfId="811" priority="111">
      <formula>LEN(TRIM(D67))=0</formula>
    </cfRule>
  </conditionalFormatting>
  <conditionalFormatting sqref="X68">
    <cfRule type="containsText" dxfId="810" priority="110" operator="containsText" text="Error">
      <formula>NOT(ISERROR(SEARCH("Error",X68)))</formula>
    </cfRule>
  </conditionalFormatting>
  <conditionalFormatting sqref="D68:E68">
    <cfRule type="containsBlanks" dxfId="809" priority="109">
      <formula>LEN(TRIM(D68))=0</formula>
    </cfRule>
  </conditionalFormatting>
  <conditionalFormatting sqref="X69">
    <cfRule type="containsText" dxfId="808" priority="108" operator="containsText" text="Error">
      <formula>NOT(ISERROR(SEARCH("Error",X69)))</formula>
    </cfRule>
  </conditionalFormatting>
  <conditionalFormatting sqref="D69:E69">
    <cfRule type="containsBlanks" dxfId="807" priority="107">
      <formula>LEN(TRIM(D69))=0</formula>
    </cfRule>
  </conditionalFormatting>
  <conditionalFormatting sqref="X70">
    <cfRule type="containsText" dxfId="806" priority="106" operator="containsText" text="Error">
      <formula>NOT(ISERROR(SEARCH("Error",X70)))</formula>
    </cfRule>
  </conditionalFormatting>
  <conditionalFormatting sqref="D70:E70">
    <cfRule type="containsBlanks" dxfId="805" priority="105">
      <formula>LEN(TRIM(D70))=0</formula>
    </cfRule>
  </conditionalFormatting>
  <conditionalFormatting sqref="X71">
    <cfRule type="containsText" dxfId="804" priority="104" operator="containsText" text="Error">
      <formula>NOT(ISERROR(SEARCH("Error",X71)))</formula>
    </cfRule>
  </conditionalFormatting>
  <conditionalFormatting sqref="D71:E71">
    <cfRule type="containsBlanks" dxfId="803" priority="103">
      <formula>LEN(TRIM(D71))=0</formula>
    </cfRule>
  </conditionalFormatting>
  <conditionalFormatting sqref="X72">
    <cfRule type="containsText" dxfId="802" priority="102" operator="containsText" text="Error">
      <formula>NOT(ISERROR(SEARCH("Error",X72)))</formula>
    </cfRule>
  </conditionalFormatting>
  <conditionalFormatting sqref="D72:E72">
    <cfRule type="containsBlanks" dxfId="801" priority="101">
      <formula>LEN(TRIM(D72))=0</formula>
    </cfRule>
  </conditionalFormatting>
  <conditionalFormatting sqref="X73">
    <cfRule type="containsText" dxfId="800" priority="100" operator="containsText" text="Error">
      <formula>NOT(ISERROR(SEARCH("Error",X73)))</formula>
    </cfRule>
  </conditionalFormatting>
  <conditionalFormatting sqref="D73:E73">
    <cfRule type="containsBlanks" dxfId="799" priority="99">
      <formula>LEN(TRIM(D73))=0</formula>
    </cfRule>
  </conditionalFormatting>
  <conditionalFormatting sqref="X74">
    <cfRule type="containsText" dxfId="798" priority="98" operator="containsText" text="Error">
      <formula>NOT(ISERROR(SEARCH("Error",X74)))</formula>
    </cfRule>
  </conditionalFormatting>
  <conditionalFormatting sqref="D74:E74">
    <cfRule type="containsBlanks" dxfId="797" priority="97">
      <formula>LEN(TRIM(D74))=0</formula>
    </cfRule>
  </conditionalFormatting>
  <conditionalFormatting sqref="X75">
    <cfRule type="containsText" dxfId="796" priority="96" operator="containsText" text="Error">
      <formula>NOT(ISERROR(SEARCH("Error",X75)))</formula>
    </cfRule>
  </conditionalFormatting>
  <conditionalFormatting sqref="D75:E75">
    <cfRule type="containsBlanks" dxfId="795" priority="95">
      <formula>LEN(TRIM(D75))=0</formula>
    </cfRule>
  </conditionalFormatting>
  <conditionalFormatting sqref="X76">
    <cfRule type="containsText" dxfId="794" priority="94" operator="containsText" text="Error">
      <formula>NOT(ISERROR(SEARCH("Error",X76)))</formula>
    </cfRule>
  </conditionalFormatting>
  <conditionalFormatting sqref="D76:E76">
    <cfRule type="containsBlanks" dxfId="793" priority="93">
      <formula>LEN(TRIM(D76))=0</formula>
    </cfRule>
  </conditionalFormatting>
  <conditionalFormatting sqref="X77">
    <cfRule type="containsText" dxfId="792" priority="92" operator="containsText" text="Error">
      <formula>NOT(ISERROR(SEARCH("Error",X77)))</formula>
    </cfRule>
  </conditionalFormatting>
  <conditionalFormatting sqref="D77:E77">
    <cfRule type="containsBlanks" dxfId="791" priority="91">
      <formula>LEN(TRIM(D77))=0</formula>
    </cfRule>
  </conditionalFormatting>
  <conditionalFormatting sqref="X78">
    <cfRule type="containsText" dxfId="790" priority="90" operator="containsText" text="Error">
      <formula>NOT(ISERROR(SEARCH("Error",X78)))</formula>
    </cfRule>
  </conditionalFormatting>
  <conditionalFormatting sqref="D78:E78">
    <cfRule type="containsBlanks" dxfId="789" priority="89">
      <formula>LEN(TRIM(D78))=0</formula>
    </cfRule>
  </conditionalFormatting>
  <conditionalFormatting sqref="X79">
    <cfRule type="containsText" dxfId="788" priority="88" operator="containsText" text="Error">
      <formula>NOT(ISERROR(SEARCH("Error",X79)))</formula>
    </cfRule>
  </conditionalFormatting>
  <conditionalFormatting sqref="D79:E79">
    <cfRule type="containsBlanks" dxfId="787" priority="87">
      <formula>LEN(TRIM(D79))=0</formula>
    </cfRule>
  </conditionalFormatting>
  <conditionalFormatting sqref="X80">
    <cfRule type="containsText" dxfId="786" priority="86" operator="containsText" text="Error">
      <formula>NOT(ISERROR(SEARCH("Error",X80)))</formula>
    </cfRule>
  </conditionalFormatting>
  <conditionalFormatting sqref="D80:E80">
    <cfRule type="containsBlanks" dxfId="785" priority="85">
      <formula>LEN(TRIM(D80))=0</formula>
    </cfRule>
  </conditionalFormatting>
  <conditionalFormatting sqref="X83">
    <cfRule type="containsText" dxfId="784" priority="84" operator="containsText" text="Error">
      <formula>NOT(ISERROR(SEARCH("Error",X83)))</formula>
    </cfRule>
  </conditionalFormatting>
  <conditionalFormatting sqref="D83:E83">
    <cfRule type="containsBlanks" dxfId="783" priority="83">
      <formula>LEN(TRIM(D83))=0</formula>
    </cfRule>
  </conditionalFormatting>
  <conditionalFormatting sqref="X84">
    <cfRule type="containsText" dxfId="782" priority="82" operator="containsText" text="Error">
      <formula>NOT(ISERROR(SEARCH("Error",X84)))</formula>
    </cfRule>
  </conditionalFormatting>
  <conditionalFormatting sqref="D84:E84">
    <cfRule type="containsBlanks" dxfId="781" priority="81">
      <formula>LEN(TRIM(D84))=0</formula>
    </cfRule>
  </conditionalFormatting>
  <conditionalFormatting sqref="X85">
    <cfRule type="containsText" dxfId="780" priority="80" operator="containsText" text="Error">
      <formula>NOT(ISERROR(SEARCH("Error",X85)))</formula>
    </cfRule>
  </conditionalFormatting>
  <conditionalFormatting sqref="D85:E85">
    <cfRule type="containsBlanks" dxfId="779" priority="79">
      <formula>LEN(TRIM(D85))=0</formula>
    </cfRule>
  </conditionalFormatting>
  <conditionalFormatting sqref="X86">
    <cfRule type="containsText" dxfId="778" priority="78" operator="containsText" text="Error">
      <formula>NOT(ISERROR(SEARCH("Error",X86)))</formula>
    </cfRule>
  </conditionalFormatting>
  <conditionalFormatting sqref="D86:E86">
    <cfRule type="containsBlanks" dxfId="777" priority="77">
      <formula>LEN(TRIM(D86))=0</formula>
    </cfRule>
  </conditionalFormatting>
  <conditionalFormatting sqref="X87">
    <cfRule type="containsText" dxfId="776" priority="76" operator="containsText" text="Error">
      <formula>NOT(ISERROR(SEARCH("Error",X87)))</formula>
    </cfRule>
  </conditionalFormatting>
  <conditionalFormatting sqref="D87:E87">
    <cfRule type="containsBlanks" dxfId="775" priority="75">
      <formula>LEN(TRIM(D87))=0</formula>
    </cfRule>
  </conditionalFormatting>
  <conditionalFormatting sqref="X88">
    <cfRule type="containsText" dxfId="774" priority="74" operator="containsText" text="Error">
      <formula>NOT(ISERROR(SEARCH("Error",X88)))</formula>
    </cfRule>
  </conditionalFormatting>
  <conditionalFormatting sqref="D88:E88">
    <cfRule type="containsBlanks" dxfId="773" priority="73">
      <formula>LEN(TRIM(D88))=0</formula>
    </cfRule>
  </conditionalFormatting>
  <conditionalFormatting sqref="X89">
    <cfRule type="containsText" dxfId="772" priority="72" operator="containsText" text="Error">
      <formula>NOT(ISERROR(SEARCH("Error",X89)))</formula>
    </cfRule>
  </conditionalFormatting>
  <conditionalFormatting sqref="D89:E89">
    <cfRule type="containsBlanks" dxfId="771" priority="71">
      <formula>LEN(TRIM(D89))=0</formula>
    </cfRule>
  </conditionalFormatting>
  <conditionalFormatting sqref="X90">
    <cfRule type="containsText" dxfId="770" priority="70" operator="containsText" text="Error">
      <formula>NOT(ISERROR(SEARCH("Error",X90)))</formula>
    </cfRule>
  </conditionalFormatting>
  <conditionalFormatting sqref="D90:E90">
    <cfRule type="containsBlanks" dxfId="769" priority="69">
      <formula>LEN(TRIM(D90))=0</formula>
    </cfRule>
  </conditionalFormatting>
  <conditionalFormatting sqref="X91">
    <cfRule type="containsText" dxfId="768" priority="68" operator="containsText" text="Error">
      <formula>NOT(ISERROR(SEARCH("Error",X91)))</formula>
    </cfRule>
  </conditionalFormatting>
  <conditionalFormatting sqref="D91:E91">
    <cfRule type="containsBlanks" dxfId="767" priority="67">
      <formula>LEN(TRIM(D91))=0</formula>
    </cfRule>
  </conditionalFormatting>
  <conditionalFormatting sqref="X93">
    <cfRule type="containsText" dxfId="766" priority="66" operator="containsText" text="Error">
      <formula>NOT(ISERROR(SEARCH("Error",X93)))</formula>
    </cfRule>
  </conditionalFormatting>
  <conditionalFormatting sqref="D93:E93">
    <cfRule type="containsBlanks" dxfId="765" priority="65">
      <formula>LEN(TRIM(D93))=0</formula>
    </cfRule>
  </conditionalFormatting>
  <conditionalFormatting sqref="X94">
    <cfRule type="containsText" dxfId="764" priority="64" operator="containsText" text="Error">
      <formula>NOT(ISERROR(SEARCH("Error",X94)))</formula>
    </cfRule>
  </conditionalFormatting>
  <conditionalFormatting sqref="D94:E94">
    <cfRule type="containsBlanks" dxfId="763" priority="63">
      <formula>LEN(TRIM(D94))=0</formula>
    </cfRule>
  </conditionalFormatting>
  <conditionalFormatting sqref="X95">
    <cfRule type="containsText" dxfId="762" priority="62" operator="containsText" text="Error">
      <formula>NOT(ISERROR(SEARCH("Error",X95)))</formula>
    </cfRule>
  </conditionalFormatting>
  <conditionalFormatting sqref="D95:E95">
    <cfRule type="containsBlanks" dxfId="761" priority="61">
      <formula>LEN(TRIM(D95))=0</formula>
    </cfRule>
  </conditionalFormatting>
  <conditionalFormatting sqref="X96">
    <cfRule type="containsText" dxfId="760" priority="60" operator="containsText" text="Error">
      <formula>NOT(ISERROR(SEARCH("Error",X96)))</formula>
    </cfRule>
  </conditionalFormatting>
  <conditionalFormatting sqref="D96:E96">
    <cfRule type="containsBlanks" dxfId="759" priority="59">
      <formula>LEN(TRIM(D96))=0</formula>
    </cfRule>
  </conditionalFormatting>
  <conditionalFormatting sqref="X97">
    <cfRule type="containsText" dxfId="758" priority="58" operator="containsText" text="Error">
      <formula>NOT(ISERROR(SEARCH("Error",X97)))</formula>
    </cfRule>
  </conditionalFormatting>
  <conditionalFormatting sqref="D97:E97">
    <cfRule type="containsBlanks" dxfId="757" priority="57">
      <formula>LEN(TRIM(D97))=0</formula>
    </cfRule>
  </conditionalFormatting>
  <conditionalFormatting sqref="X98">
    <cfRule type="containsText" dxfId="756" priority="56" operator="containsText" text="Error">
      <formula>NOT(ISERROR(SEARCH("Error",X98)))</formula>
    </cfRule>
  </conditionalFormatting>
  <conditionalFormatting sqref="D98:E98">
    <cfRule type="containsBlanks" dxfId="755" priority="55">
      <formula>LEN(TRIM(D98))=0</formula>
    </cfRule>
  </conditionalFormatting>
  <conditionalFormatting sqref="X99">
    <cfRule type="containsText" dxfId="754" priority="54" operator="containsText" text="Error">
      <formula>NOT(ISERROR(SEARCH("Error",X99)))</formula>
    </cfRule>
  </conditionalFormatting>
  <conditionalFormatting sqref="D99:E99">
    <cfRule type="containsBlanks" dxfId="753" priority="53">
      <formula>LEN(TRIM(D99))=0</formula>
    </cfRule>
  </conditionalFormatting>
  <conditionalFormatting sqref="X100">
    <cfRule type="containsText" dxfId="752" priority="52" operator="containsText" text="Error">
      <formula>NOT(ISERROR(SEARCH("Error",X100)))</formula>
    </cfRule>
  </conditionalFormatting>
  <conditionalFormatting sqref="D100:E100">
    <cfRule type="containsBlanks" dxfId="751" priority="51">
      <formula>LEN(TRIM(D100))=0</formula>
    </cfRule>
  </conditionalFormatting>
  <conditionalFormatting sqref="X101">
    <cfRule type="containsText" dxfId="750" priority="50" operator="containsText" text="Error">
      <formula>NOT(ISERROR(SEARCH("Error",X101)))</formula>
    </cfRule>
  </conditionalFormatting>
  <conditionalFormatting sqref="D101:E101">
    <cfRule type="containsBlanks" dxfId="749" priority="49">
      <formula>LEN(TRIM(D101))=0</formula>
    </cfRule>
  </conditionalFormatting>
  <conditionalFormatting sqref="X102">
    <cfRule type="containsText" dxfId="748" priority="48" operator="containsText" text="Error">
      <formula>NOT(ISERROR(SEARCH("Error",X102)))</formula>
    </cfRule>
  </conditionalFormatting>
  <conditionalFormatting sqref="D102:E102">
    <cfRule type="containsBlanks" dxfId="747" priority="47">
      <formula>LEN(TRIM(D102))=0</formula>
    </cfRule>
  </conditionalFormatting>
  <conditionalFormatting sqref="X103">
    <cfRule type="containsText" dxfId="746" priority="46" operator="containsText" text="Error">
      <formula>NOT(ISERROR(SEARCH("Error",X103)))</formula>
    </cfRule>
  </conditionalFormatting>
  <conditionalFormatting sqref="D103:E103">
    <cfRule type="containsBlanks" dxfId="745" priority="45">
      <formula>LEN(TRIM(D103))=0</formula>
    </cfRule>
  </conditionalFormatting>
  <conditionalFormatting sqref="X104">
    <cfRule type="containsText" dxfId="744" priority="44" operator="containsText" text="Error">
      <formula>NOT(ISERROR(SEARCH("Error",X104)))</formula>
    </cfRule>
  </conditionalFormatting>
  <conditionalFormatting sqref="D104:E104">
    <cfRule type="containsBlanks" dxfId="743" priority="43">
      <formula>LEN(TRIM(D104))=0</formula>
    </cfRule>
  </conditionalFormatting>
  <conditionalFormatting sqref="X105">
    <cfRule type="containsText" dxfId="742" priority="42" operator="containsText" text="Error">
      <formula>NOT(ISERROR(SEARCH("Error",X105)))</formula>
    </cfRule>
  </conditionalFormatting>
  <conditionalFormatting sqref="D105:E105">
    <cfRule type="containsBlanks" dxfId="741" priority="41">
      <formula>LEN(TRIM(D105))=0</formula>
    </cfRule>
  </conditionalFormatting>
  <conditionalFormatting sqref="X106">
    <cfRule type="containsText" dxfId="740" priority="40" operator="containsText" text="Error">
      <formula>NOT(ISERROR(SEARCH("Error",X106)))</formula>
    </cfRule>
  </conditionalFormatting>
  <conditionalFormatting sqref="D106:E106">
    <cfRule type="containsBlanks" dxfId="739" priority="39">
      <formula>LEN(TRIM(D106))=0</formula>
    </cfRule>
  </conditionalFormatting>
  <conditionalFormatting sqref="X107">
    <cfRule type="containsText" dxfId="738" priority="38" operator="containsText" text="Error">
      <formula>NOT(ISERROR(SEARCH("Error",X107)))</formula>
    </cfRule>
  </conditionalFormatting>
  <conditionalFormatting sqref="D107:E107">
    <cfRule type="containsBlanks" dxfId="737" priority="37">
      <formula>LEN(TRIM(D107))=0</formula>
    </cfRule>
  </conditionalFormatting>
  <conditionalFormatting sqref="X23">
    <cfRule type="containsText" dxfId="736" priority="26" operator="containsText" text="Error">
      <formula>NOT(ISERROR(SEARCH("Error",X23)))</formula>
    </cfRule>
  </conditionalFormatting>
  <conditionalFormatting sqref="D23:E23">
    <cfRule type="containsBlanks" dxfId="735" priority="25">
      <formula>LEN(TRIM(D23))=0</formula>
    </cfRule>
  </conditionalFormatting>
  <conditionalFormatting sqref="X34">
    <cfRule type="containsText" dxfId="734" priority="22" operator="containsText" text="Error">
      <formula>NOT(ISERROR(SEARCH("Error",X34)))</formula>
    </cfRule>
  </conditionalFormatting>
  <conditionalFormatting sqref="D34:E34">
    <cfRule type="containsBlanks" dxfId="733" priority="21">
      <formula>LEN(TRIM(D34))=0</formula>
    </cfRule>
  </conditionalFormatting>
  <conditionalFormatting sqref="X40">
    <cfRule type="containsText" dxfId="732" priority="18" operator="containsText" text="Error">
      <formula>NOT(ISERROR(SEARCH("Error",X40)))</formula>
    </cfRule>
  </conditionalFormatting>
  <conditionalFormatting sqref="D40:E40">
    <cfRule type="containsBlanks" dxfId="731" priority="17">
      <formula>LEN(TRIM(D40))=0</formula>
    </cfRule>
  </conditionalFormatting>
  <conditionalFormatting sqref="X32">
    <cfRule type="containsText" dxfId="730" priority="16" operator="containsText" text="Error">
      <formula>NOT(ISERROR(SEARCH("Error",X32)))</formula>
    </cfRule>
  </conditionalFormatting>
  <conditionalFormatting sqref="D32:E32">
    <cfRule type="containsBlanks" dxfId="729" priority="15">
      <formula>LEN(TRIM(D32))=0</formula>
    </cfRule>
  </conditionalFormatting>
  <conditionalFormatting sqref="X51">
    <cfRule type="containsText" dxfId="728" priority="14" operator="containsText" text="Error">
      <formula>NOT(ISERROR(SEARCH("Error",X51)))</formula>
    </cfRule>
  </conditionalFormatting>
  <conditionalFormatting sqref="D51:E51">
    <cfRule type="containsBlanks" dxfId="727" priority="13">
      <formula>LEN(TRIM(D51))=0</formula>
    </cfRule>
  </conditionalFormatting>
  <conditionalFormatting sqref="X52">
    <cfRule type="containsText" dxfId="726" priority="12" operator="containsText" text="Error">
      <formula>NOT(ISERROR(SEARCH("Error",X52)))</formula>
    </cfRule>
  </conditionalFormatting>
  <conditionalFormatting sqref="D52:E52">
    <cfRule type="containsBlanks" dxfId="725" priority="11">
      <formula>LEN(TRIM(D52))=0</formula>
    </cfRule>
  </conditionalFormatting>
  <conditionalFormatting sqref="X108">
    <cfRule type="containsText" dxfId="724" priority="10" operator="containsText" text="Error">
      <formula>NOT(ISERROR(SEARCH("Error",X108)))</formula>
    </cfRule>
  </conditionalFormatting>
  <conditionalFormatting sqref="D108:E108">
    <cfRule type="containsBlanks" dxfId="723" priority="9">
      <formula>LEN(TRIM(D108))=0</formula>
    </cfRule>
  </conditionalFormatting>
  <conditionalFormatting sqref="X109">
    <cfRule type="containsText" dxfId="722" priority="8" operator="containsText" text="Error">
      <formula>NOT(ISERROR(SEARCH("Error",X109)))</formula>
    </cfRule>
  </conditionalFormatting>
  <conditionalFormatting sqref="D109:E109">
    <cfRule type="containsBlanks" dxfId="721" priority="7">
      <formula>LEN(TRIM(D109))=0</formula>
    </cfRule>
  </conditionalFormatting>
  <conditionalFormatting sqref="X92">
    <cfRule type="containsText" dxfId="720" priority="6" operator="containsText" text="Error">
      <formula>NOT(ISERROR(SEARCH("Error",X92)))</formula>
    </cfRule>
  </conditionalFormatting>
  <conditionalFormatting sqref="D92:E92">
    <cfRule type="containsBlanks" dxfId="719" priority="5">
      <formula>LEN(TRIM(D92))=0</formula>
    </cfRule>
  </conditionalFormatting>
  <conditionalFormatting sqref="X81">
    <cfRule type="containsText" dxfId="718" priority="4" operator="containsText" text="Error">
      <formula>NOT(ISERROR(SEARCH("Error",X81)))</formula>
    </cfRule>
  </conditionalFormatting>
  <conditionalFormatting sqref="D81:E81">
    <cfRule type="containsBlanks" dxfId="717" priority="3">
      <formula>LEN(TRIM(D81))=0</formula>
    </cfRule>
  </conditionalFormatting>
  <conditionalFormatting sqref="X82">
    <cfRule type="containsText" dxfId="716" priority="2" operator="containsText" text="Error">
      <formula>NOT(ISERROR(SEARCH("Error",X82)))</formula>
    </cfRule>
  </conditionalFormatting>
  <conditionalFormatting sqref="D82:E82">
    <cfRule type="containsBlanks" dxfId="715" priority="1">
      <formula>LEN(TRIM(D82))=0</formula>
    </cfRule>
  </conditionalFormatting>
  <dataValidations xWindow="181" yWindow="253" count="3">
    <dataValidation allowBlank="1" showInputMessage="1" errorTitle="Warning: Max Ceilings exceeded" error="Please be aware that this exceed the &quot;Ceilings&quot; for the maximum amounts for staff cost by country" sqref="L13:L109 T13:T109 P13:P109 H13:H109"/>
    <dataValidation type="custom" allowBlank="1" showInputMessage="1" showErrorMessage="1" error="Format error (1 decimal only)" prompt="1 decimal only" sqref="K13:K109 G13:G109 O13:O109 S13:S109">
      <formula1>G13=INT(G13*10)/10</formula1>
    </dataValidation>
    <dataValidation type="custom" allowBlank="1" showInputMessage="1" showErrorMessage="1" error="Format error (1 decimal only)" prompt="Please encode number of days - 1 decimal only" sqref="N13:N109 R13:R109 J13:J109 F13:F109">
      <formula1>F13=INT(F13*10)/10</formula1>
    </dataValidation>
  </dataValidations>
  <printOptions horizontalCentered="1"/>
  <pageMargins left="0.23622047244094491" right="0.23622047244094491" top="0.39370078740157483" bottom="0.74803149606299213" header="0.31496062992125984" footer="0.31496062992125984"/>
  <pageSetup paperSize="9" scale="26" fitToWidth="0" fitToHeight="0" orientation="landscape" r:id="rId1"/>
  <headerFooter>
    <oddFooter xml:space="preserve">&amp;CPage &amp;P of 3
</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3076" r:id="rId4" name="Button 1">
              <controlPr defaultSize="0" print="0" autoFill="0" autoPict="0" macro="[0]!AddRow">
                <anchor moveWithCells="1" sizeWithCells="1">
                  <from>
                    <xdr:col>1</xdr:col>
                    <xdr:colOff>85725</xdr:colOff>
                    <xdr:row>1</xdr:row>
                    <xdr:rowOff>76200</xdr:rowOff>
                  </from>
                  <to>
                    <xdr:col>1</xdr:col>
                    <xdr:colOff>1066800</xdr:colOff>
                    <xdr:row>1</xdr:row>
                    <xdr:rowOff>438150</xdr:rowOff>
                  </to>
                </anchor>
              </controlPr>
            </control>
          </mc:Choice>
        </mc:AlternateContent>
        <mc:AlternateContent xmlns:mc="http://schemas.openxmlformats.org/markup-compatibility/2006">
          <mc:Choice Requires="x14">
            <control shapeId="3223" r:id="rId5" name="Button 2">
              <controlPr defaultSize="0" print="0" autoFill="0" autoPict="0" macro="[0]!DeleteRow">
                <anchor moveWithCells="1" sizeWithCells="1">
                  <from>
                    <xdr:col>1</xdr:col>
                    <xdr:colOff>1123950</xdr:colOff>
                    <xdr:row>1</xdr:row>
                    <xdr:rowOff>76200</xdr:rowOff>
                  </from>
                  <to>
                    <xdr:col>2</xdr:col>
                    <xdr:colOff>57150</xdr:colOff>
                    <xdr:row>1</xdr:row>
                    <xdr:rowOff>438150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xWindow="181" yWindow="253" count="2">
        <x14:dataValidation type="list" allowBlank="1" showInputMessage="1" showErrorMessage="1" error="Click arrow to select Work Package" prompt="Click arrow to select Work Package">
          <x14:formula1>
            <xm:f>Rates!$J$13:$J$17</xm:f>
          </x14:formula1>
          <xm:sqref>B13:B109</xm:sqref>
        </x14:dataValidation>
        <x14:dataValidation type="list" allowBlank="1" showInputMessage="1" showErrorMessage="1" error="Click arrow to select Partner N°" prompt="Click arrow to select Partner N°">
          <x14:formula1>
            <xm:f>Overview!$B$30:$B$84</xm:f>
          </x14:formula1>
          <xm:sqref>C13:C109</xm:sqref>
        </x14:dataValidation>
      </x14:dataValidation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tabColor theme="3" tint="0.39997558519241921"/>
  </sheetPr>
  <dimension ref="B1:O231"/>
  <sheetViews>
    <sheetView showGridLines="0" zoomScale="60" zoomScaleNormal="60" zoomScaleSheetLayoutView="55" workbookViewId="0">
      <pane ySplit="13" topLeftCell="A26" activePane="bottomLeft" state="frozen"/>
      <selection pane="bottomLeft" activeCell="F29" sqref="F29"/>
    </sheetView>
  </sheetViews>
  <sheetFormatPr defaultColWidth="9.140625" defaultRowHeight="18" x14ac:dyDescent="0.25"/>
  <cols>
    <col min="1" max="1" width="1.7109375" style="36" customWidth="1"/>
    <col min="2" max="2" width="30.7109375" style="36" customWidth="1"/>
    <col min="3" max="3" width="10.7109375" style="36" customWidth="1"/>
    <col min="4" max="5" width="50.7109375" style="36" customWidth="1"/>
    <col min="6" max="6" width="30.7109375" style="36" customWidth="1"/>
    <col min="7" max="7" width="15.7109375" style="36" customWidth="1"/>
    <col min="8" max="8" width="13.42578125" style="36" customWidth="1"/>
    <col min="9" max="9" width="30.7109375" style="36" customWidth="1"/>
    <col min="10" max="10" width="22.7109375" style="36" customWidth="1"/>
    <col min="11" max="11" width="12.7109375" style="36" customWidth="1"/>
    <col min="12" max="14" width="20.7109375" style="36" customWidth="1"/>
    <col min="15" max="15" width="11.7109375" style="36" bestFit="1" customWidth="1"/>
    <col min="16" max="16" width="1.7109375" style="36" customWidth="1"/>
    <col min="17" max="16384" width="9.140625" style="36"/>
  </cols>
  <sheetData>
    <row r="1" spans="2:15" ht="8.1" customHeight="1" x14ac:dyDescent="0.25"/>
    <row r="2" spans="2:15" s="67" customFormat="1" ht="39.950000000000003" customHeight="1" x14ac:dyDescent="0.25">
      <c r="B2" s="193" t="s">
        <v>481</v>
      </c>
      <c r="C2" s="193"/>
      <c r="D2" s="193"/>
      <c r="E2" s="193"/>
      <c r="F2" s="193"/>
      <c r="G2" s="193"/>
      <c r="H2" s="193"/>
      <c r="I2" s="193"/>
      <c r="J2" s="193"/>
      <c r="K2" s="193"/>
      <c r="L2" s="193"/>
      <c r="M2" s="193"/>
      <c r="N2" s="193"/>
      <c r="O2" s="193"/>
    </row>
    <row r="3" spans="2:15" s="67" customFormat="1" ht="8.1" customHeight="1" x14ac:dyDescent="0.25">
      <c r="B3" s="105"/>
      <c r="C3" s="156"/>
      <c r="D3" s="156"/>
      <c r="E3" s="156"/>
      <c r="F3" s="156"/>
      <c r="G3" s="156"/>
      <c r="H3" s="156"/>
      <c r="I3" s="156"/>
      <c r="J3" s="156"/>
      <c r="K3" s="156"/>
      <c r="L3" s="156"/>
      <c r="M3" s="156"/>
      <c r="N3" s="156"/>
      <c r="O3" s="88"/>
    </row>
    <row r="4" spans="2:15" s="67" customFormat="1" ht="9.9499999999999993" customHeight="1" x14ac:dyDescent="0.25">
      <c r="B4" s="197" t="s">
        <v>345</v>
      </c>
      <c r="C4" s="198">
        <f>SUM(L:L)</f>
        <v>282025</v>
      </c>
      <c r="D4" s="198"/>
      <c r="E4" s="156"/>
      <c r="F4" s="156"/>
      <c r="G4" s="156"/>
      <c r="H4" s="156"/>
      <c r="I4" s="156"/>
      <c r="J4" s="156"/>
      <c r="K4" s="156"/>
      <c r="L4" s="156"/>
      <c r="M4" s="156"/>
      <c r="N4" s="156"/>
      <c r="O4" s="88"/>
    </row>
    <row r="5" spans="2:15" s="67" customFormat="1" ht="9.9499999999999993" customHeight="1" x14ac:dyDescent="0.25">
      <c r="B5" s="197"/>
      <c r="C5" s="198"/>
      <c r="D5" s="198"/>
      <c r="E5" s="156"/>
      <c r="F5" s="156"/>
      <c r="G5" s="156"/>
      <c r="H5" s="156"/>
      <c r="I5" s="156"/>
      <c r="J5" s="156"/>
      <c r="K5" s="156"/>
      <c r="L5" s="156"/>
      <c r="M5" s="156"/>
      <c r="N5" s="156"/>
      <c r="O5" s="88"/>
    </row>
    <row r="6" spans="2:15" s="67" customFormat="1" ht="9.9499999999999993" customHeight="1" x14ac:dyDescent="0.25">
      <c r="B6" s="197" t="s">
        <v>344</v>
      </c>
      <c r="C6" s="198">
        <f>SUM(M:M)</f>
        <v>181560</v>
      </c>
      <c r="D6" s="198"/>
      <c r="E6" s="156"/>
      <c r="F6" s="156"/>
      <c r="G6" s="156"/>
      <c r="H6" s="156"/>
      <c r="I6" s="156"/>
      <c r="J6" s="156"/>
      <c r="K6" s="156"/>
      <c r="L6" s="156"/>
      <c r="M6" s="156"/>
      <c r="N6" s="156"/>
      <c r="O6" s="88"/>
    </row>
    <row r="7" spans="2:15" s="67" customFormat="1" ht="9.9499999999999993" customHeight="1" x14ac:dyDescent="0.25">
      <c r="B7" s="197"/>
      <c r="C7" s="198"/>
      <c r="D7" s="198"/>
      <c r="E7" s="156"/>
      <c r="F7" s="156"/>
      <c r="G7" s="156"/>
      <c r="H7" s="156"/>
      <c r="I7" s="156"/>
      <c r="J7" s="156"/>
      <c r="K7" s="156"/>
      <c r="L7" s="156"/>
      <c r="M7" s="156"/>
      <c r="N7" s="156"/>
      <c r="O7" s="88"/>
    </row>
    <row r="8" spans="2:15" s="67" customFormat="1" ht="9.9499999999999993" customHeight="1" x14ac:dyDescent="0.25">
      <c r="B8" s="197" t="s">
        <v>482</v>
      </c>
      <c r="C8" s="198">
        <f>C4+C6</f>
        <v>463585</v>
      </c>
      <c r="D8" s="198"/>
      <c r="E8" s="156"/>
      <c r="F8" s="156"/>
      <c r="G8" s="156"/>
      <c r="H8" s="156"/>
      <c r="I8" s="156"/>
      <c r="J8" s="156"/>
      <c r="K8" s="156"/>
      <c r="L8" s="156"/>
      <c r="M8" s="156"/>
      <c r="N8" s="156"/>
      <c r="O8" s="88"/>
    </row>
    <row r="9" spans="2:15" s="67" customFormat="1" ht="9.9499999999999993" customHeight="1" x14ac:dyDescent="0.25">
      <c r="B9" s="197"/>
      <c r="C9" s="198"/>
      <c r="D9" s="198"/>
      <c r="E9" s="156"/>
      <c r="F9" s="156"/>
      <c r="G9" s="156"/>
      <c r="H9" s="156"/>
      <c r="I9" s="156"/>
      <c r="J9" s="156"/>
      <c r="K9" s="156"/>
      <c r="L9" s="156"/>
      <c r="M9" s="156"/>
      <c r="N9" s="156"/>
      <c r="O9" s="88"/>
    </row>
    <row r="10" spans="2:15" s="67" customFormat="1" ht="8.1" customHeight="1" x14ac:dyDescent="0.25">
      <c r="B10" s="68"/>
      <c r="C10" s="70"/>
      <c r="D10" s="70"/>
      <c r="E10" s="70"/>
      <c r="F10" s="70"/>
      <c r="G10" s="70"/>
      <c r="H10" s="70"/>
      <c r="I10" s="70"/>
      <c r="J10" s="70"/>
      <c r="K10" s="70"/>
      <c r="L10" s="70"/>
      <c r="M10" s="70"/>
      <c r="N10" s="70"/>
      <c r="O10" s="92"/>
    </row>
    <row r="11" spans="2:15" s="157" customFormat="1" ht="42" customHeight="1" x14ac:dyDescent="0.25">
      <c r="B11" s="183" t="s">
        <v>353</v>
      </c>
      <c r="C11" s="183" t="s">
        <v>335</v>
      </c>
      <c r="D11" s="183" t="s">
        <v>533</v>
      </c>
      <c r="E11" s="183" t="s">
        <v>534</v>
      </c>
      <c r="F11" s="186" t="s">
        <v>540</v>
      </c>
      <c r="G11" s="183" t="s">
        <v>527</v>
      </c>
      <c r="H11" s="183" t="s">
        <v>525</v>
      </c>
      <c r="I11" s="194" t="s">
        <v>541</v>
      </c>
      <c r="J11" s="186" t="s">
        <v>524</v>
      </c>
      <c r="K11" s="183" t="s">
        <v>521</v>
      </c>
      <c r="L11" s="196" t="s">
        <v>363</v>
      </c>
      <c r="M11" s="183" t="s">
        <v>370</v>
      </c>
      <c r="N11" s="183" t="s">
        <v>354</v>
      </c>
      <c r="O11" s="192" t="s">
        <v>535</v>
      </c>
    </row>
    <row r="12" spans="2:15" ht="23.85" customHeight="1" x14ac:dyDescent="0.25">
      <c r="B12" s="184"/>
      <c r="C12" s="184"/>
      <c r="D12" s="184"/>
      <c r="E12" s="184"/>
      <c r="F12" s="184"/>
      <c r="G12" s="184"/>
      <c r="H12" s="184"/>
      <c r="I12" s="195"/>
      <c r="J12" s="184"/>
      <c r="K12" s="184"/>
      <c r="L12" s="195"/>
      <c r="M12" s="184"/>
      <c r="N12" s="184"/>
      <c r="O12" s="184"/>
    </row>
    <row r="13" spans="2:15" s="103" customFormat="1" hidden="1" x14ac:dyDescent="0.25">
      <c r="B13" s="60"/>
      <c r="C13" s="94"/>
      <c r="D13" s="104" t="str">
        <f>IFERROR(IF(VLOOKUP(C13,Overview!$B$30:$E$84,2,FALSE)=0,"",VLOOKUP(C13,Overview!$B$30:$E$84,2,FALSE)),"")</f>
        <v/>
      </c>
      <c r="E13" s="104" t="str">
        <f>IFERROR(IF(OR(VLOOKUP(C13,Overview!$B$30:$E$84,4,FALSE)="Country not found",VLOOKUP(C13,Overview!$B$30:$E$84,3,FALSE)=0),"",VLOOKUP(C13,Overview!$B$30:$E$84,3,FALSE)),"")</f>
        <v/>
      </c>
      <c r="F13" s="108"/>
      <c r="G13" s="109"/>
      <c r="H13" s="110"/>
      <c r="I13" s="108"/>
      <c r="J13" s="108"/>
      <c r="K13" s="110"/>
      <c r="L13" s="111">
        <f>IF(O13="Error",0,ROUND(ROUND(H13,0)*(VLOOKUP(J13,Rates!$J$5:$K$10,2,FALSE)),2))</f>
        <v>0</v>
      </c>
      <c r="M13" s="112">
        <f t="shared" ref="M13:M81" si="0">IF(O13="Error",0,ROUND(ROUND(H13,0)*INDEX(CostRates,MATCH(ROUND(K13,0),CostDays,0),MATCH(G13,CostCat,0)),2))</f>
        <v>0</v>
      </c>
      <c r="N13" s="113">
        <f t="shared" ref="N13" si="1">L13+M13</f>
        <v>0</v>
      </c>
      <c r="O13" s="102" t="str">
        <f>IF(OR(COUNTIF(Rates!$J$13:$J$17,B13)=0,COUNTIF(Overview!$B$30:$B$84,C13)=0,D13="",E13="",F13="",COUNTIF(Rates!$Y$4:$Z$4,G13)=0,ISNUMBER(H13)=FALSE,I13="",COUNTIF(Rates!$J$5:$J$10,J13)=0,ISNUMBER(K13)=FALSE,IF(OR(IF(AND(G13="Staff",K13&gt;365),1,0)=1,IF(AND(G13="Student",K13&gt;60),1,0)=1),1,0)=1,IF(ISNUMBER(H13)=TRUE,H13=INT(H13*1)/1=FALSE),IF(ISNUMBER(K13)=TRUE,K13=INT(K13*1)/1=FALSE)),"Error","")</f>
        <v>Error</v>
      </c>
    </row>
    <row r="14" spans="2:15" s="103" customFormat="1" x14ac:dyDescent="0.25">
      <c r="B14" s="60" t="s">
        <v>367</v>
      </c>
      <c r="C14" s="94" t="s">
        <v>16</v>
      </c>
      <c r="D14" s="104" t="str">
        <f>IFERROR(IF(VLOOKUP(C14,Overview!$B$30:$E$84,2,FALSE)=0,"",VLOOKUP(C14,Overview!$B$30:$E$84,2,FALSE)),"")</f>
        <v>Bath Spa University</v>
      </c>
      <c r="E14" s="104" t="str">
        <f>IFERROR(IF(OR(VLOOKUP(C14,Overview!$B$30:$E$84,4,FALSE)="Country not found",VLOOKUP(C14,Overview!$B$30:$E$84,3,FALSE)=0),"",VLOOKUP(C14,Overview!$B$30:$E$84,3,FALSE)),"")</f>
        <v>United Kingdom</v>
      </c>
      <c r="F14" s="108" t="s">
        <v>597</v>
      </c>
      <c r="G14" s="109" t="s">
        <v>520</v>
      </c>
      <c r="H14" s="110">
        <v>2</v>
      </c>
      <c r="I14" s="108" t="s">
        <v>576</v>
      </c>
      <c r="J14" s="108" t="s">
        <v>338</v>
      </c>
      <c r="K14" s="110">
        <v>7</v>
      </c>
      <c r="L14" s="111">
        <f>IF(O14="Error",0,ROUND(ROUND(H14,0)*(VLOOKUP(J14,Rates!$J$5:$K$10,2,FALSE)),2))</f>
        <v>550</v>
      </c>
      <c r="M14" s="112">
        <f t="shared" si="0"/>
        <v>1680</v>
      </c>
      <c r="N14" s="113">
        <f t="shared" ref="N14:N82" si="2">L14+M14</f>
        <v>2230</v>
      </c>
      <c r="O14" s="102" t="str">
        <f>IF(OR(COUNTIF(Rates!$J$13:$J$17,B14)=0,COUNTIF(Overview!$B$30:$B$84,C14)=0,D14="",E14="",F14="",COUNTIF(Rates!$Y$4:$Z$4,G14)=0,ISNUMBER(H14)=FALSE,I14="",COUNTIF(Rates!$J$5:$J$10,J14)=0,ISNUMBER(K14)=FALSE,IF(OR(IF(AND(G14="Staff",K14&gt;365),1,0)=1,IF(AND(G14="Student",K14&gt;60),1,0)=1),1,0)=1,IF(ISNUMBER(H14)=TRUE,H14=INT(H14*1)/1=FALSE),IF(ISNUMBER(K14)=TRUE,K14=INT(K14*1)/1=FALSE)),"Error","")</f>
        <v/>
      </c>
    </row>
    <row r="15" spans="2:15" s="103" customFormat="1" x14ac:dyDescent="0.25">
      <c r="B15" s="60" t="s">
        <v>367</v>
      </c>
      <c r="C15" s="94" t="s">
        <v>17</v>
      </c>
      <c r="D15" s="104" t="str">
        <f>IFERROR(IF(VLOOKUP(C15,Overview!$B$30:$E$84,2,FALSE)=0,"",VLOOKUP(C15,Overview!$B$30:$E$84,2,FALSE)),"")</f>
        <v>Wroclaw Technical University</v>
      </c>
      <c r="E15" s="104" t="str">
        <f>IFERROR(IF(OR(VLOOKUP(C15,Overview!$B$30:$E$84,4,FALSE)="Country not found",VLOOKUP(C15,Overview!$B$30:$E$84,3,FALSE)=0),"",VLOOKUP(C15,Overview!$B$30:$E$84,3,FALSE)),"")</f>
        <v>Poland</v>
      </c>
      <c r="F15" s="108" t="s">
        <v>577</v>
      </c>
      <c r="G15" s="109" t="s">
        <v>520</v>
      </c>
      <c r="H15" s="110">
        <v>2</v>
      </c>
      <c r="I15" s="108" t="s">
        <v>576</v>
      </c>
      <c r="J15" s="108" t="s">
        <v>338</v>
      </c>
      <c r="K15" s="110">
        <v>7</v>
      </c>
      <c r="L15" s="111">
        <f>IF(O15="Error",0,ROUND(ROUND(H15,0)*(VLOOKUP(J15,Rates!$J$5:$K$10,2,FALSE)),2))</f>
        <v>550</v>
      </c>
      <c r="M15" s="112">
        <f t="shared" si="0"/>
        <v>1680</v>
      </c>
      <c r="N15" s="113">
        <f t="shared" si="2"/>
        <v>2230</v>
      </c>
      <c r="O15" s="102" t="str">
        <f>IF(OR(COUNTIF(Rates!$J$13:$J$17,B15)=0,COUNTIF(Overview!$B$30:$B$84,C15)=0,D15="",E15="",F15="",COUNTIF(Rates!$Y$4:$Z$4,G15)=0,ISNUMBER(H15)=FALSE,I15="",COUNTIF(Rates!$J$5:$J$10,J15)=0,ISNUMBER(K15)=FALSE,IF(OR(IF(AND(G15="Staff",K15&gt;365),1,0)=1,IF(AND(G15="Student",K15&gt;60),1,0)=1),1,0)=1,IF(ISNUMBER(H15)=TRUE,H15=INT(H15*1)/1=FALSE),IF(ISNUMBER(K15)=TRUE,K15=INT(K15*1)/1=FALSE)),"Error","")</f>
        <v/>
      </c>
    </row>
    <row r="16" spans="2:15" s="103" customFormat="1" x14ac:dyDescent="0.25">
      <c r="B16" s="60" t="s">
        <v>367</v>
      </c>
      <c r="C16" s="94" t="s">
        <v>18</v>
      </c>
      <c r="D16" s="104" t="str">
        <f>IFERROR(IF(VLOOKUP(C16,Overview!$B$30:$E$84,2,FALSE)=0,"",VLOOKUP(C16,Overview!$B$30:$E$84,2,FALSE)),"")</f>
        <v>Koblenz-Landau University</v>
      </c>
      <c r="E16" s="104" t="str">
        <f>IFERROR(IF(OR(VLOOKUP(C16,Overview!$B$30:$E$84,4,FALSE)="Country not found",VLOOKUP(C16,Overview!$B$30:$E$84,3,FALSE)=0),"",VLOOKUP(C16,Overview!$B$30:$E$84,3,FALSE)),"")</f>
        <v>Germany</v>
      </c>
      <c r="F16" s="108" t="s">
        <v>578</v>
      </c>
      <c r="G16" s="109" t="s">
        <v>520</v>
      </c>
      <c r="H16" s="110">
        <v>2</v>
      </c>
      <c r="I16" s="108" t="s">
        <v>576</v>
      </c>
      <c r="J16" s="108" t="s">
        <v>338</v>
      </c>
      <c r="K16" s="110">
        <v>7</v>
      </c>
      <c r="L16" s="111">
        <f>IF(O16="Error",0,ROUND(ROUND(H16,0)*(VLOOKUP(J16,Rates!$J$5:$K$10,2,FALSE)),2))</f>
        <v>550</v>
      </c>
      <c r="M16" s="112">
        <f t="shared" si="0"/>
        <v>1680</v>
      </c>
      <c r="N16" s="113">
        <f t="shared" si="2"/>
        <v>2230</v>
      </c>
      <c r="O16" s="102" t="str">
        <f>IF(OR(COUNTIF(Rates!$J$13:$J$17,B16)=0,COUNTIF(Overview!$B$30:$B$84,C16)=0,D16="",E16="",F16="",COUNTIF(Rates!$Y$4:$Z$4,G16)=0,ISNUMBER(H16)=FALSE,I16="",COUNTIF(Rates!$J$5:$J$10,J16)=0,ISNUMBER(K16)=FALSE,IF(OR(IF(AND(G16="Staff",K16&gt;365),1,0)=1,IF(AND(G16="Student",K16&gt;60),1,0)=1),1,0)=1,IF(ISNUMBER(H16)=TRUE,H16=INT(H16*1)/1=FALSE),IF(ISNUMBER(K16)=TRUE,K16=INT(K16*1)/1=FALSE)),"Error","")</f>
        <v/>
      </c>
    </row>
    <row r="17" spans="2:15" s="103" customFormat="1" x14ac:dyDescent="0.25">
      <c r="B17" s="60" t="s">
        <v>367</v>
      </c>
      <c r="C17" s="94" t="s">
        <v>19</v>
      </c>
      <c r="D17" s="104" t="str">
        <f>IFERROR(IF(VLOOKUP(C17,Overview!$B$30:$E$84,2,FALSE)=0,"",VLOOKUP(C17,Overview!$B$30:$E$84,2,FALSE)),"")</f>
        <v>The Network University</v>
      </c>
      <c r="E17" s="104" t="str">
        <f>IFERROR(IF(OR(VLOOKUP(C17,Overview!$B$30:$E$84,4,FALSE)="Country not found",VLOOKUP(C17,Overview!$B$30:$E$84,3,FALSE)=0),"",VLOOKUP(C17,Overview!$B$30:$E$84,3,FALSE)),"")</f>
        <v>Netherlands</v>
      </c>
      <c r="F17" s="108" t="s">
        <v>587</v>
      </c>
      <c r="G17" s="109" t="s">
        <v>520</v>
      </c>
      <c r="H17" s="110">
        <v>1</v>
      </c>
      <c r="I17" s="108" t="s">
        <v>576</v>
      </c>
      <c r="J17" s="108" t="s">
        <v>339</v>
      </c>
      <c r="K17" s="110">
        <v>7</v>
      </c>
      <c r="L17" s="111">
        <f>IF(O17="Error",0,ROUND(ROUND(H17,0)*(VLOOKUP(J17,Rates!$J$5:$K$10,2,FALSE)),2))</f>
        <v>360</v>
      </c>
      <c r="M17" s="112">
        <f t="shared" si="0"/>
        <v>840</v>
      </c>
      <c r="N17" s="113">
        <f t="shared" si="2"/>
        <v>1200</v>
      </c>
      <c r="O17" s="102" t="str">
        <f>IF(OR(COUNTIF(Rates!$J$13:$J$17,B17)=0,COUNTIF(Overview!$B$30:$B$84,C17)=0,D17="",E17="",F17="",COUNTIF(Rates!$Y$4:$Z$4,G17)=0,ISNUMBER(H17)=FALSE,I17="",COUNTIF(Rates!$J$5:$J$10,J17)=0,ISNUMBER(K17)=FALSE,IF(OR(IF(AND(G17="Staff",K17&gt;365),1,0)=1,IF(AND(G17="Student",K17&gt;60),1,0)=1),1,0)=1,IF(ISNUMBER(H17)=TRUE,H17=INT(H17*1)/1=FALSE),IF(ISNUMBER(K17)=TRUE,K17=INT(K17*1)/1=FALSE)),"Error","")</f>
        <v/>
      </c>
    </row>
    <row r="18" spans="2:15" s="103" customFormat="1" x14ac:dyDescent="0.25">
      <c r="B18" s="60" t="s">
        <v>367</v>
      </c>
      <c r="C18" s="94" t="s">
        <v>20</v>
      </c>
      <c r="D18" s="104" t="str">
        <f>IFERROR(IF(VLOOKUP(C18,Overview!$B$30:$E$84,2,FALSE)=0,"",VLOOKUP(C18,Overview!$B$30:$E$84,2,FALSE)),"")</f>
        <v>Tashkent State Technical University</v>
      </c>
      <c r="E18" s="104" t="str">
        <f>IFERROR(IF(OR(VLOOKUP(C18,Overview!$B$30:$E$84,4,FALSE)="Country not found",VLOOKUP(C18,Overview!$B$30:$E$84,3,FALSE)=0),"",VLOOKUP(C18,Overview!$B$30:$E$84,3,FALSE)),"")</f>
        <v>Uzbekistan</v>
      </c>
      <c r="F18" s="108" t="s">
        <v>579</v>
      </c>
      <c r="G18" s="109" t="s">
        <v>520</v>
      </c>
      <c r="H18" s="110">
        <v>2</v>
      </c>
      <c r="I18" s="108" t="s">
        <v>576</v>
      </c>
      <c r="J18" s="108" t="s">
        <v>343</v>
      </c>
      <c r="K18" s="110">
        <v>7</v>
      </c>
      <c r="L18" s="111">
        <f>IF(O18="Error",0,ROUND(ROUND(H18,0)*(VLOOKUP(J18,Rates!$J$5:$K$10,2,FALSE)),2))</f>
        <v>1640</v>
      </c>
      <c r="M18" s="112">
        <f t="shared" si="0"/>
        <v>1680</v>
      </c>
      <c r="N18" s="113">
        <f t="shared" si="2"/>
        <v>3320</v>
      </c>
      <c r="O18" s="102" t="str">
        <f>IF(OR(COUNTIF(Rates!$J$13:$J$17,B18)=0,COUNTIF(Overview!$B$30:$B$84,C18)=0,D18="",E18="",F18="",COUNTIF(Rates!$Y$4:$Z$4,G18)=0,ISNUMBER(H18)=FALSE,I18="",COUNTIF(Rates!$J$5:$J$10,J18)=0,ISNUMBER(K18)=FALSE,IF(OR(IF(AND(G18="Staff",K18&gt;365),1,0)=1,IF(AND(G18="Student",K18&gt;60),1,0)=1),1,0)=1,IF(ISNUMBER(H18)=TRUE,H18=INT(H18*1)/1=FALSE),IF(ISNUMBER(K18)=TRUE,K18=INT(K18*1)/1=FALSE)),"Error","")</f>
        <v/>
      </c>
    </row>
    <row r="19" spans="2:15" s="103" customFormat="1" x14ac:dyDescent="0.25">
      <c r="B19" s="60" t="s">
        <v>367</v>
      </c>
      <c r="C19" s="94" t="s">
        <v>21</v>
      </c>
      <c r="D19" s="104" t="str">
        <f>IFERROR(IF(VLOOKUP(C19,Overview!$B$30:$E$84,2,FALSE)=0,"",VLOOKUP(C19,Overview!$B$30:$E$84,2,FALSE)),"")</f>
        <v>National University of Uzbekistan</v>
      </c>
      <c r="E19" s="104" t="str">
        <f>IFERROR(IF(OR(VLOOKUP(C19,Overview!$B$30:$E$84,4,FALSE)="Country not found",VLOOKUP(C19,Overview!$B$30:$E$84,3,FALSE)=0),"",VLOOKUP(C19,Overview!$B$30:$E$84,3,FALSE)),"")</f>
        <v>Uzbekistan</v>
      </c>
      <c r="F19" s="108" t="s">
        <v>579</v>
      </c>
      <c r="G19" s="109" t="s">
        <v>520</v>
      </c>
      <c r="H19" s="110">
        <v>2</v>
      </c>
      <c r="I19" s="108" t="s">
        <v>576</v>
      </c>
      <c r="J19" s="108" t="s">
        <v>343</v>
      </c>
      <c r="K19" s="110">
        <v>7</v>
      </c>
      <c r="L19" s="111">
        <f>IF(O19="Error",0,ROUND(ROUND(H19,0)*(VLOOKUP(J19,Rates!$J$5:$K$10,2,FALSE)),2))</f>
        <v>1640</v>
      </c>
      <c r="M19" s="112">
        <f t="shared" si="0"/>
        <v>1680</v>
      </c>
      <c r="N19" s="113">
        <f t="shared" si="2"/>
        <v>3320</v>
      </c>
      <c r="O19" s="102" t="str">
        <f>IF(OR(COUNTIF(Rates!$J$13:$J$17,B19)=0,COUNTIF(Overview!$B$30:$B$84,C19)=0,D19="",E19="",F19="",COUNTIF(Rates!$Y$4:$Z$4,G19)=0,ISNUMBER(H19)=FALSE,I19="",COUNTIF(Rates!$J$5:$J$10,J19)=0,ISNUMBER(K19)=FALSE,IF(OR(IF(AND(G19="Staff",K19&gt;365),1,0)=1,IF(AND(G19="Student",K19&gt;60),1,0)=1),1,0)=1,IF(ISNUMBER(H19)=TRUE,H19=INT(H19*1)/1=FALSE),IF(ISNUMBER(K19)=TRUE,K19=INT(K19*1)/1=FALSE)),"Error","")</f>
        <v/>
      </c>
    </row>
    <row r="20" spans="2:15" s="103" customFormat="1" x14ac:dyDescent="0.25">
      <c r="B20" s="60" t="s">
        <v>367</v>
      </c>
      <c r="C20" s="94" t="s">
        <v>22</v>
      </c>
      <c r="D20" s="104" t="str">
        <f>IFERROR(IF(VLOOKUP(C20,Overview!$B$30:$E$84,2,FALSE)=0,"",VLOOKUP(C20,Overview!$B$30:$E$84,2,FALSE)),"")</f>
        <v>Enterprise “Business Drilling”</v>
      </c>
      <c r="E20" s="104" t="str">
        <f>IFERROR(IF(OR(VLOOKUP(C20,Overview!$B$30:$E$84,4,FALSE)="Country not found",VLOOKUP(C20,Overview!$B$30:$E$84,3,FALSE)=0),"",VLOOKUP(C20,Overview!$B$30:$E$84,3,FALSE)),"")</f>
        <v>Uzbekistan</v>
      </c>
      <c r="F20" s="108" t="s">
        <v>579</v>
      </c>
      <c r="G20" s="109" t="s">
        <v>520</v>
      </c>
      <c r="H20" s="110">
        <v>2</v>
      </c>
      <c r="I20" s="108" t="s">
        <v>576</v>
      </c>
      <c r="J20" s="108" t="s">
        <v>343</v>
      </c>
      <c r="K20" s="110">
        <v>7</v>
      </c>
      <c r="L20" s="111">
        <f>IF(O20="Error",0,ROUND(ROUND(H20,0)*(VLOOKUP(J20,Rates!$J$5:$K$10,2,FALSE)),2))</f>
        <v>1640</v>
      </c>
      <c r="M20" s="112">
        <f t="shared" si="0"/>
        <v>1680</v>
      </c>
      <c r="N20" s="113">
        <f t="shared" si="2"/>
        <v>3320</v>
      </c>
      <c r="O20" s="102" t="str">
        <f>IF(OR(COUNTIF(Rates!$J$13:$J$17,B20)=0,COUNTIF(Overview!$B$30:$B$84,C20)=0,D20="",E20="",F20="",COUNTIF(Rates!$Y$4:$Z$4,G20)=0,ISNUMBER(H20)=FALSE,I20="",COUNTIF(Rates!$J$5:$J$10,J20)=0,ISNUMBER(K20)=FALSE,IF(OR(IF(AND(G20="Staff",K20&gt;365),1,0)=1,IF(AND(G20="Student",K20&gt;60),1,0)=1),1,0)=1,IF(ISNUMBER(H20)=TRUE,H20=INT(H20*1)/1=FALSE),IF(ISNUMBER(K20)=TRUE,K20=INT(K20*1)/1=FALSE)),"Error","")</f>
        <v/>
      </c>
    </row>
    <row r="21" spans="2:15" s="103" customFormat="1" x14ac:dyDescent="0.25">
      <c r="B21" s="60" t="s">
        <v>367</v>
      </c>
      <c r="C21" s="94" t="s">
        <v>23</v>
      </c>
      <c r="D21" s="104" t="str">
        <f>IFERROR(IF(VLOOKUP(C21,Overview!$B$30:$E$84,2,FALSE)=0,"",VLOOKUP(C21,Overview!$B$30:$E$84,2,FALSE)),"")</f>
        <v>Ministry of Education of Uzbekistan</v>
      </c>
      <c r="E21" s="104" t="str">
        <f>IFERROR(IF(OR(VLOOKUP(C21,Overview!$B$30:$E$84,4,FALSE)="Country not found",VLOOKUP(C21,Overview!$B$30:$E$84,3,FALSE)=0),"",VLOOKUP(C21,Overview!$B$30:$E$84,3,FALSE)),"")</f>
        <v>Uzbekistan</v>
      </c>
      <c r="F21" s="108" t="s">
        <v>579</v>
      </c>
      <c r="G21" s="109" t="s">
        <v>520</v>
      </c>
      <c r="H21" s="110">
        <v>2</v>
      </c>
      <c r="I21" s="108" t="s">
        <v>576</v>
      </c>
      <c r="J21" s="108" t="s">
        <v>343</v>
      </c>
      <c r="K21" s="110">
        <v>7</v>
      </c>
      <c r="L21" s="111">
        <f>IF(O21="Error",0,ROUND(ROUND(H21,0)*(VLOOKUP(J21,Rates!$J$5:$K$10,2,FALSE)),2))</f>
        <v>1640</v>
      </c>
      <c r="M21" s="112">
        <f t="shared" si="0"/>
        <v>1680</v>
      </c>
      <c r="N21" s="113">
        <f t="shared" si="2"/>
        <v>3320</v>
      </c>
      <c r="O21" s="102" t="str">
        <f>IF(OR(COUNTIF(Rates!$J$13:$J$17,B21)=0,COUNTIF(Overview!$B$30:$B$84,C21)=0,D21="",E21="",F21="",COUNTIF(Rates!$Y$4:$Z$4,G21)=0,ISNUMBER(H21)=FALSE,I21="",COUNTIF(Rates!$J$5:$J$10,J21)=0,ISNUMBER(K21)=FALSE,IF(OR(IF(AND(G21="Staff",K21&gt;365),1,0)=1,IF(AND(G21="Student",K21&gt;60),1,0)=1),1,0)=1,IF(ISNUMBER(H21)=TRUE,H21=INT(H21*1)/1=FALSE),IF(ISNUMBER(K21)=TRUE,K21=INT(K21*1)/1=FALSE)),"Error","")</f>
        <v/>
      </c>
    </row>
    <row r="22" spans="2:15" s="103" customFormat="1" x14ac:dyDescent="0.25">
      <c r="B22" s="60" t="s">
        <v>367</v>
      </c>
      <c r="C22" s="94" t="s">
        <v>24</v>
      </c>
      <c r="D22" s="104" t="str">
        <f>IFERROR(IF(VLOOKUP(C22,Overview!$B$30:$E$84,2,FALSE)=0,"",VLOOKUP(C22,Overview!$B$30:$E$84,2,FALSE)),"")</f>
        <v>Kyrgyz State Technical University</v>
      </c>
      <c r="E22" s="104" t="str">
        <f>IFERROR(IF(OR(VLOOKUP(C22,Overview!$B$30:$E$84,4,FALSE)="Country not found",VLOOKUP(C22,Overview!$B$30:$E$84,3,FALSE)=0),"",VLOOKUP(C22,Overview!$B$30:$E$84,3,FALSE)),"")</f>
        <v>Kyrgyzstan</v>
      </c>
      <c r="F22" s="108" t="s">
        <v>584</v>
      </c>
      <c r="G22" s="109" t="s">
        <v>520</v>
      </c>
      <c r="H22" s="110">
        <v>2</v>
      </c>
      <c r="I22" s="108" t="s">
        <v>576</v>
      </c>
      <c r="J22" s="108" t="s">
        <v>343</v>
      </c>
      <c r="K22" s="110">
        <v>7</v>
      </c>
      <c r="L22" s="111">
        <f>IF(O22="Error",0,ROUND(ROUND(H22,0)*(VLOOKUP(J22,Rates!$J$5:$K$10,2,FALSE)),2))</f>
        <v>1640</v>
      </c>
      <c r="M22" s="112">
        <f t="shared" si="0"/>
        <v>1680</v>
      </c>
      <c r="N22" s="113">
        <f t="shared" si="2"/>
        <v>3320</v>
      </c>
      <c r="O22" s="102" t="str">
        <f>IF(OR(COUNTIF(Rates!$J$13:$J$17,B22)=0,COUNTIF(Overview!$B$30:$B$84,C22)=0,D22="",E22="",F22="",COUNTIF(Rates!$Y$4:$Z$4,G22)=0,ISNUMBER(H22)=FALSE,I22="",COUNTIF(Rates!$J$5:$J$10,J22)=0,ISNUMBER(K22)=FALSE,IF(OR(IF(AND(G22="Staff",K22&gt;365),1,0)=1,IF(AND(G22="Student",K22&gt;60),1,0)=1),1,0)=1,IF(ISNUMBER(H22)=TRUE,H22=INT(H22*1)/1=FALSE),IF(ISNUMBER(K22)=TRUE,K22=INT(K22*1)/1=FALSE)),"Error","")</f>
        <v/>
      </c>
    </row>
    <row r="23" spans="2:15" s="103" customFormat="1" x14ac:dyDescent="0.25">
      <c r="B23" s="60" t="s">
        <v>367</v>
      </c>
      <c r="C23" s="94" t="s">
        <v>25</v>
      </c>
      <c r="D23" s="104" t="str">
        <f>IFERROR(IF(VLOOKUP(C23,Overview!$B$30:$E$84,2,FALSE)=0,"",VLOOKUP(C23,Overview!$B$30:$E$84,2,FALSE)),"")</f>
        <v>Bishkek Academy of Finance and Economics</v>
      </c>
      <c r="E23" s="104" t="str">
        <f>IFERROR(IF(OR(VLOOKUP(C23,Overview!$B$30:$E$84,4,FALSE)="Country not found",VLOOKUP(C23,Overview!$B$30:$E$84,3,FALSE)=0),"",VLOOKUP(C23,Overview!$B$30:$E$84,3,FALSE)),"")</f>
        <v>Kyrgyzstan</v>
      </c>
      <c r="F23" s="108" t="s">
        <v>584</v>
      </c>
      <c r="G23" s="109" t="s">
        <v>520</v>
      </c>
      <c r="H23" s="110">
        <v>2</v>
      </c>
      <c r="I23" s="108" t="s">
        <v>576</v>
      </c>
      <c r="J23" s="108" t="s">
        <v>343</v>
      </c>
      <c r="K23" s="110">
        <v>7</v>
      </c>
      <c r="L23" s="111">
        <f>IF(O23="Error",0,ROUND(ROUND(H23,0)*(VLOOKUP(J23,Rates!$J$5:$K$10,2,FALSE)),2))</f>
        <v>1640</v>
      </c>
      <c r="M23" s="112">
        <f t="shared" si="0"/>
        <v>1680</v>
      </c>
      <c r="N23" s="113">
        <f t="shared" si="2"/>
        <v>3320</v>
      </c>
      <c r="O23" s="102" t="str">
        <f>IF(OR(COUNTIF(Rates!$J$13:$J$17,B23)=0,COUNTIF(Overview!$B$30:$B$84,C23)=0,D23="",E23="",F23="",COUNTIF(Rates!$Y$4:$Z$4,G23)=0,ISNUMBER(H23)=FALSE,I23="",COUNTIF(Rates!$J$5:$J$10,J23)=0,ISNUMBER(K23)=FALSE,IF(OR(IF(AND(G23="Staff",K23&gt;365),1,0)=1,IF(AND(G23="Student",K23&gt;60),1,0)=1),1,0)=1,IF(ISNUMBER(H23)=TRUE,H23=INT(H23*1)/1=FALSE),IF(ISNUMBER(K23)=TRUE,K23=INT(K23*1)/1=FALSE)),"Error","")</f>
        <v/>
      </c>
    </row>
    <row r="24" spans="2:15" s="103" customFormat="1" x14ac:dyDescent="0.25">
      <c r="B24" s="60" t="s">
        <v>367</v>
      </c>
      <c r="C24" s="94" t="s">
        <v>26</v>
      </c>
      <c r="D24" s="104" t="str">
        <f>IFERROR(IF(VLOOKUP(C24,Overview!$B$30:$E$84,2,FALSE)=0,"",VLOOKUP(C24,Overview!$B$30:$E$84,2,FALSE)),"")</f>
        <v>Osh Technological University</v>
      </c>
      <c r="E24" s="104" t="str">
        <f>IFERROR(IF(OR(VLOOKUP(C24,Overview!$B$30:$E$84,4,FALSE)="Country not found",VLOOKUP(C24,Overview!$B$30:$E$84,3,FALSE)=0),"",VLOOKUP(C24,Overview!$B$30:$E$84,3,FALSE)),"")</f>
        <v>Kyrgyzstan</v>
      </c>
      <c r="F24" s="108" t="s">
        <v>583</v>
      </c>
      <c r="G24" s="109" t="s">
        <v>520</v>
      </c>
      <c r="H24" s="110">
        <v>2</v>
      </c>
      <c r="I24" s="108" t="s">
        <v>576</v>
      </c>
      <c r="J24" s="108" t="s">
        <v>343</v>
      </c>
      <c r="K24" s="110">
        <v>7</v>
      </c>
      <c r="L24" s="111">
        <f>IF(O24="Error",0,ROUND(ROUND(H24,0)*(VLOOKUP(J24,Rates!$J$5:$K$10,2,FALSE)),2))</f>
        <v>1640</v>
      </c>
      <c r="M24" s="112">
        <f t="shared" si="0"/>
        <v>1680</v>
      </c>
      <c r="N24" s="113">
        <f t="shared" si="2"/>
        <v>3320</v>
      </c>
      <c r="O24" s="102" t="str">
        <f>IF(OR(COUNTIF(Rates!$J$13:$J$17,B24)=0,COUNTIF(Overview!$B$30:$B$84,C24)=0,D24="",E24="",F24="",COUNTIF(Rates!$Y$4:$Z$4,G24)=0,ISNUMBER(H24)=FALSE,I24="",COUNTIF(Rates!$J$5:$J$10,J24)=0,ISNUMBER(K24)=FALSE,IF(OR(IF(AND(G24="Staff",K24&gt;365),1,0)=1,IF(AND(G24="Student",K24&gt;60),1,0)=1),1,0)=1,IF(ISNUMBER(H24)=TRUE,H24=INT(H24*1)/1=FALSE),IF(ISNUMBER(K24)=TRUE,K24=INT(K24*1)/1=FALSE)),"Error","")</f>
        <v/>
      </c>
    </row>
    <row r="25" spans="2:15" s="103" customFormat="1" x14ac:dyDescent="0.25">
      <c r="B25" s="60" t="s">
        <v>367</v>
      </c>
      <c r="C25" s="94" t="s">
        <v>346</v>
      </c>
      <c r="D25" s="104" t="str">
        <f>IFERROR(IF(VLOOKUP(C25,Overview!$B$30:$E$84,2,FALSE)=0,"",VLOOKUP(C25,Overview!$B$30:$E$84,2,FALSE)),"")</f>
        <v>Bishkek Business Club</v>
      </c>
      <c r="E25" s="104" t="str">
        <f>IFERROR(IF(OR(VLOOKUP(C25,Overview!$B$30:$E$84,4,FALSE)="Country not found",VLOOKUP(C25,Overview!$B$30:$E$84,3,FALSE)=0),"",VLOOKUP(C25,Overview!$B$30:$E$84,3,FALSE)),"")</f>
        <v>Kyrgyzstan</v>
      </c>
      <c r="F25" s="108" t="s">
        <v>584</v>
      </c>
      <c r="G25" s="109" t="s">
        <v>520</v>
      </c>
      <c r="H25" s="110">
        <v>2</v>
      </c>
      <c r="I25" s="108" t="s">
        <v>576</v>
      </c>
      <c r="J25" s="108" t="s">
        <v>343</v>
      </c>
      <c r="K25" s="110">
        <v>7</v>
      </c>
      <c r="L25" s="111">
        <f>IF(O25="Error",0,ROUND(ROUND(H25,0)*(VLOOKUP(J25,Rates!$J$5:$K$10,2,FALSE)),2))</f>
        <v>1640</v>
      </c>
      <c r="M25" s="112">
        <f t="shared" si="0"/>
        <v>1680</v>
      </c>
      <c r="N25" s="113">
        <f t="shared" si="2"/>
        <v>3320</v>
      </c>
      <c r="O25" s="102" t="str">
        <f>IF(OR(COUNTIF(Rates!$J$13:$J$17,B25)=0,COUNTIF(Overview!$B$30:$B$84,C25)=0,D25="",E25="",F25="",COUNTIF(Rates!$Y$4:$Z$4,G25)=0,ISNUMBER(H25)=FALSE,I25="",COUNTIF(Rates!$J$5:$J$10,J25)=0,ISNUMBER(K25)=FALSE,IF(OR(IF(AND(G25="Staff",K25&gt;365),1,0)=1,IF(AND(G25="Student",K25&gt;60),1,0)=1),1,0)=1,IF(ISNUMBER(H25)=TRUE,H25=INT(H25*1)/1=FALSE),IF(ISNUMBER(K25)=TRUE,K25=INT(K25*1)/1=FALSE)),"Error","")</f>
        <v/>
      </c>
    </row>
    <row r="26" spans="2:15" s="103" customFormat="1" x14ac:dyDescent="0.25">
      <c r="B26" s="60" t="s">
        <v>367</v>
      </c>
      <c r="C26" s="94" t="s">
        <v>27</v>
      </c>
      <c r="D26" s="104" t="str">
        <f>IFERROR(IF(VLOOKUP(C26,Overview!$B$30:$E$84,2,FALSE)=0,"",VLOOKUP(C26,Overview!$B$30:$E$84,2,FALSE)),"")</f>
        <v>Ministry of Education of Kyrgyzstan</v>
      </c>
      <c r="E26" s="104" t="str">
        <f>IFERROR(IF(OR(VLOOKUP(C26,Overview!$B$30:$E$84,4,FALSE)="Country not found",VLOOKUP(C26,Overview!$B$30:$E$84,3,FALSE)=0),"",VLOOKUP(C26,Overview!$B$30:$E$84,3,FALSE)),"")</f>
        <v>Kyrgyzstan</v>
      </c>
      <c r="F26" s="108" t="s">
        <v>584</v>
      </c>
      <c r="G26" s="109" t="s">
        <v>520</v>
      </c>
      <c r="H26" s="110">
        <v>2</v>
      </c>
      <c r="I26" s="108" t="s">
        <v>576</v>
      </c>
      <c r="J26" s="108" t="s">
        <v>343</v>
      </c>
      <c r="K26" s="110">
        <v>7</v>
      </c>
      <c r="L26" s="111">
        <f>IF(O26="Error",0,ROUND(ROUND(H26,0)*(VLOOKUP(J26,Rates!$J$5:$K$10,2,FALSE)),2))</f>
        <v>1640</v>
      </c>
      <c r="M26" s="112">
        <f t="shared" si="0"/>
        <v>1680</v>
      </c>
      <c r="N26" s="113">
        <f t="shared" si="2"/>
        <v>3320</v>
      </c>
      <c r="O26" s="102" t="str">
        <f>IF(OR(COUNTIF(Rates!$J$13:$J$17,B26)=0,COUNTIF(Overview!$B$30:$B$84,C26)=0,D26="",E26="",F26="",COUNTIF(Rates!$Y$4:$Z$4,G26)=0,ISNUMBER(H26)=FALSE,I26="",COUNTIF(Rates!$J$5:$J$10,J26)=0,ISNUMBER(K26)=FALSE,IF(OR(IF(AND(G26="Staff",K26&gt;365),1,0)=1,IF(AND(G26="Student",K26&gt;60),1,0)=1),1,0)=1,IF(ISNUMBER(H26)=TRUE,H26=INT(H26*1)/1=FALSE),IF(ISNUMBER(K26)=TRUE,K26=INT(K26*1)/1=FALSE)),"Error","")</f>
        <v/>
      </c>
    </row>
    <row r="27" spans="2:15" s="103" customFormat="1" x14ac:dyDescent="0.25">
      <c r="B27" s="60" t="s">
        <v>367</v>
      </c>
      <c r="C27" s="94" t="s">
        <v>28</v>
      </c>
      <c r="D27" s="104" t="str">
        <f>IFERROR(IF(VLOOKUP(C27,Overview!$B$30:$E$84,2,FALSE)=0,"",VLOOKUP(C27,Overview!$B$30:$E$84,2,FALSE)),"")</f>
        <v>Khujand State University</v>
      </c>
      <c r="E27" s="104" t="str">
        <f>IFERROR(IF(OR(VLOOKUP(C27,Overview!$B$30:$E$84,4,FALSE)="Country not found",VLOOKUP(C27,Overview!$B$30:$E$84,3,FALSE)=0),"",VLOOKUP(C27,Overview!$B$30:$E$84,3,FALSE)),"")</f>
        <v>Tajikistan</v>
      </c>
      <c r="F27" s="108" t="s">
        <v>582</v>
      </c>
      <c r="G27" s="109" t="s">
        <v>520</v>
      </c>
      <c r="H27" s="110">
        <v>2</v>
      </c>
      <c r="I27" s="108" t="s">
        <v>576</v>
      </c>
      <c r="J27" s="108" t="s">
        <v>343</v>
      </c>
      <c r="K27" s="110">
        <v>7</v>
      </c>
      <c r="L27" s="111">
        <f>IF(O27="Error",0,ROUND(ROUND(H27,0)*(VLOOKUP(J27,Rates!$J$5:$K$10,2,FALSE)),2))</f>
        <v>1640</v>
      </c>
      <c r="M27" s="112">
        <f t="shared" si="0"/>
        <v>1680</v>
      </c>
      <c r="N27" s="113">
        <f t="shared" si="2"/>
        <v>3320</v>
      </c>
      <c r="O27" s="102" t="str">
        <f>IF(OR(COUNTIF(Rates!$J$13:$J$17,B27)=0,COUNTIF(Overview!$B$30:$B$84,C27)=0,D27="",E27="",F27="",COUNTIF(Rates!$Y$4:$Z$4,G27)=0,ISNUMBER(H27)=FALSE,I27="",COUNTIF(Rates!$J$5:$J$10,J27)=0,ISNUMBER(K27)=FALSE,IF(OR(IF(AND(G27="Staff",K27&gt;365),1,0)=1,IF(AND(G27="Student",K27&gt;60),1,0)=1),1,0)=1,IF(ISNUMBER(H27)=TRUE,H27=INT(H27*1)/1=FALSE),IF(ISNUMBER(K27)=TRUE,K27=INT(K27*1)/1=FALSE)),"Error","")</f>
        <v/>
      </c>
    </row>
    <row r="28" spans="2:15" s="103" customFormat="1" x14ac:dyDescent="0.25">
      <c r="B28" s="60" t="s">
        <v>367</v>
      </c>
      <c r="C28" s="94" t="s">
        <v>29</v>
      </c>
      <c r="D28" s="104" t="str">
        <f>IFERROR(IF(VLOOKUP(C28,Overview!$B$30:$E$84,2,FALSE)=0,"",VLOOKUP(C28,Overview!$B$30:$E$84,2,FALSE)),"")</f>
        <v>Khorog State University</v>
      </c>
      <c r="E28" s="104" t="str">
        <f>IFERROR(IF(OR(VLOOKUP(C28,Overview!$B$30:$E$84,4,FALSE)="Country not found",VLOOKUP(C28,Overview!$B$30:$E$84,3,FALSE)=0),"",VLOOKUP(C28,Overview!$B$30:$E$84,3,FALSE)),"")</f>
        <v>Tajikistan</v>
      </c>
      <c r="F28" s="108" t="s">
        <v>581</v>
      </c>
      <c r="G28" s="109" t="s">
        <v>520</v>
      </c>
      <c r="H28" s="110">
        <v>2</v>
      </c>
      <c r="I28" s="108" t="s">
        <v>576</v>
      </c>
      <c r="J28" s="108" t="s">
        <v>343</v>
      </c>
      <c r="K28" s="110">
        <v>7</v>
      </c>
      <c r="L28" s="111">
        <f>IF(O28="Error",0,ROUND(ROUND(H28,0)*(VLOOKUP(J28,Rates!$J$5:$K$10,2,FALSE)),2))</f>
        <v>1640</v>
      </c>
      <c r="M28" s="112">
        <f t="shared" si="0"/>
        <v>1680</v>
      </c>
      <c r="N28" s="113">
        <f t="shared" si="2"/>
        <v>3320</v>
      </c>
      <c r="O28" s="102" t="str">
        <f>IF(OR(COUNTIF(Rates!$J$13:$J$17,B28)=0,COUNTIF(Overview!$B$30:$B$84,C28)=0,D28="",E28="",F28="",COUNTIF(Rates!$Y$4:$Z$4,G28)=0,ISNUMBER(H28)=FALSE,I28="",COUNTIF(Rates!$J$5:$J$10,J28)=0,ISNUMBER(K28)=FALSE,IF(OR(IF(AND(G28="Staff",K28&gt;365),1,0)=1,IF(AND(G28="Student",K28&gt;60),1,0)=1),1,0)=1,IF(ISNUMBER(H28)=TRUE,H28=INT(H28*1)/1=FALSE),IF(ISNUMBER(K28)=TRUE,K28=INT(K28*1)/1=FALSE)),"Error","")</f>
        <v/>
      </c>
    </row>
    <row r="29" spans="2:15" s="103" customFormat="1" x14ac:dyDescent="0.25">
      <c r="B29" s="60" t="s">
        <v>367</v>
      </c>
      <c r="C29" s="94" t="s">
        <v>30</v>
      </c>
      <c r="D29" s="104" t="str">
        <f>IFERROR(IF(VLOOKUP(C29,Overview!$B$30:$E$84,2,FALSE)=0,"",VLOOKUP(C29,Overview!$B$30:$E$84,2,FALSE)),"")</f>
        <v>Tajik Pedagogical University</v>
      </c>
      <c r="E29" s="104" t="str">
        <f>IFERROR(IF(OR(VLOOKUP(C29,Overview!$B$30:$E$84,4,FALSE)="Country not found",VLOOKUP(C29,Overview!$B$30:$E$84,3,FALSE)=0),"",VLOOKUP(C29,Overview!$B$30:$E$84,3,FALSE)),"")</f>
        <v>Tajikistan</v>
      </c>
      <c r="F29" s="108" t="s">
        <v>585</v>
      </c>
      <c r="G29" s="109" t="s">
        <v>520</v>
      </c>
      <c r="H29" s="110">
        <v>2</v>
      </c>
      <c r="I29" s="108" t="s">
        <v>576</v>
      </c>
      <c r="J29" s="108" t="s">
        <v>343</v>
      </c>
      <c r="K29" s="110">
        <v>7</v>
      </c>
      <c r="L29" s="111">
        <f>IF(O29="Error",0,ROUND(ROUND(H29,0)*(VLOOKUP(J29,Rates!$J$5:$K$10,2,FALSE)),2))</f>
        <v>1640</v>
      </c>
      <c r="M29" s="112">
        <f t="shared" si="0"/>
        <v>1680</v>
      </c>
      <c r="N29" s="113">
        <f t="shared" si="2"/>
        <v>3320</v>
      </c>
      <c r="O29" s="102" t="str">
        <f>IF(OR(COUNTIF(Rates!$J$13:$J$17,B29)=0,COUNTIF(Overview!$B$30:$B$84,C29)=0,D29="",E29="",F29="",COUNTIF(Rates!$Y$4:$Z$4,G29)=0,ISNUMBER(H29)=FALSE,I29="",COUNTIF(Rates!$J$5:$J$10,J29)=0,ISNUMBER(K29)=FALSE,IF(OR(IF(AND(G29="Staff",K29&gt;365),1,0)=1,IF(AND(G29="Student",K29&gt;60),1,0)=1),1,0)=1,IF(ISNUMBER(H29)=TRUE,H29=INT(H29*1)/1=FALSE),IF(ISNUMBER(K29)=TRUE,K29=INT(K29*1)/1=FALSE)),"Error","")</f>
        <v/>
      </c>
    </row>
    <row r="30" spans="2:15" s="103" customFormat="1" x14ac:dyDescent="0.25">
      <c r="B30" s="60" t="s">
        <v>367</v>
      </c>
      <c r="C30" s="94" t="s">
        <v>31</v>
      </c>
      <c r="D30" s="104" t="str">
        <f>IFERROR(IF(VLOOKUP(C30,Overview!$B$30:$E$84,2,FALSE)=0,"",VLOOKUP(C30,Overview!$B$30:$E$84,2,FALSE)),"")</f>
        <v>Center of development and support of VET education</v>
      </c>
      <c r="E30" s="104" t="str">
        <f>IFERROR(IF(OR(VLOOKUP(C30,Overview!$B$30:$E$84,4,FALSE)="Country not found",VLOOKUP(C30,Overview!$B$30:$E$84,3,FALSE)=0),"",VLOOKUP(C30,Overview!$B$30:$E$84,3,FALSE)),"")</f>
        <v>Tajikistan</v>
      </c>
      <c r="F30" s="108" t="s">
        <v>582</v>
      </c>
      <c r="G30" s="109" t="s">
        <v>520</v>
      </c>
      <c r="H30" s="110">
        <v>2</v>
      </c>
      <c r="I30" s="108" t="s">
        <v>576</v>
      </c>
      <c r="J30" s="108" t="s">
        <v>343</v>
      </c>
      <c r="K30" s="110">
        <v>7</v>
      </c>
      <c r="L30" s="111">
        <f>IF(O30="Error",0,ROUND(ROUND(H30,0)*(VLOOKUP(J30,Rates!$J$5:$K$10,2,FALSE)),2))</f>
        <v>1640</v>
      </c>
      <c r="M30" s="112">
        <f t="shared" si="0"/>
        <v>1680</v>
      </c>
      <c r="N30" s="113">
        <f t="shared" si="2"/>
        <v>3320</v>
      </c>
      <c r="O30" s="102" t="str">
        <f>IF(OR(COUNTIF(Rates!$J$13:$J$17,B30)=0,COUNTIF(Overview!$B$30:$B$84,C30)=0,D30="",E30="",F30="",COUNTIF(Rates!$Y$4:$Z$4,G30)=0,ISNUMBER(H30)=FALSE,I30="",COUNTIF(Rates!$J$5:$J$10,J30)=0,ISNUMBER(K30)=FALSE,IF(OR(IF(AND(G30="Staff",K30&gt;365),1,0)=1,IF(AND(G30="Student",K30&gt;60),1,0)=1),1,0)=1,IF(ISNUMBER(H30)=TRUE,H30=INT(H30*1)/1=FALSE),IF(ISNUMBER(K30)=TRUE,K30=INT(K30*1)/1=FALSE)),"Error","")</f>
        <v/>
      </c>
    </row>
    <row r="31" spans="2:15" s="103" customFormat="1" x14ac:dyDescent="0.25">
      <c r="B31" s="60" t="s">
        <v>367</v>
      </c>
      <c r="C31" s="94" t="s">
        <v>32</v>
      </c>
      <c r="D31" s="104" t="str">
        <f>IFERROR(IF(VLOOKUP(C31,Overview!$B$30:$E$84,2,FALSE)=0,"",VLOOKUP(C31,Overview!$B$30:$E$84,2,FALSE)),"")</f>
        <v>Ministry of Education of Tajikistan</v>
      </c>
      <c r="E31" s="104" t="str">
        <f>IFERROR(IF(OR(VLOOKUP(C31,Overview!$B$30:$E$84,4,FALSE)="Country not found",VLOOKUP(C31,Overview!$B$30:$E$84,3,FALSE)=0),"",VLOOKUP(C31,Overview!$B$30:$E$84,3,FALSE)),"")</f>
        <v>Tajikistan</v>
      </c>
      <c r="F31" s="108" t="s">
        <v>585</v>
      </c>
      <c r="G31" s="109" t="s">
        <v>520</v>
      </c>
      <c r="H31" s="110">
        <v>2</v>
      </c>
      <c r="I31" s="108" t="s">
        <v>576</v>
      </c>
      <c r="J31" s="108" t="s">
        <v>343</v>
      </c>
      <c r="K31" s="110">
        <v>7</v>
      </c>
      <c r="L31" s="111">
        <f>IF(O31="Error",0,ROUND(ROUND(H31,0)*(VLOOKUP(J31,Rates!$J$5:$K$10,2,FALSE)),2))</f>
        <v>1640</v>
      </c>
      <c r="M31" s="112">
        <f t="shared" si="0"/>
        <v>1680</v>
      </c>
      <c r="N31" s="113">
        <f t="shared" si="2"/>
        <v>3320</v>
      </c>
      <c r="O31" s="102" t="str">
        <f>IF(OR(COUNTIF(Rates!$J$13:$J$17,B31)=0,COUNTIF(Overview!$B$30:$B$84,C31)=0,D31="",E31="",F31="",COUNTIF(Rates!$Y$4:$Z$4,G31)=0,ISNUMBER(H31)=FALSE,I31="",COUNTIF(Rates!$J$5:$J$10,J31)=0,ISNUMBER(K31)=FALSE,IF(OR(IF(AND(G31="Staff",K31&gt;365),1,0)=1,IF(AND(G31="Student",K31&gt;60),1,0)=1),1,0)=1,IF(ISNUMBER(H31)=TRUE,H31=INT(H31*1)/1=FALSE),IF(ISNUMBER(K31)=TRUE,K31=INT(K31*1)/1=FALSE)),"Error","")</f>
        <v/>
      </c>
    </row>
    <row r="32" spans="2:15" s="103" customFormat="1" x14ac:dyDescent="0.25">
      <c r="B32" s="60" t="s">
        <v>367</v>
      </c>
      <c r="C32" s="94" t="s">
        <v>33</v>
      </c>
      <c r="D32" s="104" t="str">
        <f>IFERROR(IF(VLOOKUP(C32,Overview!$B$30:$E$84,2,FALSE)=0,"",VLOOKUP(C32,Overview!$B$30:$E$84,2,FALSE)),"")</f>
        <v>KIMEP University, JSC</v>
      </c>
      <c r="E32" s="104" t="str">
        <f>IFERROR(IF(OR(VLOOKUP(C32,Overview!$B$30:$E$84,4,FALSE)="Country not found",VLOOKUP(C32,Overview!$B$30:$E$84,3,FALSE)=0),"",VLOOKUP(C32,Overview!$B$30:$E$84,3,FALSE)),"")</f>
        <v>Kazakhstan</v>
      </c>
      <c r="F32" s="108" t="s">
        <v>580</v>
      </c>
      <c r="G32" s="109" t="s">
        <v>520</v>
      </c>
      <c r="H32" s="110">
        <v>2</v>
      </c>
      <c r="I32" s="108" t="s">
        <v>576</v>
      </c>
      <c r="J32" s="108" t="s">
        <v>343</v>
      </c>
      <c r="K32" s="110">
        <v>7</v>
      </c>
      <c r="L32" s="111">
        <f>IF(O32="Error",0,ROUND(ROUND(H32,0)*(VLOOKUP(J32,Rates!$J$5:$K$10,2,FALSE)),2))</f>
        <v>1640</v>
      </c>
      <c r="M32" s="112">
        <f t="shared" si="0"/>
        <v>1680</v>
      </c>
      <c r="N32" s="113">
        <f t="shared" si="2"/>
        <v>3320</v>
      </c>
      <c r="O32" s="102" t="str">
        <f>IF(OR(COUNTIF(Rates!$J$13:$J$17,B32)=0,COUNTIF(Overview!$B$30:$B$84,C32)=0,D32="",E32="",F32="",COUNTIF(Rates!$Y$4:$Z$4,G32)=0,ISNUMBER(H32)=FALSE,I32="",COUNTIF(Rates!$J$5:$J$10,J32)=0,ISNUMBER(K32)=FALSE,IF(OR(IF(AND(G32="Staff",K32&gt;365),1,0)=1,IF(AND(G32="Student",K32&gt;60),1,0)=1),1,0)=1,IF(ISNUMBER(H32)=TRUE,H32=INT(H32*1)/1=FALSE),IF(ISNUMBER(K32)=TRUE,K32=INT(K32*1)/1=FALSE)),"Error","")</f>
        <v/>
      </c>
    </row>
    <row r="33" spans="2:15" s="103" customFormat="1" x14ac:dyDescent="0.25">
      <c r="B33" s="60" t="s">
        <v>367</v>
      </c>
      <c r="C33" s="94" t="s">
        <v>126</v>
      </c>
      <c r="D33" s="104" t="str">
        <f>IFERROR(IF(VLOOKUP(C33,Overview!$B$30:$E$84,2,FALSE)=0,"",VLOOKUP(C33,Overview!$B$30:$E$84,2,FALSE)),"")</f>
        <v>Al-Farabi Kazakhstan National University</v>
      </c>
      <c r="E33" s="104" t="str">
        <f>IFERROR(IF(OR(VLOOKUP(C33,Overview!$B$30:$E$84,4,FALSE)="Country not found",VLOOKUP(C33,Overview!$B$30:$E$84,3,FALSE)=0),"",VLOOKUP(C33,Overview!$B$30:$E$84,3,FALSE)),"")</f>
        <v>Kazakhstan</v>
      </c>
      <c r="F33" s="108" t="s">
        <v>580</v>
      </c>
      <c r="G33" s="109" t="s">
        <v>520</v>
      </c>
      <c r="H33" s="110">
        <v>2</v>
      </c>
      <c r="I33" s="108" t="s">
        <v>576</v>
      </c>
      <c r="J33" s="108" t="s">
        <v>343</v>
      </c>
      <c r="K33" s="110">
        <v>7</v>
      </c>
      <c r="L33" s="111">
        <f>IF(O33="Error",0,ROUND(ROUND(H33,0)*(VLOOKUP(J33,Rates!$J$5:$K$10,2,FALSE)),2))</f>
        <v>1640</v>
      </c>
      <c r="M33" s="112">
        <f t="shared" si="0"/>
        <v>1680</v>
      </c>
      <c r="N33" s="113">
        <f t="shared" si="2"/>
        <v>3320</v>
      </c>
      <c r="O33" s="102" t="str">
        <f>IF(OR(COUNTIF(Rates!$J$13:$J$17,B33)=0,COUNTIF(Overview!$B$30:$B$84,C33)=0,D33="",E33="",F33="",COUNTIF(Rates!$Y$4:$Z$4,G33)=0,ISNUMBER(H33)=FALSE,I33="",COUNTIF(Rates!$J$5:$J$10,J33)=0,ISNUMBER(K33)=FALSE,IF(OR(IF(AND(G33="Staff",K33&gt;365),1,0)=1,IF(AND(G33="Student",K33&gt;60),1,0)=1),1,0)=1,IF(ISNUMBER(H33)=TRUE,H33=INT(H33*1)/1=FALSE),IF(ISNUMBER(K33)=TRUE,K33=INT(K33*1)/1=FALSE)),"Error","")</f>
        <v/>
      </c>
    </row>
    <row r="34" spans="2:15" s="103" customFormat="1" x14ac:dyDescent="0.25">
      <c r="B34" s="60" t="s">
        <v>367</v>
      </c>
      <c r="C34" s="94" t="s">
        <v>127</v>
      </c>
      <c r="D34" s="104" t="str">
        <f>IFERROR(IF(VLOOKUP(C34,Overview!$B$30:$E$84,2,FALSE)=0,"",VLOOKUP(C34,Overview!$B$30:$E$84,2,FALSE)),"")</f>
        <v>Kazakhstan National Technical University</v>
      </c>
      <c r="E34" s="104" t="str">
        <f>IFERROR(IF(OR(VLOOKUP(C34,Overview!$B$30:$E$84,4,FALSE)="Country not found",VLOOKUP(C34,Overview!$B$30:$E$84,3,FALSE)=0),"",VLOOKUP(C34,Overview!$B$30:$E$84,3,FALSE)),"")</f>
        <v>Kazakhstan</v>
      </c>
      <c r="F34" s="108" t="s">
        <v>580</v>
      </c>
      <c r="G34" s="109" t="s">
        <v>520</v>
      </c>
      <c r="H34" s="110">
        <v>2</v>
      </c>
      <c r="I34" s="108" t="s">
        <v>576</v>
      </c>
      <c r="J34" s="108" t="s">
        <v>343</v>
      </c>
      <c r="K34" s="110">
        <v>7</v>
      </c>
      <c r="L34" s="111">
        <f>IF(O34="Error",0,ROUND(ROUND(H34,0)*(VLOOKUP(J34,Rates!$J$5:$K$10,2,FALSE)),2))</f>
        <v>1640</v>
      </c>
      <c r="M34" s="112">
        <f t="shared" si="0"/>
        <v>1680</v>
      </c>
      <c r="N34" s="113">
        <f t="shared" si="2"/>
        <v>3320</v>
      </c>
      <c r="O34" s="102" t="str">
        <f>IF(OR(COUNTIF(Rates!$J$13:$J$17,B34)=0,COUNTIF(Overview!$B$30:$B$84,C34)=0,D34="",E34="",F34="",COUNTIF(Rates!$Y$4:$Z$4,G34)=0,ISNUMBER(H34)=FALSE,I34="",COUNTIF(Rates!$J$5:$J$10,J34)=0,ISNUMBER(K34)=FALSE,IF(OR(IF(AND(G34="Staff",K34&gt;365),1,0)=1,IF(AND(G34="Student",K34&gt;60),1,0)=1),1,0)=1,IF(ISNUMBER(H34)=TRUE,H34=INT(H34*1)/1=FALSE),IF(ISNUMBER(K34)=TRUE,K34=INT(K34*1)/1=FALSE)),"Error","")</f>
        <v/>
      </c>
    </row>
    <row r="35" spans="2:15" s="103" customFormat="1" x14ac:dyDescent="0.25">
      <c r="B35" s="60" t="s">
        <v>367</v>
      </c>
      <c r="C35" s="94" t="s">
        <v>128</v>
      </c>
      <c r="D35" s="104" t="str">
        <f>IFERROR(IF(VLOOKUP(C35,Overview!$B$30:$E$84,2,FALSE)=0,"",VLOOKUP(C35,Overview!$B$30:$E$84,2,FALSE)),"")</f>
        <v xml:space="preserve">Zhezkazgan Baikonurov University </v>
      </c>
      <c r="E35" s="104" t="str">
        <f>IFERROR(IF(OR(VLOOKUP(C35,Overview!$B$30:$E$84,4,FALSE)="Country not found",VLOOKUP(C35,Overview!$B$30:$E$84,3,FALSE)=0),"",VLOOKUP(C35,Overview!$B$30:$E$84,3,FALSE)),"")</f>
        <v>Kazakhstan</v>
      </c>
      <c r="F35" s="108" t="s">
        <v>600</v>
      </c>
      <c r="G35" s="109" t="s">
        <v>520</v>
      </c>
      <c r="H35" s="110">
        <v>2</v>
      </c>
      <c r="I35" s="108" t="s">
        <v>576</v>
      </c>
      <c r="J35" s="108" t="s">
        <v>343</v>
      </c>
      <c r="K35" s="110">
        <v>7</v>
      </c>
      <c r="L35" s="111">
        <f>IF(O35="Error",0,ROUND(ROUND(H35,0)*(VLOOKUP(J35,Rates!$J$5:$K$10,2,FALSE)),2))</f>
        <v>1640</v>
      </c>
      <c r="M35" s="112">
        <f t="shared" si="0"/>
        <v>1680</v>
      </c>
      <c r="N35" s="113">
        <f t="shared" si="2"/>
        <v>3320</v>
      </c>
      <c r="O35" s="102" t="str">
        <f>IF(OR(COUNTIF(Rates!$J$13:$J$17,B35)=0,COUNTIF(Overview!$B$30:$B$84,C35)=0,D35="",E35="",F35="",COUNTIF(Rates!$Y$4:$Z$4,G35)=0,ISNUMBER(H35)=FALSE,I35="",COUNTIF(Rates!$J$5:$J$10,J35)=0,ISNUMBER(K35)=FALSE,IF(OR(IF(AND(G35="Staff",K35&gt;365),1,0)=1,IF(AND(G35="Student",K35&gt;60),1,0)=1),1,0)=1,IF(ISNUMBER(H35)=TRUE,H35=INT(H35*1)/1=FALSE),IF(ISNUMBER(K35)=TRUE,K35=INT(K35*1)/1=FALSE)),"Error","")</f>
        <v/>
      </c>
    </row>
    <row r="36" spans="2:15" s="103" customFormat="1" x14ac:dyDescent="0.25">
      <c r="B36" s="60" t="s">
        <v>367</v>
      </c>
      <c r="C36" s="94" t="s">
        <v>129</v>
      </c>
      <c r="D36" s="104" t="str">
        <f>IFERROR(IF(VLOOKUP(C36,Overview!$B$30:$E$84,2,FALSE)=0,"",VLOOKUP(C36,Overview!$B$30:$E$84,2,FALSE)),"")</f>
        <v xml:space="preserve">Altynsarin National Academy of Education </v>
      </c>
      <c r="E36" s="104" t="str">
        <f>IFERROR(IF(OR(VLOOKUP(C36,Overview!$B$30:$E$84,4,FALSE)="Country not found",VLOOKUP(C36,Overview!$B$30:$E$84,3,FALSE)=0),"",VLOOKUP(C36,Overview!$B$30:$E$84,3,FALSE)),"")</f>
        <v>Kazakhstan</v>
      </c>
      <c r="F36" s="108" t="s">
        <v>586</v>
      </c>
      <c r="G36" s="109" t="s">
        <v>520</v>
      </c>
      <c r="H36" s="110">
        <v>2</v>
      </c>
      <c r="I36" s="108" t="s">
        <v>576</v>
      </c>
      <c r="J36" s="108" t="s">
        <v>343</v>
      </c>
      <c r="K36" s="110">
        <v>7</v>
      </c>
      <c r="L36" s="111">
        <f>IF(O36="Error",0,ROUND(ROUND(H36,0)*(VLOOKUP(J36,Rates!$J$5:$K$10,2,FALSE)),2))</f>
        <v>1640</v>
      </c>
      <c r="M36" s="112">
        <f t="shared" si="0"/>
        <v>1680</v>
      </c>
      <c r="N36" s="113">
        <f t="shared" si="2"/>
        <v>3320</v>
      </c>
      <c r="O36" s="102" t="str">
        <f>IF(OR(COUNTIF(Rates!$J$13:$J$17,B36)=0,COUNTIF(Overview!$B$30:$B$84,C36)=0,D36="",E36="",F36="",COUNTIF(Rates!$Y$4:$Z$4,G36)=0,ISNUMBER(H36)=FALSE,I36="",COUNTIF(Rates!$J$5:$J$10,J36)=0,ISNUMBER(K36)=FALSE,IF(OR(IF(AND(G36="Staff",K36&gt;365),1,0)=1,IF(AND(G36="Student",K36&gt;60),1,0)=1),1,0)=1,IF(ISNUMBER(H36)=TRUE,H36=INT(H36*1)/1=FALSE),IF(ISNUMBER(K36)=TRUE,K36=INT(K36*1)/1=FALSE)),"Error","")</f>
        <v/>
      </c>
    </row>
    <row r="37" spans="2:15" s="103" customFormat="1" x14ac:dyDescent="0.25">
      <c r="B37" s="60" t="s">
        <v>367</v>
      </c>
      <c r="C37" s="94" t="s">
        <v>130</v>
      </c>
      <c r="D37" s="104" t="str">
        <f>IFERROR(IF(VLOOKUP(C37,Overview!$B$30:$E$84,2,FALSE)=0,"",VLOOKUP(C37,Overview!$B$30:$E$84,2,FALSE)),"")</f>
        <v>Ministry of Education and Science of Kazakhstan</v>
      </c>
      <c r="E37" s="104" t="str">
        <f>IFERROR(IF(OR(VLOOKUP(C37,Overview!$B$30:$E$84,4,FALSE)="Country not found",VLOOKUP(C37,Overview!$B$30:$E$84,3,FALSE)=0),"",VLOOKUP(C37,Overview!$B$30:$E$84,3,FALSE)),"")</f>
        <v>Kazakhstan</v>
      </c>
      <c r="F37" s="108" t="s">
        <v>586</v>
      </c>
      <c r="G37" s="109" t="s">
        <v>520</v>
      </c>
      <c r="H37" s="110">
        <v>2</v>
      </c>
      <c r="I37" s="108" t="s">
        <v>576</v>
      </c>
      <c r="J37" s="108" t="s">
        <v>343</v>
      </c>
      <c r="K37" s="110">
        <v>7</v>
      </c>
      <c r="L37" s="111">
        <f>IF(O37="Error",0,ROUND(ROUND(H37,0)*(VLOOKUP(J37,Rates!$J$5:$K$10,2,FALSE)),2))</f>
        <v>1640</v>
      </c>
      <c r="M37" s="112">
        <f t="shared" ref="M37" si="3">IF(O37="Error",0,ROUND(ROUND(H37,0)*INDEX(CostRates,MATCH(ROUND(K37,0),CostDays,0),MATCH(G37,CostCat,0)),2))</f>
        <v>1680</v>
      </c>
      <c r="N37" s="113">
        <f t="shared" si="2"/>
        <v>3320</v>
      </c>
      <c r="O37" s="102" t="str">
        <f>IF(OR(COUNTIF(Rates!$J$13:$J$17,B37)=0,COUNTIF(Overview!$B$30:$B$84,C37)=0,D37="",E37="",F37="",COUNTIF(Rates!$Y$4:$Z$4,G37)=0,ISNUMBER(H37)=FALSE,I37="",COUNTIF(Rates!$J$5:$J$10,J37)=0,ISNUMBER(K37)=FALSE,IF(OR(IF(AND(G37="Staff",K37&gt;365),1,0)=1,IF(AND(G37="Student",K37&gt;60),1,0)=1),1,0)=1,IF(ISNUMBER(H37)=TRUE,H37=INT(H37*1)/1=FALSE),IF(ISNUMBER(K37)=TRUE,K37=INT(K37*1)/1=FALSE)),"Error","")</f>
        <v/>
      </c>
    </row>
    <row r="38" spans="2:15" s="103" customFormat="1" x14ac:dyDescent="0.25">
      <c r="B38" s="60" t="s">
        <v>365</v>
      </c>
      <c r="C38" s="94" t="s">
        <v>15</v>
      </c>
      <c r="D38" s="104" t="str">
        <f>IFERROR(IF(VLOOKUP(C38,Overview!$B$30:$E$84,2,FALSE)=0,"",VLOOKUP(C38,Overview!$B$30:$E$84,2,FALSE)),"")</f>
        <v>University of Patras</v>
      </c>
      <c r="E38" s="104" t="str">
        <f>IFERROR(IF(OR(VLOOKUP(C38,Overview!$B$30:$E$84,4,FALSE)="Country not found",VLOOKUP(C38,Overview!$B$30:$E$84,3,FALSE)=0),"",VLOOKUP(C38,Overview!$B$30:$E$84,3,FALSE)),"")</f>
        <v>Greece</v>
      </c>
      <c r="F38" s="108" t="s">
        <v>576</v>
      </c>
      <c r="G38" s="109" t="s">
        <v>520</v>
      </c>
      <c r="H38" s="110">
        <v>2</v>
      </c>
      <c r="I38" s="108" t="s">
        <v>611</v>
      </c>
      <c r="J38" s="108" t="s">
        <v>338</v>
      </c>
      <c r="K38" s="110">
        <v>7</v>
      </c>
      <c r="L38" s="111">
        <f>IF(O38="Error",0,ROUND(ROUND(H38,0)*(VLOOKUP(J38,Rates!$J$5:$K$10,2,FALSE)),2))</f>
        <v>550</v>
      </c>
      <c r="M38" s="112">
        <f t="shared" si="0"/>
        <v>1680</v>
      </c>
      <c r="N38" s="113">
        <f t="shared" si="2"/>
        <v>2230</v>
      </c>
      <c r="O38" s="102" t="str">
        <f>IF(OR(COUNTIF(Rates!$J$13:$J$17,B38)=0,COUNTIF(Overview!$B$30:$B$84,C38)=0,D38="",E38="",F38="",COUNTIF(Rates!$Y$4:$Z$4,G38)=0,ISNUMBER(H38)=FALSE,I38="",COUNTIF(Rates!$J$5:$J$10,J38)=0,ISNUMBER(K38)=FALSE,IF(OR(IF(AND(G38="Staff",K38&gt;365),1,0)=1,IF(AND(G38="Student",K38&gt;60),1,0)=1),1,0)=1,IF(ISNUMBER(H38)=TRUE,H38=INT(H38*1)/1=FALSE),IF(ISNUMBER(K38)=TRUE,K38=INT(K38*1)/1=FALSE)),"Error","")</f>
        <v/>
      </c>
    </row>
    <row r="39" spans="2:15" s="103" customFormat="1" x14ac:dyDescent="0.25">
      <c r="B39" s="60" t="s">
        <v>365</v>
      </c>
      <c r="C39" s="94" t="s">
        <v>19</v>
      </c>
      <c r="D39" s="104" t="str">
        <f>IFERROR(IF(VLOOKUP(C39,Overview!$B$30:$E$84,2,FALSE)=0,"",VLOOKUP(C39,Overview!$B$30:$E$84,2,FALSE)),"")</f>
        <v>The Network University</v>
      </c>
      <c r="E39" s="104" t="str">
        <f>IFERROR(IF(OR(VLOOKUP(C39,Overview!$B$30:$E$84,4,FALSE)="Country not found",VLOOKUP(C39,Overview!$B$30:$E$84,3,FALSE)=0),"",VLOOKUP(C39,Overview!$B$30:$E$84,3,FALSE)),"")</f>
        <v>Netherlands</v>
      </c>
      <c r="F39" s="108" t="s">
        <v>587</v>
      </c>
      <c r="G39" s="109" t="s">
        <v>520</v>
      </c>
      <c r="H39" s="110">
        <v>2</v>
      </c>
      <c r="I39" s="108" t="s">
        <v>611</v>
      </c>
      <c r="J39" s="108" t="s">
        <v>338</v>
      </c>
      <c r="K39" s="110">
        <v>7</v>
      </c>
      <c r="L39" s="111">
        <f>IF(O39="Error",0,ROUND(ROUND(H39,0)*(VLOOKUP(J39,Rates!$J$5:$K$10,2,FALSE)),2))</f>
        <v>550</v>
      </c>
      <c r="M39" s="112">
        <f t="shared" si="0"/>
        <v>1680</v>
      </c>
      <c r="N39" s="113">
        <f t="shared" si="2"/>
        <v>2230</v>
      </c>
      <c r="O39" s="102" t="str">
        <f>IF(OR(COUNTIF(Rates!$J$13:$J$17,B39)=0,COUNTIF(Overview!$B$30:$B$84,C39)=0,D39="",E39="",F39="",COUNTIF(Rates!$Y$4:$Z$4,G39)=0,ISNUMBER(H39)=FALSE,I39="",COUNTIF(Rates!$J$5:$J$10,J39)=0,ISNUMBER(K39)=FALSE,IF(OR(IF(AND(G39="Staff",K39&gt;365),1,0)=1,IF(AND(G39="Student",K39&gt;60),1,0)=1),1,0)=1,IF(ISNUMBER(H39)=TRUE,H39=INT(H39*1)/1=FALSE),IF(ISNUMBER(K39)=TRUE,K39=INT(K39*1)/1=FALSE)),"Error","")</f>
        <v/>
      </c>
    </row>
    <row r="40" spans="2:15" s="103" customFormat="1" x14ac:dyDescent="0.25">
      <c r="B40" s="60" t="s">
        <v>365</v>
      </c>
      <c r="C40" s="94" t="s">
        <v>21</v>
      </c>
      <c r="D40" s="104" t="str">
        <f>IFERROR(IF(VLOOKUP(C40,Overview!$B$30:$E$84,2,FALSE)=0,"",VLOOKUP(C40,Overview!$B$30:$E$84,2,FALSE)),"")</f>
        <v>National University of Uzbekistan</v>
      </c>
      <c r="E40" s="104" t="str">
        <f>IFERROR(IF(OR(VLOOKUP(C40,Overview!$B$30:$E$84,4,FALSE)="Country not found",VLOOKUP(C40,Overview!$B$30:$E$84,3,FALSE)=0),"",VLOOKUP(C40,Overview!$B$30:$E$84,3,FALSE)),"")</f>
        <v>Uzbekistan</v>
      </c>
      <c r="F40" s="108" t="s">
        <v>579</v>
      </c>
      <c r="G40" s="109" t="s">
        <v>520</v>
      </c>
      <c r="H40" s="110">
        <v>3</v>
      </c>
      <c r="I40" s="108" t="s">
        <v>611</v>
      </c>
      <c r="J40" s="108" t="s">
        <v>343</v>
      </c>
      <c r="K40" s="110">
        <v>7</v>
      </c>
      <c r="L40" s="111">
        <f>IF(O40="Error",0,ROUND(ROUND(H40,0)*(VLOOKUP(J40,Rates!$J$5:$K$10,2,FALSE)),2))</f>
        <v>2460</v>
      </c>
      <c r="M40" s="112">
        <f t="shared" si="0"/>
        <v>2520</v>
      </c>
      <c r="N40" s="113">
        <f t="shared" si="2"/>
        <v>4980</v>
      </c>
      <c r="O40" s="102" t="str">
        <f>IF(OR(COUNTIF(Rates!$J$13:$J$17,B40)=0,COUNTIF(Overview!$B$30:$B$84,C40)=0,D40="",E40="",F40="",COUNTIF(Rates!$Y$4:$Z$4,G40)=0,ISNUMBER(H40)=FALSE,I40="",COUNTIF(Rates!$J$5:$J$10,J40)=0,ISNUMBER(K40)=FALSE,IF(OR(IF(AND(G40="Staff",K40&gt;365),1,0)=1,IF(AND(G40="Student",K40&gt;60),1,0)=1),1,0)=1,IF(ISNUMBER(H40)=TRUE,H40=INT(H40*1)/1=FALSE),IF(ISNUMBER(K40)=TRUE,K40=INT(K40*1)/1=FALSE)),"Error","")</f>
        <v/>
      </c>
    </row>
    <row r="41" spans="2:15" s="103" customFormat="1" x14ac:dyDescent="0.25">
      <c r="B41" s="60" t="s">
        <v>365</v>
      </c>
      <c r="C41" s="94" t="s">
        <v>22</v>
      </c>
      <c r="D41" s="104" t="str">
        <f>IFERROR(IF(VLOOKUP(C41,Overview!$B$30:$E$84,2,FALSE)=0,"",VLOOKUP(C41,Overview!$B$30:$E$84,2,FALSE)),"")</f>
        <v>Enterprise “Business Drilling”</v>
      </c>
      <c r="E41" s="104" t="str">
        <f>IFERROR(IF(OR(VLOOKUP(C41,Overview!$B$30:$E$84,4,FALSE)="Country not found",VLOOKUP(C41,Overview!$B$30:$E$84,3,FALSE)=0),"",VLOOKUP(C41,Overview!$B$30:$E$84,3,FALSE)),"")</f>
        <v>Uzbekistan</v>
      </c>
      <c r="F41" s="108" t="s">
        <v>579</v>
      </c>
      <c r="G41" s="109" t="s">
        <v>520</v>
      </c>
      <c r="H41" s="110">
        <v>1</v>
      </c>
      <c r="I41" s="108" t="s">
        <v>611</v>
      </c>
      <c r="J41" s="108" t="s">
        <v>343</v>
      </c>
      <c r="K41" s="110">
        <v>7</v>
      </c>
      <c r="L41" s="111">
        <f>IF(O41="Error",0,ROUND(ROUND(H41,0)*(VLOOKUP(J41,Rates!$J$5:$K$10,2,FALSE)),2))</f>
        <v>820</v>
      </c>
      <c r="M41" s="112">
        <f t="shared" si="0"/>
        <v>840</v>
      </c>
      <c r="N41" s="113">
        <f t="shared" si="2"/>
        <v>1660</v>
      </c>
      <c r="O41" s="102" t="str">
        <f>IF(OR(COUNTIF(Rates!$J$13:$J$17,B41)=0,COUNTIF(Overview!$B$30:$B$84,C41)=0,D41="",E41="",F41="",COUNTIF(Rates!$Y$4:$Z$4,G41)=0,ISNUMBER(H41)=FALSE,I41="",COUNTIF(Rates!$J$5:$J$10,J41)=0,ISNUMBER(K41)=FALSE,IF(OR(IF(AND(G41="Staff",K41&gt;365),1,0)=1,IF(AND(G41="Student",K41&gt;60),1,0)=1),1,0)=1,IF(ISNUMBER(H41)=TRUE,H41=INT(H41*1)/1=FALSE),IF(ISNUMBER(K41)=TRUE,K41=INT(K41*1)/1=FALSE)),"Error","")</f>
        <v/>
      </c>
    </row>
    <row r="42" spans="2:15" s="103" customFormat="1" x14ac:dyDescent="0.25">
      <c r="B42" s="60" t="s">
        <v>365</v>
      </c>
      <c r="C42" s="94" t="s">
        <v>26</v>
      </c>
      <c r="D42" s="104" t="str">
        <f>IFERROR(IF(VLOOKUP(C42,Overview!$B$30:$E$84,2,FALSE)=0,"",VLOOKUP(C42,Overview!$B$30:$E$84,2,FALSE)),"")</f>
        <v>Osh Technological University</v>
      </c>
      <c r="E42" s="104" t="str">
        <f>IFERROR(IF(OR(VLOOKUP(C42,Overview!$B$30:$E$84,4,FALSE)="Country not found",VLOOKUP(C42,Overview!$B$30:$E$84,3,FALSE)=0),"",VLOOKUP(C42,Overview!$B$30:$E$84,3,FALSE)),"")</f>
        <v>Kyrgyzstan</v>
      </c>
      <c r="F42" s="108" t="s">
        <v>583</v>
      </c>
      <c r="G42" s="109" t="s">
        <v>520</v>
      </c>
      <c r="H42" s="110">
        <v>3</v>
      </c>
      <c r="I42" s="108" t="s">
        <v>611</v>
      </c>
      <c r="J42" s="108" t="s">
        <v>343</v>
      </c>
      <c r="K42" s="110">
        <v>7</v>
      </c>
      <c r="L42" s="111">
        <f>IF(O42="Error",0,ROUND(ROUND(H42,0)*(VLOOKUP(J42,Rates!$J$5:$K$10,2,FALSE)),2))</f>
        <v>2460</v>
      </c>
      <c r="M42" s="112">
        <f t="shared" si="0"/>
        <v>2520</v>
      </c>
      <c r="N42" s="113">
        <f t="shared" si="2"/>
        <v>4980</v>
      </c>
      <c r="O42" s="102" t="str">
        <f>IF(OR(COUNTIF(Rates!$J$13:$J$17,B42)=0,COUNTIF(Overview!$B$30:$B$84,C42)=0,D42="",E42="",F42="",COUNTIF(Rates!$Y$4:$Z$4,G42)=0,ISNUMBER(H42)=FALSE,I42="",COUNTIF(Rates!$J$5:$J$10,J42)=0,ISNUMBER(K42)=FALSE,IF(OR(IF(AND(G42="Staff",K42&gt;365),1,0)=1,IF(AND(G42="Student",K42&gt;60),1,0)=1),1,0)=1,IF(ISNUMBER(H42)=TRUE,H42=INT(H42*1)/1=FALSE),IF(ISNUMBER(K42)=TRUE,K42=INT(K42*1)/1=FALSE)),"Error","")</f>
        <v/>
      </c>
    </row>
    <row r="43" spans="2:15" s="103" customFormat="1" x14ac:dyDescent="0.25">
      <c r="B43" s="60" t="s">
        <v>365</v>
      </c>
      <c r="C43" s="94" t="s">
        <v>346</v>
      </c>
      <c r="D43" s="104" t="str">
        <f>IFERROR(IF(VLOOKUP(C43,Overview!$B$30:$E$84,2,FALSE)=0,"",VLOOKUP(C43,Overview!$B$30:$E$84,2,FALSE)),"")</f>
        <v>Bishkek Business Club</v>
      </c>
      <c r="E43" s="104" t="str">
        <f>IFERROR(IF(OR(VLOOKUP(C43,Overview!$B$30:$E$84,4,FALSE)="Country not found",VLOOKUP(C43,Overview!$B$30:$E$84,3,FALSE)=0),"",VLOOKUP(C43,Overview!$B$30:$E$84,3,FALSE)),"")</f>
        <v>Kyrgyzstan</v>
      </c>
      <c r="F43" s="108" t="s">
        <v>584</v>
      </c>
      <c r="G43" s="109" t="s">
        <v>520</v>
      </c>
      <c r="H43" s="110">
        <v>1</v>
      </c>
      <c r="I43" s="108" t="s">
        <v>611</v>
      </c>
      <c r="J43" s="108" t="s">
        <v>343</v>
      </c>
      <c r="K43" s="110">
        <v>7</v>
      </c>
      <c r="L43" s="111">
        <f>IF(O43="Error",0,ROUND(ROUND(H43,0)*(VLOOKUP(J43,Rates!$J$5:$K$10,2,FALSE)),2))</f>
        <v>820</v>
      </c>
      <c r="M43" s="112">
        <f t="shared" si="0"/>
        <v>840</v>
      </c>
      <c r="N43" s="113">
        <f t="shared" si="2"/>
        <v>1660</v>
      </c>
      <c r="O43" s="102" t="str">
        <f>IF(OR(COUNTIF(Rates!$J$13:$J$17,B43)=0,COUNTIF(Overview!$B$30:$B$84,C43)=0,D43="",E43="",F43="",COUNTIF(Rates!$Y$4:$Z$4,G43)=0,ISNUMBER(H43)=FALSE,I43="",COUNTIF(Rates!$J$5:$J$10,J43)=0,ISNUMBER(K43)=FALSE,IF(OR(IF(AND(G43="Staff",K43&gt;365),1,0)=1,IF(AND(G43="Student",K43&gt;60),1,0)=1),1,0)=1,IF(ISNUMBER(H43)=TRUE,H43=INT(H43*1)/1=FALSE),IF(ISNUMBER(K43)=TRUE,K43=INT(K43*1)/1=FALSE)),"Error","")</f>
        <v/>
      </c>
    </row>
    <row r="44" spans="2:15" s="103" customFormat="1" x14ac:dyDescent="0.25">
      <c r="B44" s="60" t="s">
        <v>365</v>
      </c>
      <c r="C44" s="94" t="s">
        <v>30</v>
      </c>
      <c r="D44" s="104" t="str">
        <f>IFERROR(IF(VLOOKUP(C44,Overview!$B$30:$E$84,2,FALSE)=0,"",VLOOKUP(C44,Overview!$B$30:$E$84,2,FALSE)),"")</f>
        <v>Tajik Pedagogical University</v>
      </c>
      <c r="E44" s="104" t="str">
        <f>IFERROR(IF(OR(VLOOKUP(C44,Overview!$B$30:$E$84,4,FALSE)="Country not found",VLOOKUP(C44,Overview!$B$30:$E$84,3,FALSE)=0),"",VLOOKUP(C44,Overview!$B$30:$E$84,3,FALSE)),"")</f>
        <v>Tajikistan</v>
      </c>
      <c r="F44" s="108" t="s">
        <v>585</v>
      </c>
      <c r="G44" s="109" t="s">
        <v>520</v>
      </c>
      <c r="H44" s="110">
        <v>3</v>
      </c>
      <c r="I44" s="108" t="s">
        <v>611</v>
      </c>
      <c r="J44" s="108" t="s">
        <v>343</v>
      </c>
      <c r="K44" s="110">
        <v>7</v>
      </c>
      <c r="L44" s="111">
        <f>IF(O44="Error",0,ROUND(ROUND(H44,0)*(VLOOKUP(J44,Rates!$J$5:$K$10,2,FALSE)),2))</f>
        <v>2460</v>
      </c>
      <c r="M44" s="112">
        <f t="shared" si="0"/>
        <v>2520</v>
      </c>
      <c r="N44" s="113">
        <f t="shared" si="2"/>
        <v>4980</v>
      </c>
      <c r="O44" s="102" t="str">
        <f>IF(OR(COUNTIF(Rates!$J$13:$J$17,B44)=0,COUNTIF(Overview!$B$30:$B$84,C44)=0,D44="",E44="",F44="",COUNTIF(Rates!$Y$4:$Z$4,G44)=0,ISNUMBER(H44)=FALSE,I44="",COUNTIF(Rates!$J$5:$J$10,J44)=0,ISNUMBER(K44)=FALSE,IF(OR(IF(AND(G44="Staff",K44&gt;365),1,0)=1,IF(AND(G44="Student",K44&gt;60),1,0)=1),1,0)=1,IF(ISNUMBER(H44)=TRUE,H44=INT(H44*1)/1=FALSE),IF(ISNUMBER(K44)=TRUE,K44=INT(K44*1)/1=FALSE)),"Error","")</f>
        <v/>
      </c>
    </row>
    <row r="45" spans="2:15" s="103" customFormat="1" x14ac:dyDescent="0.25">
      <c r="B45" s="60" t="s">
        <v>365</v>
      </c>
      <c r="C45" s="94" t="s">
        <v>31</v>
      </c>
      <c r="D45" s="104" t="str">
        <f>IFERROR(IF(VLOOKUP(C45,Overview!$B$30:$E$84,2,FALSE)=0,"",VLOOKUP(C45,Overview!$B$30:$E$84,2,FALSE)),"")</f>
        <v>Center of development and support of VET education</v>
      </c>
      <c r="E45" s="104" t="str">
        <f>IFERROR(IF(OR(VLOOKUP(C45,Overview!$B$30:$E$84,4,FALSE)="Country not found",VLOOKUP(C45,Overview!$B$30:$E$84,3,FALSE)=0),"",VLOOKUP(C45,Overview!$B$30:$E$84,3,FALSE)),"")</f>
        <v>Tajikistan</v>
      </c>
      <c r="F45" s="108" t="s">
        <v>582</v>
      </c>
      <c r="G45" s="109" t="s">
        <v>520</v>
      </c>
      <c r="H45" s="110">
        <v>1</v>
      </c>
      <c r="I45" s="108" t="s">
        <v>611</v>
      </c>
      <c r="J45" s="108" t="s">
        <v>343</v>
      </c>
      <c r="K45" s="110">
        <v>7</v>
      </c>
      <c r="L45" s="111">
        <f>IF(O45="Error",0,ROUND(ROUND(H45,0)*(VLOOKUP(J45,Rates!$J$5:$K$10,2,FALSE)),2))</f>
        <v>820</v>
      </c>
      <c r="M45" s="112">
        <f t="shared" si="0"/>
        <v>840</v>
      </c>
      <c r="N45" s="113">
        <f t="shared" si="2"/>
        <v>1660</v>
      </c>
      <c r="O45" s="102" t="str">
        <f>IF(OR(COUNTIF(Rates!$J$13:$J$17,B45)=0,COUNTIF(Overview!$B$30:$B$84,C45)=0,D45="",E45="",F45="",COUNTIF(Rates!$Y$4:$Z$4,G45)=0,ISNUMBER(H45)=FALSE,I45="",COUNTIF(Rates!$J$5:$J$10,J45)=0,ISNUMBER(K45)=FALSE,IF(OR(IF(AND(G45="Staff",K45&gt;365),1,0)=1,IF(AND(G45="Student",K45&gt;60),1,0)=1),1,0)=1,IF(ISNUMBER(H45)=TRUE,H45=INT(H45*1)/1=FALSE),IF(ISNUMBER(K45)=TRUE,K45=INT(K45*1)/1=FALSE)),"Error","")</f>
        <v/>
      </c>
    </row>
    <row r="46" spans="2:15" s="103" customFormat="1" x14ac:dyDescent="0.25">
      <c r="B46" s="60" t="s">
        <v>365</v>
      </c>
      <c r="C46" s="94" t="s">
        <v>127</v>
      </c>
      <c r="D46" s="104" t="str">
        <f>IFERROR(IF(VLOOKUP(C46,Overview!$B$30:$E$84,2,FALSE)=0,"",VLOOKUP(C46,Overview!$B$30:$E$84,2,FALSE)),"")</f>
        <v>Kazakhstan National Technical University</v>
      </c>
      <c r="E46" s="104" t="str">
        <f>IFERROR(IF(OR(VLOOKUP(C46,Overview!$B$30:$E$84,4,FALSE)="Country not found",VLOOKUP(C46,Overview!$B$30:$E$84,3,FALSE)=0),"",VLOOKUP(C46,Overview!$B$30:$E$84,3,FALSE)),"")</f>
        <v>Kazakhstan</v>
      </c>
      <c r="F46" s="108" t="s">
        <v>580</v>
      </c>
      <c r="G46" s="109" t="s">
        <v>520</v>
      </c>
      <c r="H46" s="110">
        <v>3</v>
      </c>
      <c r="I46" s="108" t="s">
        <v>611</v>
      </c>
      <c r="J46" s="108" t="s">
        <v>343</v>
      </c>
      <c r="K46" s="110">
        <v>7</v>
      </c>
      <c r="L46" s="111">
        <f>IF(O46="Error",0,ROUND(ROUND(H46,0)*(VLOOKUP(J46,Rates!$J$5:$K$10,2,FALSE)),2))</f>
        <v>2460</v>
      </c>
      <c r="M46" s="112">
        <f t="shared" si="0"/>
        <v>2520</v>
      </c>
      <c r="N46" s="113">
        <f t="shared" si="2"/>
        <v>4980</v>
      </c>
      <c r="O46" s="102" t="str">
        <f>IF(OR(COUNTIF(Rates!$J$13:$J$17,B46)=0,COUNTIF(Overview!$B$30:$B$84,C46)=0,D46="",E46="",F46="",COUNTIF(Rates!$Y$4:$Z$4,G46)=0,ISNUMBER(H46)=FALSE,I46="",COUNTIF(Rates!$J$5:$J$10,J46)=0,ISNUMBER(K46)=FALSE,IF(OR(IF(AND(G46="Staff",K46&gt;365),1,0)=1,IF(AND(G46="Student",K46&gt;60),1,0)=1),1,0)=1,IF(ISNUMBER(H46)=TRUE,H46=INT(H46*1)/1=FALSE),IF(ISNUMBER(K46)=TRUE,K46=INT(K46*1)/1=FALSE)),"Error","")</f>
        <v/>
      </c>
    </row>
    <row r="47" spans="2:15" s="103" customFormat="1" x14ac:dyDescent="0.25">
      <c r="B47" s="60" t="s">
        <v>365</v>
      </c>
      <c r="C47" s="94" t="s">
        <v>128</v>
      </c>
      <c r="D47" s="104" t="str">
        <f>IFERROR(IF(VLOOKUP(C47,Overview!$B$30:$E$84,2,FALSE)=0,"",VLOOKUP(C47,Overview!$B$30:$E$84,2,FALSE)),"")</f>
        <v xml:space="preserve">Zhezkazgan Baikonurov University </v>
      </c>
      <c r="E47" s="104" t="str">
        <f>IFERROR(IF(OR(VLOOKUP(C47,Overview!$B$30:$E$84,4,FALSE)="Country not found",VLOOKUP(C47,Overview!$B$30:$E$84,3,FALSE)=0),"",VLOOKUP(C47,Overview!$B$30:$E$84,3,FALSE)),"")</f>
        <v>Kazakhstan</v>
      </c>
      <c r="F47" s="108" t="s">
        <v>600</v>
      </c>
      <c r="G47" s="109" t="s">
        <v>520</v>
      </c>
      <c r="H47" s="110">
        <v>3</v>
      </c>
      <c r="I47" s="108" t="s">
        <v>611</v>
      </c>
      <c r="J47" s="108" t="s">
        <v>343</v>
      </c>
      <c r="K47" s="110">
        <v>7</v>
      </c>
      <c r="L47" s="111">
        <f>IF(O47="Error",0,ROUND(ROUND(H47,0)*(VLOOKUP(J47,Rates!$J$5:$K$10,2,FALSE)),2))</f>
        <v>2460</v>
      </c>
      <c r="M47" s="112">
        <f t="shared" si="0"/>
        <v>2520</v>
      </c>
      <c r="N47" s="113">
        <f t="shared" si="2"/>
        <v>4980</v>
      </c>
      <c r="O47" s="102" t="str">
        <f>IF(OR(COUNTIF(Rates!$J$13:$J$17,B47)=0,COUNTIF(Overview!$B$30:$B$84,C47)=0,D47="",E47="",F47="",COUNTIF(Rates!$Y$4:$Z$4,G47)=0,ISNUMBER(H47)=FALSE,I47="",COUNTIF(Rates!$J$5:$J$10,J47)=0,ISNUMBER(K47)=FALSE,IF(OR(IF(AND(G47="Staff",K47&gt;365),1,0)=1,IF(AND(G47="Student",K47&gt;60),1,0)=1),1,0)=1,IF(ISNUMBER(H47)=TRUE,H47=INT(H47*1)/1=FALSE),IF(ISNUMBER(K47)=TRUE,K47=INT(K47*1)/1=FALSE)),"Error","")</f>
        <v/>
      </c>
    </row>
    <row r="48" spans="2:15" s="103" customFormat="1" x14ac:dyDescent="0.25">
      <c r="B48" s="60" t="s">
        <v>365</v>
      </c>
      <c r="C48" s="94" t="s">
        <v>129</v>
      </c>
      <c r="D48" s="104" t="str">
        <f>IFERROR(IF(VLOOKUP(C48,Overview!$B$30:$E$84,2,FALSE)=0,"",VLOOKUP(C48,Overview!$B$30:$E$84,2,FALSE)),"")</f>
        <v xml:space="preserve">Altynsarin National Academy of Education </v>
      </c>
      <c r="E48" s="104" t="str">
        <f>IFERROR(IF(OR(VLOOKUP(C48,Overview!$B$30:$E$84,4,FALSE)="Country not found",VLOOKUP(C48,Overview!$B$30:$E$84,3,FALSE)=0),"",VLOOKUP(C48,Overview!$B$30:$E$84,3,FALSE)),"")</f>
        <v>Kazakhstan</v>
      </c>
      <c r="F48" s="108" t="s">
        <v>586</v>
      </c>
      <c r="G48" s="109" t="s">
        <v>520</v>
      </c>
      <c r="H48" s="110">
        <v>1</v>
      </c>
      <c r="I48" s="108" t="s">
        <v>611</v>
      </c>
      <c r="J48" s="108" t="s">
        <v>343</v>
      </c>
      <c r="K48" s="110">
        <v>7</v>
      </c>
      <c r="L48" s="111">
        <f>IF(O48="Error",0,ROUND(ROUND(H48,0)*(VLOOKUP(J48,Rates!$J$5:$K$10,2,FALSE)),2))</f>
        <v>820</v>
      </c>
      <c r="M48" s="112">
        <f t="shared" ref="M48" si="4">IF(O48="Error",0,ROUND(ROUND(H48,0)*INDEX(CostRates,MATCH(ROUND(K48,0),CostDays,0),MATCH(G48,CostCat,0)),2))</f>
        <v>840</v>
      </c>
      <c r="N48" s="113">
        <f t="shared" si="2"/>
        <v>1660</v>
      </c>
      <c r="O48" s="102" t="str">
        <f>IF(OR(COUNTIF(Rates!$J$13:$J$17,B48)=0,COUNTIF(Overview!$B$30:$B$84,C48)=0,D48="",E48="",F48="",COUNTIF(Rates!$Y$4:$Z$4,G48)=0,ISNUMBER(H48)=FALSE,I48="",COUNTIF(Rates!$J$5:$J$10,J48)=0,ISNUMBER(K48)=FALSE,IF(OR(IF(AND(G48="Staff",K48&gt;365),1,0)=1,IF(AND(G48="Student",K48&gt;60),1,0)=1),1,0)=1,IF(ISNUMBER(H48)=TRUE,H48=INT(H48*1)/1=FALSE),IF(ISNUMBER(K48)=TRUE,K48=INT(K48*1)/1=FALSE)),"Error","")</f>
        <v/>
      </c>
    </row>
    <row r="49" spans="2:15" s="103" customFormat="1" x14ac:dyDescent="0.25">
      <c r="B49" s="60" t="s">
        <v>365</v>
      </c>
      <c r="C49" s="94" t="s">
        <v>20</v>
      </c>
      <c r="D49" s="104" t="str">
        <f>IFERROR(IF(VLOOKUP(C49,Overview!$B$30:$E$84,2,FALSE)=0,"",VLOOKUP(C49,Overview!$B$30:$E$84,2,FALSE)),"")</f>
        <v>Tashkent State Technical University</v>
      </c>
      <c r="E49" s="104" t="str">
        <f>IFERROR(IF(OR(VLOOKUP(C49,Overview!$B$30:$E$84,4,FALSE)="Country not found",VLOOKUP(C49,Overview!$B$30:$E$84,3,FALSE)=0),"",VLOOKUP(C49,Overview!$B$30:$E$84,3,FALSE)),"")</f>
        <v>Uzbekistan</v>
      </c>
      <c r="F49" s="108" t="s">
        <v>579</v>
      </c>
      <c r="G49" s="109" t="s">
        <v>520</v>
      </c>
      <c r="H49" s="110">
        <v>2</v>
      </c>
      <c r="I49" s="108" t="s">
        <v>597</v>
      </c>
      <c r="J49" s="108" t="s">
        <v>343</v>
      </c>
      <c r="K49" s="110">
        <v>7</v>
      </c>
      <c r="L49" s="111">
        <f>IF(O49="Error",0,ROUND(ROUND(H49,0)*(VLOOKUP(J49,Rates!$J$5:$K$10,2,FALSE)),2))</f>
        <v>1640</v>
      </c>
      <c r="M49" s="112">
        <f t="shared" si="0"/>
        <v>1680</v>
      </c>
      <c r="N49" s="113">
        <f t="shared" si="2"/>
        <v>3320</v>
      </c>
      <c r="O49" s="102" t="str">
        <f>IF(OR(COUNTIF(Rates!$J$13:$J$17,B49)=0,COUNTIF(Overview!$B$30:$B$84,C49)=0,D49="",E49="",F49="",COUNTIF(Rates!$Y$4:$Z$4,G49)=0,ISNUMBER(H49)=FALSE,I49="",COUNTIF(Rates!$J$5:$J$10,J49)=0,ISNUMBER(K49)=FALSE,IF(OR(IF(AND(G49="Staff",K49&gt;365),1,0)=1,IF(AND(G49="Student",K49&gt;60),1,0)=1),1,0)=1,IF(ISNUMBER(H49)=TRUE,H49=INT(H49*1)/1=FALSE),IF(ISNUMBER(K49)=TRUE,K49=INT(K49*1)/1=FALSE)),"Error","")</f>
        <v/>
      </c>
    </row>
    <row r="50" spans="2:15" s="103" customFormat="1" x14ac:dyDescent="0.25">
      <c r="B50" s="60" t="s">
        <v>365</v>
      </c>
      <c r="C50" s="94" t="s">
        <v>21</v>
      </c>
      <c r="D50" s="104" t="str">
        <f>IFERROR(IF(VLOOKUP(C50,Overview!$B$30:$E$84,2,FALSE)=0,"",VLOOKUP(C50,Overview!$B$30:$E$84,2,FALSE)),"")</f>
        <v>National University of Uzbekistan</v>
      </c>
      <c r="E50" s="104" t="str">
        <f>IFERROR(IF(OR(VLOOKUP(C50,Overview!$B$30:$E$84,4,FALSE)="Country not found",VLOOKUP(C50,Overview!$B$30:$E$84,3,FALSE)=0),"",VLOOKUP(C50,Overview!$B$30:$E$84,3,FALSE)),"")</f>
        <v>Uzbekistan</v>
      </c>
      <c r="F50" s="108" t="s">
        <v>579</v>
      </c>
      <c r="G50" s="109" t="s">
        <v>520</v>
      </c>
      <c r="H50" s="110">
        <v>2</v>
      </c>
      <c r="I50" s="108" t="s">
        <v>597</v>
      </c>
      <c r="J50" s="108" t="s">
        <v>343</v>
      </c>
      <c r="K50" s="110">
        <v>7</v>
      </c>
      <c r="L50" s="111">
        <f>IF(O50="Error",0,ROUND(ROUND(H50,0)*(VLOOKUP(J50,Rates!$J$5:$K$10,2,FALSE)),2))</f>
        <v>1640</v>
      </c>
      <c r="M50" s="112">
        <f t="shared" si="0"/>
        <v>1680</v>
      </c>
      <c r="N50" s="113">
        <f t="shared" si="2"/>
        <v>3320</v>
      </c>
      <c r="O50" s="102" t="str">
        <f>IF(OR(COUNTIF(Rates!$J$13:$J$17,B50)=0,COUNTIF(Overview!$B$30:$B$84,C50)=0,D50="",E50="",F50="",COUNTIF(Rates!$Y$4:$Z$4,G50)=0,ISNUMBER(H50)=FALSE,I50="",COUNTIF(Rates!$J$5:$J$10,J50)=0,ISNUMBER(K50)=FALSE,IF(OR(IF(AND(G50="Staff",K50&gt;365),1,0)=1,IF(AND(G50="Student",K50&gt;60),1,0)=1),1,0)=1,IF(ISNUMBER(H50)=TRUE,H50=INT(H50*1)/1=FALSE),IF(ISNUMBER(K50)=TRUE,K50=INT(K50*1)/1=FALSE)),"Error","")</f>
        <v/>
      </c>
    </row>
    <row r="51" spans="2:15" s="103" customFormat="1" x14ac:dyDescent="0.25">
      <c r="B51" s="60" t="s">
        <v>365</v>
      </c>
      <c r="C51" s="94" t="s">
        <v>24</v>
      </c>
      <c r="D51" s="104" t="str">
        <f>IFERROR(IF(VLOOKUP(C51,Overview!$B$30:$E$84,2,FALSE)=0,"",VLOOKUP(C51,Overview!$B$30:$E$84,2,FALSE)),"")</f>
        <v>Kyrgyz State Technical University</v>
      </c>
      <c r="E51" s="104" t="str">
        <f>IFERROR(IF(OR(VLOOKUP(C51,Overview!$B$30:$E$84,4,FALSE)="Country not found",VLOOKUP(C51,Overview!$B$30:$E$84,3,FALSE)=0),"",VLOOKUP(C51,Overview!$B$30:$E$84,3,FALSE)),"")</f>
        <v>Kyrgyzstan</v>
      </c>
      <c r="F51" s="108" t="s">
        <v>584</v>
      </c>
      <c r="G51" s="109" t="s">
        <v>520</v>
      </c>
      <c r="H51" s="110">
        <v>2</v>
      </c>
      <c r="I51" s="108" t="s">
        <v>597</v>
      </c>
      <c r="J51" s="108" t="s">
        <v>343</v>
      </c>
      <c r="K51" s="110">
        <v>7</v>
      </c>
      <c r="L51" s="111">
        <f>IF(O51="Error",0,ROUND(ROUND(H51,0)*(VLOOKUP(J51,Rates!$J$5:$K$10,2,FALSE)),2))</f>
        <v>1640</v>
      </c>
      <c r="M51" s="112">
        <f t="shared" si="0"/>
        <v>1680</v>
      </c>
      <c r="N51" s="113">
        <f t="shared" si="2"/>
        <v>3320</v>
      </c>
      <c r="O51" s="102" t="str">
        <f>IF(OR(COUNTIF(Rates!$J$13:$J$17,B51)=0,COUNTIF(Overview!$B$30:$B$84,C51)=0,D51="",E51="",F51="",COUNTIF(Rates!$Y$4:$Z$4,G51)=0,ISNUMBER(H51)=FALSE,I51="",COUNTIF(Rates!$J$5:$J$10,J51)=0,ISNUMBER(K51)=FALSE,IF(OR(IF(AND(G51="Staff",K51&gt;365),1,0)=1,IF(AND(G51="Student",K51&gt;60),1,0)=1),1,0)=1,IF(ISNUMBER(H51)=TRUE,H51=INT(H51*1)/1=FALSE),IF(ISNUMBER(K51)=TRUE,K51=INT(K51*1)/1=FALSE)),"Error","")</f>
        <v/>
      </c>
    </row>
    <row r="52" spans="2:15" s="103" customFormat="1" x14ac:dyDescent="0.25">
      <c r="B52" s="60" t="s">
        <v>365</v>
      </c>
      <c r="C52" s="94" t="s">
        <v>25</v>
      </c>
      <c r="D52" s="104" t="str">
        <f>IFERROR(IF(VLOOKUP(C52,Overview!$B$30:$E$84,2,FALSE)=0,"",VLOOKUP(C52,Overview!$B$30:$E$84,2,FALSE)),"")</f>
        <v>Bishkek Academy of Finance and Economics</v>
      </c>
      <c r="E52" s="104" t="str">
        <f>IFERROR(IF(OR(VLOOKUP(C52,Overview!$B$30:$E$84,4,FALSE)="Country not found",VLOOKUP(C52,Overview!$B$30:$E$84,3,FALSE)=0),"",VLOOKUP(C52,Overview!$B$30:$E$84,3,FALSE)),"")</f>
        <v>Kyrgyzstan</v>
      </c>
      <c r="F52" s="108" t="s">
        <v>584</v>
      </c>
      <c r="G52" s="109" t="s">
        <v>520</v>
      </c>
      <c r="H52" s="110">
        <v>2</v>
      </c>
      <c r="I52" s="108" t="s">
        <v>597</v>
      </c>
      <c r="J52" s="108" t="s">
        <v>343</v>
      </c>
      <c r="K52" s="110">
        <v>7</v>
      </c>
      <c r="L52" s="111">
        <f>IF(O52="Error",0,ROUND(ROUND(H52,0)*(VLOOKUP(J52,Rates!$J$5:$K$10,2,FALSE)),2))</f>
        <v>1640</v>
      </c>
      <c r="M52" s="112">
        <f t="shared" si="0"/>
        <v>1680</v>
      </c>
      <c r="N52" s="113">
        <f t="shared" si="2"/>
        <v>3320</v>
      </c>
      <c r="O52" s="102" t="str">
        <f>IF(OR(COUNTIF(Rates!$J$13:$J$17,B52)=0,COUNTIF(Overview!$B$30:$B$84,C52)=0,D52="",E52="",F52="",COUNTIF(Rates!$Y$4:$Z$4,G52)=0,ISNUMBER(H52)=FALSE,I52="",COUNTIF(Rates!$J$5:$J$10,J52)=0,ISNUMBER(K52)=FALSE,IF(OR(IF(AND(G52="Staff",K52&gt;365),1,0)=1,IF(AND(G52="Student",K52&gt;60),1,0)=1),1,0)=1,IF(ISNUMBER(H52)=TRUE,H52=INT(H52*1)/1=FALSE),IF(ISNUMBER(K52)=TRUE,K52=INT(K52*1)/1=FALSE)),"Error","")</f>
        <v/>
      </c>
    </row>
    <row r="53" spans="2:15" s="103" customFormat="1" x14ac:dyDescent="0.25">
      <c r="B53" s="60" t="s">
        <v>365</v>
      </c>
      <c r="C53" s="94" t="s">
        <v>26</v>
      </c>
      <c r="D53" s="104" t="str">
        <f>IFERROR(IF(VLOOKUP(C53,Overview!$B$30:$E$84,2,FALSE)=0,"",VLOOKUP(C53,Overview!$B$30:$E$84,2,FALSE)),"")</f>
        <v>Osh Technological University</v>
      </c>
      <c r="E53" s="104" t="str">
        <f>IFERROR(IF(OR(VLOOKUP(C53,Overview!$B$30:$E$84,4,FALSE)="Country not found",VLOOKUP(C53,Overview!$B$30:$E$84,3,FALSE)=0),"",VLOOKUP(C53,Overview!$B$30:$E$84,3,FALSE)),"")</f>
        <v>Kyrgyzstan</v>
      </c>
      <c r="F53" s="108" t="s">
        <v>583</v>
      </c>
      <c r="G53" s="109" t="s">
        <v>520</v>
      </c>
      <c r="H53" s="110">
        <v>2</v>
      </c>
      <c r="I53" s="108" t="s">
        <v>597</v>
      </c>
      <c r="J53" s="108" t="s">
        <v>343</v>
      </c>
      <c r="K53" s="110">
        <v>7</v>
      </c>
      <c r="L53" s="111">
        <f>IF(O53="Error",0,ROUND(ROUND(H53,0)*(VLOOKUP(J53,Rates!$J$5:$K$10,2,FALSE)),2))</f>
        <v>1640</v>
      </c>
      <c r="M53" s="112">
        <f t="shared" si="0"/>
        <v>1680</v>
      </c>
      <c r="N53" s="113">
        <f t="shared" si="2"/>
        <v>3320</v>
      </c>
      <c r="O53" s="102" t="str">
        <f>IF(OR(COUNTIF(Rates!$J$13:$J$17,B53)=0,COUNTIF(Overview!$B$30:$B$84,C53)=0,D53="",E53="",F53="",COUNTIF(Rates!$Y$4:$Z$4,G53)=0,ISNUMBER(H53)=FALSE,I53="",COUNTIF(Rates!$J$5:$J$10,J53)=0,ISNUMBER(K53)=FALSE,IF(OR(IF(AND(G53="Staff",K53&gt;365),1,0)=1,IF(AND(G53="Student",K53&gt;60),1,0)=1),1,0)=1,IF(ISNUMBER(H53)=TRUE,H53=INT(H53*1)/1=FALSE),IF(ISNUMBER(K53)=TRUE,K53=INT(K53*1)/1=FALSE)),"Error","")</f>
        <v/>
      </c>
    </row>
    <row r="54" spans="2:15" s="103" customFormat="1" x14ac:dyDescent="0.25">
      <c r="B54" s="60" t="s">
        <v>365</v>
      </c>
      <c r="C54" s="94" t="s">
        <v>28</v>
      </c>
      <c r="D54" s="104" t="str">
        <f>IFERROR(IF(VLOOKUP(C54,Overview!$B$30:$E$84,2,FALSE)=0,"",VLOOKUP(C54,Overview!$B$30:$E$84,2,FALSE)),"")</f>
        <v>Khujand State University</v>
      </c>
      <c r="E54" s="104" t="str">
        <f>IFERROR(IF(OR(VLOOKUP(C54,Overview!$B$30:$E$84,4,FALSE)="Country not found",VLOOKUP(C54,Overview!$B$30:$E$84,3,FALSE)=0),"",VLOOKUP(C54,Overview!$B$30:$E$84,3,FALSE)),"")</f>
        <v>Tajikistan</v>
      </c>
      <c r="F54" s="108" t="s">
        <v>582</v>
      </c>
      <c r="G54" s="109" t="s">
        <v>520</v>
      </c>
      <c r="H54" s="110">
        <v>2</v>
      </c>
      <c r="I54" s="108" t="s">
        <v>597</v>
      </c>
      <c r="J54" s="108" t="s">
        <v>343</v>
      </c>
      <c r="K54" s="110">
        <v>7</v>
      </c>
      <c r="L54" s="111">
        <f>IF(O54="Error",0,ROUND(ROUND(H54,0)*(VLOOKUP(J54,Rates!$J$5:$K$10,2,FALSE)),2))</f>
        <v>1640</v>
      </c>
      <c r="M54" s="112">
        <f t="shared" si="0"/>
        <v>1680</v>
      </c>
      <c r="N54" s="113">
        <f t="shared" si="2"/>
        <v>3320</v>
      </c>
      <c r="O54" s="102" t="str">
        <f>IF(OR(COUNTIF(Rates!$J$13:$J$17,B54)=0,COUNTIF(Overview!$B$30:$B$84,C54)=0,D54="",E54="",F54="",COUNTIF(Rates!$Y$4:$Z$4,G54)=0,ISNUMBER(H54)=FALSE,I54="",COUNTIF(Rates!$J$5:$J$10,J54)=0,ISNUMBER(K54)=FALSE,IF(OR(IF(AND(G54="Staff",K54&gt;365),1,0)=1,IF(AND(G54="Student",K54&gt;60),1,0)=1),1,0)=1,IF(ISNUMBER(H54)=TRUE,H54=INT(H54*1)/1=FALSE),IF(ISNUMBER(K54)=TRUE,K54=INT(K54*1)/1=FALSE)),"Error","")</f>
        <v/>
      </c>
    </row>
    <row r="55" spans="2:15" s="103" customFormat="1" x14ac:dyDescent="0.25">
      <c r="B55" s="60" t="s">
        <v>365</v>
      </c>
      <c r="C55" s="94" t="s">
        <v>29</v>
      </c>
      <c r="D55" s="104" t="str">
        <f>IFERROR(IF(VLOOKUP(C55,Overview!$B$30:$E$84,2,FALSE)=0,"",VLOOKUP(C55,Overview!$B$30:$E$84,2,FALSE)),"")</f>
        <v>Khorog State University</v>
      </c>
      <c r="E55" s="104" t="str">
        <f>IFERROR(IF(OR(VLOOKUP(C55,Overview!$B$30:$E$84,4,FALSE)="Country not found",VLOOKUP(C55,Overview!$B$30:$E$84,3,FALSE)=0),"",VLOOKUP(C55,Overview!$B$30:$E$84,3,FALSE)),"")</f>
        <v>Tajikistan</v>
      </c>
      <c r="F55" s="108" t="s">
        <v>581</v>
      </c>
      <c r="G55" s="109" t="s">
        <v>520</v>
      </c>
      <c r="H55" s="110">
        <v>2</v>
      </c>
      <c r="I55" s="108" t="s">
        <v>597</v>
      </c>
      <c r="J55" s="108" t="s">
        <v>343</v>
      </c>
      <c r="K55" s="110">
        <v>7</v>
      </c>
      <c r="L55" s="111">
        <f>IF(O55="Error",0,ROUND(ROUND(H55,0)*(VLOOKUP(J55,Rates!$J$5:$K$10,2,FALSE)),2))</f>
        <v>1640</v>
      </c>
      <c r="M55" s="112">
        <f t="shared" si="0"/>
        <v>1680</v>
      </c>
      <c r="N55" s="113">
        <f t="shared" si="2"/>
        <v>3320</v>
      </c>
      <c r="O55" s="102" t="str">
        <f>IF(OR(COUNTIF(Rates!$J$13:$J$17,B55)=0,COUNTIF(Overview!$B$30:$B$84,C55)=0,D55="",E55="",F55="",COUNTIF(Rates!$Y$4:$Z$4,G55)=0,ISNUMBER(H55)=FALSE,I55="",COUNTIF(Rates!$J$5:$J$10,J55)=0,ISNUMBER(K55)=FALSE,IF(OR(IF(AND(G55="Staff",K55&gt;365),1,0)=1,IF(AND(G55="Student",K55&gt;60),1,0)=1),1,0)=1,IF(ISNUMBER(H55)=TRUE,H55=INT(H55*1)/1=FALSE),IF(ISNUMBER(K55)=TRUE,K55=INT(K55*1)/1=FALSE)),"Error","")</f>
        <v/>
      </c>
    </row>
    <row r="56" spans="2:15" s="103" customFormat="1" x14ac:dyDescent="0.25">
      <c r="B56" s="60" t="s">
        <v>365</v>
      </c>
      <c r="C56" s="94" t="s">
        <v>30</v>
      </c>
      <c r="D56" s="104" t="str">
        <f>IFERROR(IF(VLOOKUP(C56,Overview!$B$30:$E$84,2,FALSE)=0,"",VLOOKUP(C56,Overview!$B$30:$E$84,2,FALSE)),"")</f>
        <v>Tajik Pedagogical University</v>
      </c>
      <c r="E56" s="104" t="str">
        <f>IFERROR(IF(OR(VLOOKUP(C56,Overview!$B$30:$E$84,4,FALSE)="Country not found",VLOOKUP(C56,Overview!$B$30:$E$84,3,FALSE)=0),"",VLOOKUP(C56,Overview!$B$30:$E$84,3,FALSE)),"")</f>
        <v>Tajikistan</v>
      </c>
      <c r="F56" s="108" t="s">
        <v>585</v>
      </c>
      <c r="G56" s="109" t="s">
        <v>520</v>
      </c>
      <c r="H56" s="110">
        <v>2</v>
      </c>
      <c r="I56" s="108" t="s">
        <v>597</v>
      </c>
      <c r="J56" s="108" t="s">
        <v>343</v>
      </c>
      <c r="K56" s="110">
        <v>7</v>
      </c>
      <c r="L56" s="111">
        <f>IF(O56="Error",0,ROUND(ROUND(H56,0)*(VLOOKUP(J56,Rates!$J$5:$K$10,2,FALSE)),2))</f>
        <v>1640</v>
      </c>
      <c r="M56" s="112">
        <f t="shared" si="0"/>
        <v>1680</v>
      </c>
      <c r="N56" s="113">
        <f t="shared" si="2"/>
        <v>3320</v>
      </c>
      <c r="O56" s="102" t="str">
        <f>IF(OR(COUNTIF(Rates!$J$13:$J$17,B56)=0,COUNTIF(Overview!$B$30:$B$84,C56)=0,D56="",E56="",F56="",COUNTIF(Rates!$Y$4:$Z$4,G56)=0,ISNUMBER(H56)=FALSE,I56="",COUNTIF(Rates!$J$5:$J$10,J56)=0,ISNUMBER(K56)=FALSE,IF(OR(IF(AND(G56="Staff",K56&gt;365),1,0)=1,IF(AND(G56="Student",K56&gt;60),1,0)=1),1,0)=1,IF(ISNUMBER(H56)=TRUE,H56=INT(H56*1)/1=FALSE),IF(ISNUMBER(K56)=TRUE,K56=INT(K56*1)/1=FALSE)),"Error","")</f>
        <v/>
      </c>
    </row>
    <row r="57" spans="2:15" s="103" customFormat="1" x14ac:dyDescent="0.25">
      <c r="B57" s="60" t="s">
        <v>365</v>
      </c>
      <c r="C57" s="94" t="s">
        <v>33</v>
      </c>
      <c r="D57" s="104" t="str">
        <f>IFERROR(IF(VLOOKUP(C57,Overview!$B$30:$E$84,2,FALSE)=0,"",VLOOKUP(C57,Overview!$B$30:$E$84,2,FALSE)),"")</f>
        <v>KIMEP University, JSC</v>
      </c>
      <c r="E57" s="104" t="str">
        <f>IFERROR(IF(OR(VLOOKUP(C57,Overview!$B$30:$E$84,4,FALSE)="Country not found",VLOOKUP(C57,Overview!$B$30:$E$84,3,FALSE)=0),"",VLOOKUP(C57,Overview!$B$30:$E$84,3,FALSE)),"")</f>
        <v>Kazakhstan</v>
      </c>
      <c r="F57" s="108" t="s">
        <v>580</v>
      </c>
      <c r="G57" s="109" t="s">
        <v>520</v>
      </c>
      <c r="H57" s="110">
        <v>2</v>
      </c>
      <c r="I57" s="108" t="s">
        <v>597</v>
      </c>
      <c r="J57" s="108" t="s">
        <v>343</v>
      </c>
      <c r="K57" s="110">
        <v>7</v>
      </c>
      <c r="L57" s="111">
        <f>IF(O57="Error",0,ROUND(ROUND(H57,0)*(VLOOKUP(J57,Rates!$J$5:$K$10,2,FALSE)),2))</f>
        <v>1640</v>
      </c>
      <c r="M57" s="112">
        <f t="shared" si="0"/>
        <v>1680</v>
      </c>
      <c r="N57" s="113">
        <f t="shared" si="2"/>
        <v>3320</v>
      </c>
      <c r="O57" s="102" t="str">
        <f>IF(OR(COUNTIF(Rates!$J$13:$J$17,B57)=0,COUNTIF(Overview!$B$30:$B$84,C57)=0,D57="",E57="",F57="",COUNTIF(Rates!$Y$4:$Z$4,G57)=0,ISNUMBER(H57)=FALSE,I57="",COUNTIF(Rates!$J$5:$J$10,J57)=0,ISNUMBER(K57)=FALSE,IF(OR(IF(AND(G57="Staff",K57&gt;365),1,0)=1,IF(AND(G57="Student",K57&gt;60),1,0)=1),1,0)=1,IF(ISNUMBER(H57)=TRUE,H57=INT(H57*1)/1=FALSE),IF(ISNUMBER(K57)=TRUE,K57=INT(K57*1)/1=FALSE)),"Error","")</f>
        <v/>
      </c>
    </row>
    <row r="58" spans="2:15" s="103" customFormat="1" x14ac:dyDescent="0.25">
      <c r="B58" s="60" t="s">
        <v>365</v>
      </c>
      <c r="C58" s="94" t="s">
        <v>126</v>
      </c>
      <c r="D58" s="104" t="str">
        <f>IFERROR(IF(VLOOKUP(C58,Overview!$B$30:$E$84,2,FALSE)=0,"",VLOOKUP(C58,Overview!$B$30:$E$84,2,FALSE)),"")</f>
        <v>Al-Farabi Kazakhstan National University</v>
      </c>
      <c r="E58" s="104" t="str">
        <f>IFERROR(IF(OR(VLOOKUP(C58,Overview!$B$30:$E$84,4,FALSE)="Country not found",VLOOKUP(C58,Overview!$B$30:$E$84,3,FALSE)=0),"",VLOOKUP(C58,Overview!$B$30:$E$84,3,FALSE)),"")</f>
        <v>Kazakhstan</v>
      </c>
      <c r="F58" s="108" t="s">
        <v>580</v>
      </c>
      <c r="G58" s="109" t="s">
        <v>520</v>
      </c>
      <c r="H58" s="110">
        <v>2</v>
      </c>
      <c r="I58" s="108" t="s">
        <v>597</v>
      </c>
      <c r="J58" s="108" t="s">
        <v>343</v>
      </c>
      <c r="K58" s="110">
        <v>7</v>
      </c>
      <c r="L58" s="111">
        <f>IF(O58="Error",0,ROUND(ROUND(H58,0)*(VLOOKUP(J58,Rates!$J$5:$K$10,2,FALSE)),2))</f>
        <v>1640</v>
      </c>
      <c r="M58" s="112">
        <f t="shared" si="0"/>
        <v>1680</v>
      </c>
      <c r="N58" s="113">
        <f t="shared" si="2"/>
        <v>3320</v>
      </c>
      <c r="O58" s="102" t="str">
        <f>IF(OR(COUNTIF(Rates!$J$13:$J$17,B58)=0,COUNTIF(Overview!$B$30:$B$84,C58)=0,D58="",E58="",F58="",COUNTIF(Rates!$Y$4:$Z$4,G58)=0,ISNUMBER(H58)=FALSE,I58="",COUNTIF(Rates!$J$5:$J$10,J58)=0,ISNUMBER(K58)=FALSE,IF(OR(IF(AND(G58="Staff",K58&gt;365),1,0)=1,IF(AND(G58="Student",K58&gt;60),1,0)=1),1,0)=1,IF(ISNUMBER(H58)=TRUE,H58=INT(H58*1)/1=FALSE),IF(ISNUMBER(K58)=TRUE,K58=INT(K58*1)/1=FALSE)),"Error","")</f>
        <v/>
      </c>
    </row>
    <row r="59" spans="2:15" s="103" customFormat="1" x14ac:dyDescent="0.25">
      <c r="B59" s="60" t="s">
        <v>365</v>
      </c>
      <c r="C59" s="94" t="s">
        <v>127</v>
      </c>
      <c r="D59" s="104" t="str">
        <f>IFERROR(IF(VLOOKUP(C59,Overview!$B$30:$E$84,2,FALSE)=0,"",VLOOKUP(C59,Overview!$B$30:$E$84,2,FALSE)),"")</f>
        <v>Kazakhstan National Technical University</v>
      </c>
      <c r="E59" s="104" t="str">
        <f>IFERROR(IF(OR(VLOOKUP(C59,Overview!$B$30:$E$84,4,FALSE)="Country not found",VLOOKUP(C59,Overview!$B$30:$E$84,3,FALSE)=0),"",VLOOKUP(C59,Overview!$B$30:$E$84,3,FALSE)),"")</f>
        <v>Kazakhstan</v>
      </c>
      <c r="F59" s="108" t="s">
        <v>580</v>
      </c>
      <c r="G59" s="109" t="s">
        <v>520</v>
      </c>
      <c r="H59" s="110">
        <v>2</v>
      </c>
      <c r="I59" s="108" t="s">
        <v>597</v>
      </c>
      <c r="J59" s="108" t="s">
        <v>343</v>
      </c>
      <c r="K59" s="110">
        <v>7</v>
      </c>
      <c r="L59" s="111">
        <f>IF(O59="Error",0,ROUND(ROUND(H59,0)*(VLOOKUP(J59,Rates!$J$5:$K$10,2,FALSE)),2))</f>
        <v>1640</v>
      </c>
      <c r="M59" s="112">
        <f t="shared" ref="M59:M60" si="5">IF(O59="Error",0,ROUND(ROUND(H59,0)*INDEX(CostRates,MATCH(ROUND(K59,0),CostDays,0),MATCH(G59,CostCat,0)),2))</f>
        <v>1680</v>
      </c>
      <c r="N59" s="113">
        <f t="shared" si="2"/>
        <v>3320</v>
      </c>
      <c r="O59" s="102" t="str">
        <f>IF(OR(COUNTIF(Rates!$J$13:$J$17,B59)=0,COUNTIF(Overview!$B$30:$B$84,C59)=0,D59="",E59="",F59="",COUNTIF(Rates!$Y$4:$Z$4,G59)=0,ISNUMBER(H59)=FALSE,I59="",COUNTIF(Rates!$J$5:$J$10,J59)=0,ISNUMBER(K59)=FALSE,IF(OR(IF(AND(G59="Staff",K59&gt;365),1,0)=1,IF(AND(G59="Student",K59&gt;60),1,0)=1),1,0)=1,IF(ISNUMBER(H59)=TRUE,H59=INT(H59*1)/1=FALSE),IF(ISNUMBER(K59)=TRUE,K59=INT(K59*1)/1=FALSE)),"Error","")</f>
        <v/>
      </c>
    </row>
    <row r="60" spans="2:15" s="103" customFormat="1" x14ac:dyDescent="0.25">
      <c r="B60" s="60" t="s">
        <v>365</v>
      </c>
      <c r="C60" s="94" t="s">
        <v>128</v>
      </c>
      <c r="D60" s="104" t="str">
        <f>IFERROR(IF(VLOOKUP(C60,Overview!$B$30:$E$84,2,FALSE)=0,"",VLOOKUP(C60,Overview!$B$30:$E$84,2,FALSE)),"")</f>
        <v xml:space="preserve">Zhezkazgan Baikonurov University </v>
      </c>
      <c r="E60" s="104" t="str">
        <f>IFERROR(IF(OR(VLOOKUP(C60,Overview!$B$30:$E$84,4,FALSE)="Country not found",VLOOKUP(C60,Overview!$B$30:$E$84,3,FALSE)=0),"",VLOOKUP(C60,Overview!$B$30:$E$84,3,FALSE)),"")</f>
        <v>Kazakhstan</v>
      </c>
      <c r="F60" s="108" t="s">
        <v>600</v>
      </c>
      <c r="G60" s="109" t="s">
        <v>520</v>
      </c>
      <c r="H60" s="110">
        <v>2</v>
      </c>
      <c r="I60" s="108" t="s">
        <v>597</v>
      </c>
      <c r="J60" s="108" t="s">
        <v>343</v>
      </c>
      <c r="K60" s="110">
        <v>7</v>
      </c>
      <c r="L60" s="111">
        <f>IF(O60="Error",0,ROUND(ROUND(H60,0)*(VLOOKUP(J60,Rates!$J$5:$K$10,2,FALSE)),2))</f>
        <v>1640</v>
      </c>
      <c r="M60" s="112">
        <f t="shared" si="5"/>
        <v>1680</v>
      </c>
      <c r="N60" s="113">
        <f t="shared" si="2"/>
        <v>3320</v>
      </c>
      <c r="O60" s="102" t="str">
        <f>IF(OR(COUNTIF(Rates!$J$13:$J$17,B60)=0,COUNTIF(Overview!$B$30:$B$84,C60)=0,D60="",E60="",F60="",COUNTIF(Rates!$Y$4:$Z$4,G60)=0,ISNUMBER(H60)=FALSE,I60="",COUNTIF(Rates!$J$5:$J$10,J60)=0,ISNUMBER(K60)=FALSE,IF(OR(IF(AND(G60="Staff",K60&gt;365),1,0)=1,IF(AND(G60="Student",K60&gt;60),1,0)=1),1,0)=1,IF(ISNUMBER(H60)=TRUE,H60=INT(H60*1)/1=FALSE),IF(ISNUMBER(K60)=TRUE,K60=INT(K60*1)/1=FALSE)),"Error","")</f>
        <v/>
      </c>
    </row>
    <row r="61" spans="2:15" s="103" customFormat="1" x14ac:dyDescent="0.25">
      <c r="B61" s="60" t="s">
        <v>365</v>
      </c>
      <c r="C61" s="94" t="s">
        <v>15</v>
      </c>
      <c r="D61" s="104" t="str">
        <f>IFERROR(IF(VLOOKUP(C61,Overview!$B$30:$E$84,2,FALSE)=0,"",VLOOKUP(C61,Overview!$B$30:$E$84,2,FALSE)),"")</f>
        <v>University of Patras</v>
      </c>
      <c r="E61" s="104" t="str">
        <f>IFERROR(IF(OR(VLOOKUP(C61,Overview!$B$30:$E$84,4,FALSE)="Country not found",VLOOKUP(C61,Overview!$B$30:$E$84,3,FALSE)=0),"",VLOOKUP(C61,Overview!$B$30:$E$84,3,FALSE)),"")</f>
        <v>Greece</v>
      </c>
      <c r="F61" s="108" t="s">
        <v>576</v>
      </c>
      <c r="G61" s="109" t="s">
        <v>520</v>
      </c>
      <c r="H61" s="110">
        <v>1</v>
      </c>
      <c r="I61" s="108" t="s">
        <v>578</v>
      </c>
      <c r="J61" s="108" t="s">
        <v>338</v>
      </c>
      <c r="K61" s="110">
        <v>7</v>
      </c>
      <c r="L61" s="111">
        <f>IF(O61="Error",0,ROUND(ROUND(H61,0)*(VLOOKUP(J61,Rates!$J$5:$K$10,2,FALSE)),2))</f>
        <v>275</v>
      </c>
      <c r="M61" s="112">
        <f t="shared" si="0"/>
        <v>840</v>
      </c>
      <c r="N61" s="113">
        <f t="shared" si="2"/>
        <v>1115</v>
      </c>
      <c r="O61" s="102" t="str">
        <f>IF(OR(COUNTIF(Rates!$J$13:$J$17,B61)=0,COUNTIF(Overview!$B$30:$B$84,C61)=0,D61="",E61="",F61="",COUNTIF(Rates!$Y$4:$Z$4,G61)=0,ISNUMBER(H61)=FALSE,I61="",COUNTIF(Rates!$J$5:$J$10,J61)=0,ISNUMBER(K61)=FALSE,IF(OR(IF(AND(G61="Staff",K61&gt;365),1,0)=1,IF(AND(G61="Student",K61&gt;60),1,0)=1),1,0)=1,IF(ISNUMBER(H61)=TRUE,H61=INT(H61*1)/1=FALSE),IF(ISNUMBER(K61)=TRUE,K61=INT(K61*1)/1=FALSE)),"Error","")</f>
        <v/>
      </c>
    </row>
    <row r="62" spans="2:15" s="103" customFormat="1" x14ac:dyDescent="0.25">
      <c r="B62" s="60" t="s">
        <v>365</v>
      </c>
      <c r="C62" s="94" t="s">
        <v>16</v>
      </c>
      <c r="D62" s="104" t="str">
        <f>IFERROR(IF(VLOOKUP(C62,Overview!$B$30:$E$84,2,FALSE)=0,"",VLOOKUP(C62,Overview!$B$30:$E$84,2,FALSE)),"")</f>
        <v>Bath Spa University</v>
      </c>
      <c r="E62" s="104" t="str">
        <f>IFERROR(IF(OR(VLOOKUP(C62,Overview!$B$30:$E$84,4,FALSE)="Country not found",VLOOKUP(C62,Overview!$B$30:$E$84,3,FALSE)=0),"",VLOOKUP(C62,Overview!$B$30:$E$84,3,FALSE)),"")</f>
        <v>United Kingdom</v>
      </c>
      <c r="F62" s="108" t="s">
        <v>597</v>
      </c>
      <c r="G62" s="109" t="s">
        <v>520</v>
      </c>
      <c r="H62" s="110">
        <v>1</v>
      </c>
      <c r="I62" s="108" t="s">
        <v>578</v>
      </c>
      <c r="J62" s="108" t="s">
        <v>338</v>
      </c>
      <c r="K62" s="110">
        <v>7</v>
      </c>
      <c r="L62" s="111">
        <f>IF(O62="Error",0,ROUND(ROUND(H62,0)*(VLOOKUP(J62,Rates!$J$5:$K$10,2,FALSE)),2))</f>
        <v>275</v>
      </c>
      <c r="M62" s="112">
        <f t="shared" si="0"/>
        <v>840</v>
      </c>
      <c r="N62" s="113">
        <f t="shared" si="2"/>
        <v>1115</v>
      </c>
      <c r="O62" s="102" t="str">
        <f>IF(OR(COUNTIF(Rates!$J$13:$J$17,B62)=0,COUNTIF(Overview!$B$30:$B$84,C62)=0,D62="",E62="",F62="",COUNTIF(Rates!$Y$4:$Z$4,G62)=0,ISNUMBER(H62)=FALSE,I62="",COUNTIF(Rates!$J$5:$J$10,J62)=0,ISNUMBER(K62)=FALSE,IF(OR(IF(AND(G62="Staff",K62&gt;365),1,0)=1,IF(AND(G62="Student",K62&gt;60),1,0)=1),1,0)=1,IF(ISNUMBER(H62)=TRUE,H62=INT(H62*1)/1=FALSE),IF(ISNUMBER(K62)=TRUE,K62=INT(K62*1)/1=FALSE)),"Error","")</f>
        <v/>
      </c>
    </row>
    <row r="63" spans="2:15" s="103" customFormat="1" x14ac:dyDescent="0.25">
      <c r="B63" s="60" t="s">
        <v>365</v>
      </c>
      <c r="C63" s="94" t="s">
        <v>17</v>
      </c>
      <c r="D63" s="104" t="str">
        <f>IFERROR(IF(VLOOKUP(C63,Overview!$B$30:$E$84,2,FALSE)=0,"",VLOOKUP(C63,Overview!$B$30:$E$84,2,FALSE)),"")</f>
        <v>Wroclaw Technical University</v>
      </c>
      <c r="E63" s="104" t="str">
        <f>IFERROR(IF(OR(VLOOKUP(C63,Overview!$B$30:$E$84,4,FALSE)="Country not found",VLOOKUP(C63,Overview!$B$30:$E$84,3,FALSE)=0),"",VLOOKUP(C63,Overview!$B$30:$E$84,3,FALSE)),"")</f>
        <v>Poland</v>
      </c>
      <c r="F63" s="108" t="s">
        <v>577</v>
      </c>
      <c r="G63" s="109" t="s">
        <v>520</v>
      </c>
      <c r="H63" s="110">
        <v>1</v>
      </c>
      <c r="I63" s="108" t="s">
        <v>578</v>
      </c>
      <c r="J63" s="108" t="s">
        <v>338</v>
      </c>
      <c r="K63" s="110">
        <v>7</v>
      </c>
      <c r="L63" s="111">
        <f>IF(O63="Error",0,ROUND(ROUND(H63,0)*(VLOOKUP(J63,Rates!$J$5:$K$10,2,FALSE)),2))</f>
        <v>275</v>
      </c>
      <c r="M63" s="112">
        <f t="shared" si="0"/>
        <v>840</v>
      </c>
      <c r="N63" s="113">
        <f t="shared" si="2"/>
        <v>1115</v>
      </c>
      <c r="O63" s="102" t="str">
        <f>IF(OR(COUNTIF(Rates!$J$13:$J$17,B63)=0,COUNTIF(Overview!$B$30:$B$84,C63)=0,D63="",E63="",F63="",COUNTIF(Rates!$Y$4:$Z$4,G63)=0,ISNUMBER(H63)=FALSE,I63="",COUNTIF(Rates!$J$5:$J$10,J63)=0,ISNUMBER(K63)=FALSE,IF(OR(IF(AND(G63="Staff",K63&gt;365),1,0)=1,IF(AND(G63="Student",K63&gt;60),1,0)=1),1,0)=1,IF(ISNUMBER(H63)=TRUE,H63=INT(H63*1)/1=FALSE),IF(ISNUMBER(K63)=TRUE,K63=INT(K63*1)/1=FALSE)),"Error","")</f>
        <v/>
      </c>
    </row>
    <row r="64" spans="2:15" s="103" customFormat="1" x14ac:dyDescent="0.25">
      <c r="B64" s="60" t="s">
        <v>365</v>
      </c>
      <c r="C64" s="94" t="s">
        <v>20</v>
      </c>
      <c r="D64" s="104" t="str">
        <f>IFERROR(IF(VLOOKUP(C64,Overview!$B$30:$E$84,2,FALSE)=0,"",VLOOKUP(C64,Overview!$B$30:$E$84,2,FALSE)),"")</f>
        <v>Tashkent State Technical University</v>
      </c>
      <c r="E64" s="104" t="str">
        <f>IFERROR(IF(OR(VLOOKUP(C64,Overview!$B$30:$E$84,4,FALSE)="Country not found",VLOOKUP(C64,Overview!$B$30:$E$84,3,FALSE)=0),"",VLOOKUP(C64,Overview!$B$30:$E$84,3,FALSE)),"")</f>
        <v>Uzbekistan</v>
      </c>
      <c r="F64" s="108" t="s">
        <v>579</v>
      </c>
      <c r="G64" s="109" t="s">
        <v>520</v>
      </c>
      <c r="H64" s="110">
        <v>1</v>
      </c>
      <c r="I64" s="108" t="s">
        <v>578</v>
      </c>
      <c r="J64" s="108" t="s">
        <v>343</v>
      </c>
      <c r="K64" s="110">
        <v>7</v>
      </c>
      <c r="L64" s="111">
        <f>IF(O64="Error",0,ROUND(ROUND(H64,0)*(VLOOKUP(J64,Rates!$J$5:$K$10,2,FALSE)),2))</f>
        <v>820</v>
      </c>
      <c r="M64" s="112">
        <f t="shared" si="0"/>
        <v>840</v>
      </c>
      <c r="N64" s="113">
        <f t="shared" si="2"/>
        <v>1660</v>
      </c>
      <c r="O64" s="102" t="str">
        <f>IF(OR(COUNTIF(Rates!$J$13:$J$17,B64)=0,COUNTIF(Overview!$B$30:$B$84,C64)=0,D64="",E64="",F64="",COUNTIF(Rates!$Y$4:$Z$4,G64)=0,ISNUMBER(H64)=FALSE,I64="",COUNTIF(Rates!$J$5:$J$10,J64)=0,ISNUMBER(K64)=FALSE,IF(OR(IF(AND(G64="Staff",K64&gt;365),1,0)=1,IF(AND(G64="Student",K64&gt;60),1,0)=1),1,0)=1,IF(ISNUMBER(H64)=TRUE,H64=INT(H64*1)/1=FALSE),IF(ISNUMBER(K64)=TRUE,K64=INT(K64*1)/1=FALSE)),"Error","")</f>
        <v/>
      </c>
    </row>
    <row r="65" spans="2:15" s="103" customFormat="1" x14ac:dyDescent="0.25">
      <c r="B65" s="60" t="s">
        <v>365</v>
      </c>
      <c r="C65" s="94" t="s">
        <v>21</v>
      </c>
      <c r="D65" s="104" t="str">
        <f>IFERROR(IF(VLOOKUP(C65,Overview!$B$30:$E$84,2,FALSE)=0,"",VLOOKUP(C65,Overview!$B$30:$E$84,2,FALSE)),"")</f>
        <v>National University of Uzbekistan</v>
      </c>
      <c r="E65" s="104" t="str">
        <f>IFERROR(IF(OR(VLOOKUP(C65,Overview!$B$30:$E$84,4,FALSE)="Country not found",VLOOKUP(C65,Overview!$B$30:$E$84,3,FALSE)=0),"",VLOOKUP(C65,Overview!$B$30:$E$84,3,FALSE)),"")</f>
        <v>Uzbekistan</v>
      </c>
      <c r="F65" s="108" t="s">
        <v>579</v>
      </c>
      <c r="G65" s="109" t="s">
        <v>520</v>
      </c>
      <c r="H65" s="110">
        <v>1</v>
      </c>
      <c r="I65" s="108" t="s">
        <v>578</v>
      </c>
      <c r="J65" s="108" t="s">
        <v>343</v>
      </c>
      <c r="K65" s="110">
        <v>7</v>
      </c>
      <c r="L65" s="111">
        <f>IF(O65="Error",0,ROUND(ROUND(H65,0)*(VLOOKUP(J65,Rates!$J$5:$K$10,2,FALSE)),2))</f>
        <v>820</v>
      </c>
      <c r="M65" s="112">
        <f t="shared" si="0"/>
        <v>840</v>
      </c>
      <c r="N65" s="113">
        <f t="shared" si="2"/>
        <v>1660</v>
      </c>
      <c r="O65" s="102" t="str">
        <f>IF(OR(COUNTIF(Rates!$J$13:$J$17,B65)=0,COUNTIF(Overview!$B$30:$B$84,C65)=0,D65="",E65="",F65="",COUNTIF(Rates!$Y$4:$Z$4,G65)=0,ISNUMBER(H65)=FALSE,I65="",COUNTIF(Rates!$J$5:$J$10,J65)=0,ISNUMBER(K65)=FALSE,IF(OR(IF(AND(G65="Staff",K65&gt;365),1,0)=1,IF(AND(G65="Student",K65&gt;60),1,0)=1),1,0)=1,IF(ISNUMBER(H65)=TRUE,H65=INT(H65*1)/1=FALSE),IF(ISNUMBER(K65)=TRUE,K65=INT(K65*1)/1=FALSE)),"Error","")</f>
        <v/>
      </c>
    </row>
    <row r="66" spans="2:15" s="103" customFormat="1" x14ac:dyDescent="0.25">
      <c r="B66" s="60" t="s">
        <v>365</v>
      </c>
      <c r="C66" s="94" t="s">
        <v>24</v>
      </c>
      <c r="D66" s="104" t="str">
        <f>IFERROR(IF(VLOOKUP(C66,Overview!$B$30:$E$84,2,FALSE)=0,"",VLOOKUP(C66,Overview!$B$30:$E$84,2,FALSE)),"")</f>
        <v>Kyrgyz State Technical University</v>
      </c>
      <c r="E66" s="104" t="str">
        <f>IFERROR(IF(OR(VLOOKUP(C66,Overview!$B$30:$E$84,4,FALSE)="Country not found",VLOOKUP(C66,Overview!$B$30:$E$84,3,FALSE)=0),"",VLOOKUP(C66,Overview!$B$30:$E$84,3,FALSE)),"")</f>
        <v>Kyrgyzstan</v>
      </c>
      <c r="F66" s="108" t="s">
        <v>584</v>
      </c>
      <c r="G66" s="109" t="s">
        <v>520</v>
      </c>
      <c r="H66" s="110">
        <v>2</v>
      </c>
      <c r="I66" s="108" t="s">
        <v>578</v>
      </c>
      <c r="J66" s="108" t="s">
        <v>343</v>
      </c>
      <c r="K66" s="110">
        <v>7</v>
      </c>
      <c r="L66" s="111">
        <f>IF(O66="Error",0,ROUND(ROUND(H66,0)*(VLOOKUP(J66,Rates!$J$5:$K$10,2,FALSE)),2))</f>
        <v>1640</v>
      </c>
      <c r="M66" s="112">
        <f t="shared" si="0"/>
        <v>1680</v>
      </c>
      <c r="N66" s="113">
        <f t="shared" si="2"/>
        <v>3320</v>
      </c>
      <c r="O66" s="102" t="str">
        <f>IF(OR(COUNTIF(Rates!$J$13:$J$17,B66)=0,COUNTIF(Overview!$B$30:$B$84,C66)=0,D66="",E66="",F66="",COUNTIF(Rates!$Y$4:$Z$4,G66)=0,ISNUMBER(H66)=FALSE,I66="",COUNTIF(Rates!$J$5:$J$10,J66)=0,ISNUMBER(K66)=FALSE,IF(OR(IF(AND(G66="Staff",K66&gt;365),1,0)=1,IF(AND(G66="Student",K66&gt;60),1,0)=1),1,0)=1,IF(ISNUMBER(H66)=TRUE,H66=INT(H66*1)/1=FALSE),IF(ISNUMBER(K66)=TRUE,K66=INT(K66*1)/1=FALSE)),"Error","")</f>
        <v/>
      </c>
    </row>
    <row r="67" spans="2:15" s="103" customFormat="1" x14ac:dyDescent="0.25">
      <c r="B67" s="60" t="s">
        <v>365</v>
      </c>
      <c r="C67" s="94" t="s">
        <v>25</v>
      </c>
      <c r="D67" s="104" t="str">
        <f>IFERROR(IF(VLOOKUP(C67,Overview!$B$30:$E$84,2,FALSE)=0,"",VLOOKUP(C67,Overview!$B$30:$E$84,2,FALSE)),"")</f>
        <v>Bishkek Academy of Finance and Economics</v>
      </c>
      <c r="E67" s="104" t="str">
        <f>IFERROR(IF(OR(VLOOKUP(C67,Overview!$B$30:$E$84,4,FALSE)="Country not found",VLOOKUP(C67,Overview!$B$30:$E$84,3,FALSE)=0),"",VLOOKUP(C67,Overview!$B$30:$E$84,3,FALSE)),"")</f>
        <v>Kyrgyzstan</v>
      </c>
      <c r="F67" s="108" t="s">
        <v>584</v>
      </c>
      <c r="G67" s="109" t="s">
        <v>520</v>
      </c>
      <c r="H67" s="110">
        <v>1</v>
      </c>
      <c r="I67" s="108" t="s">
        <v>578</v>
      </c>
      <c r="J67" s="108" t="s">
        <v>343</v>
      </c>
      <c r="K67" s="110">
        <v>7</v>
      </c>
      <c r="L67" s="111">
        <f>IF(O67="Error",0,ROUND(ROUND(H67,0)*(VLOOKUP(J67,Rates!$J$5:$K$10,2,FALSE)),2))</f>
        <v>820</v>
      </c>
      <c r="M67" s="112">
        <f t="shared" si="0"/>
        <v>840</v>
      </c>
      <c r="N67" s="113">
        <f t="shared" si="2"/>
        <v>1660</v>
      </c>
      <c r="O67" s="102" t="str">
        <f>IF(OR(COUNTIF(Rates!$J$13:$J$17,B67)=0,COUNTIF(Overview!$B$30:$B$84,C67)=0,D67="",E67="",F67="",COUNTIF(Rates!$Y$4:$Z$4,G67)=0,ISNUMBER(H67)=FALSE,I67="",COUNTIF(Rates!$J$5:$J$10,J67)=0,ISNUMBER(K67)=FALSE,IF(OR(IF(AND(G67="Staff",K67&gt;365),1,0)=1,IF(AND(G67="Student",K67&gt;60),1,0)=1),1,0)=1,IF(ISNUMBER(H67)=TRUE,H67=INT(H67*1)/1=FALSE),IF(ISNUMBER(K67)=TRUE,K67=INT(K67*1)/1=FALSE)),"Error","")</f>
        <v/>
      </c>
    </row>
    <row r="68" spans="2:15" s="103" customFormat="1" x14ac:dyDescent="0.25">
      <c r="B68" s="60" t="s">
        <v>365</v>
      </c>
      <c r="C68" s="94" t="s">
        <v>26</v>
      </c>
      <c r="D68" s="104" t="str">
        <f>IFERROR(IF(VLOOKUP(C68,Overview!$B$30:$E$84,2,FALSE)=0,"",VLOOKUP(C68,Overview!$B$30:$E$84,2,FALSE)),"")</f>
        <v>Osh Technological University</v>
      </c>
      <c r="E68" s="104" t="str">
        <f>IFERROR(IF(OR(VLOOKUP(C68,Overview!$B$30:$E$84,4,FALSE)="Country not found",VLOOKUP(C68,Overview!$B$30:$E$84,3,FALSE)=0),"",VLOOKUP(C68,Overview!$B$30:$E$84,3,FALSE)),"")</f>
        <v>Kyrgyzstan</v>
      </c>
      <c r="F68" s="108" t="s">
        <v>583</v>
      </c>
      <c r="G68" s="109" t="s">
        <v>520</v>
      </c>
      <c r="H68" s="110">
        <v>1</v>
      </c>
      <c r="I68" s="108" t="s">
        <v>578</v>
      </c>
      <c r="J68" s="108" t="s">
        <v>343</v>
      </c>
      <c r="K68" s="110">
        <v>7</v>
      </c>
      <c r="L68" s="111">
        <f>IF(O68="Error",0,ROUND(ROUND(H68,0)*(VLOOKUP(J68,Rates!$J$5:$K$10,2,FALSE)),2))</f>
        <v>820</v>
      </c>
      <c r="M68" s="112">
        <f t="shared" si="0"/>
        <v>840</v>
      </c>
      <c r="N68" s="113">
        <f t="shared" si="2"/>
        <v>1660</v>
      </c>
      <c r="O68" s="102" t="str">
        <f>IF(OR(COUNTIF(Rates!$J$13:$J$17,B68)=0,COUNTIF(Overview!$B$30:$B$84,C68)=0,D68="",E68="",F68="",COUNTIF(Rates!$Y$4:$Z$4,G68)=0,ISNUMBER(H68)=FALSE,I68="",COUNTIF(Rates!$J$5:$J$10,J68)=0,ISNUMBER(K68)=FALSE,IF(OR(IF(AND(G68="Staff",K68&gt;365),1,0)=1,IF(AND(G68="Student",K68&gt;60),1,0)=1),1,0)=1,IF(ISNUMBER(H68)=TRUE,H68=INT(H68*1)/1=FALSE),IF(ISNUMBER(K68)=TRUE,K68=INT(K68*1)/1=FALSE)),"Error","")</f>
        <v/>
      </c>
    </row>
    <row r="69" spans="2:15" s="103" customFormat="1" x14ac:dyDescent="0.25">
      <c r="B69" s="60" t="s">
        <v>365</v>
      </c>
      <c r="C69" s="94" t="s">
        <v>28</v>
      </c>
      <c r="D69" s="104" t="str">
        <f>IFERROR(IF(VLOOKUP(C69,Overview!$B$30:$E$84,2,FALSE)=0,"",VLOOKUP(C69,Overview!$B$30:$E$84,2,FALSE)),"")</f>
        <v>Khujand State University</v>
      </c>
      <c r="E69" s="104" t="str">
        <f>IFERROR(IF(OR(VLOOKUP(C69,Overview!$B$30:$E$84,4,FALSE)="Country not found",VLOOKUP(C69,Overview!$B$30:$E$84,3,FALSE)=0),"",VLOOKUP(C69,Overview!$B$30:$E$84,3,FALSE)),"")</f>
        <v>Tajikistan</v>
      </c>
      <c r="F69" s="108" t="s">
        <v>582</v>
      </c>
      <c r="G69" s="109" t="s">
        <v>520</v>
      </c>
      <c r="H69" s="110">
        <v>1</v>
      </c>
      <c r="I69" s="108" t="s">
        <v>578</v>
      </c>
      <c r="J69" s="108" t="s">
        <v>343</v>
      </c>
      <c r="K69" s="110">
        <v>7</v>
      </c>
      <c r="L69" s="111">
        <f>IF(O69="Error",0,ROUND(ROUND(H69,0)*(VLOOKUP(J69,Rates!$J$5:$K$10,2,FALSE)),2))</f>
        <v>820</v>
      </c>
      <c r="M69" s="112">
        <f t="shared" si="0"/>
        <v>840</v>
      </c>
      <c r="N69" s="113">
        <f t="shared" si="2"/>
        <v>1660</v>
      </c>
      <c r="O69" s="102" t="str">
        <f>IF(OR(COUNTIF(Rates!$J$13:$J$17,B69)=0,COUNTIF(Overview!$B$30:$B$84,C69)=0,D69="",E69="",F69="",COUNTIF(Rates!$Y$4:$Z$4,G69)=0,ISNUMBER(H69)=FALSE,I69="",COUNTIF(Rates!$J$5:$J$10,J69)=0,ISNUMBER(K69)=FALSE,IF(OR(IF(AND(G69="Staff",K69&gt;365),1,0)=1,IF(AND(G69="Student",K69&gt;60),1,0)=1),1,0)=1,IF(ISNUMBER(H69)=TRUE,H69=INT(H69*1)/1=FALSE),IF(ISNUMBER(K69)=TRUE,K69=INT(K69*1)/1=FALSE)),"Error","")</f>
        <v/>
      </c>
    </row>
    <row r="70" spans="2:15" s="103" customFormat="1" x14ac:dyDescent="0.25">
      <c r="B70" s="60" t="s">
        <v>365</v>
      </c>
      <c r="C70" s="94" t="s">
        <v>29</v>
      </c>
      <c r="D70" s="104" t="str">
        <f>IFERROR(IF(VLOOKUP(C70,Overview!$B$30:$E$84,2,FALSE)=0,"",VLOOKUP(C70,Overview!$B$30:$E$84,2,FALSE)),"")</f>
        <v>Khorog State University</v>
      </c>
      <c r="E70" s="104" t="str">
        <f>IFERROR(IF(OR(VLOOKUP(C70,Overview!$B$30:$E$84,4,FALSE)="Country not found",VLOOKUP(C70,Overview!$B$30:$E$84,3,FALSE)=0),"",VLOOKUP(C70,Overview!$B$30:$E$84,3,FALSE)),"")</f>
        <v>Tajikistan</v>
      </c>
      <c r="F70" s="108" t="s">
        <v>581</v>
      </c>
      <c r="G70" s="109" t="s">
        <v>520</v>
      </c>
      <c r="H70" s="110">
        <v>1</v>
      </c>
      <c r="I70" s="108" t="s">
        <v>578</v>
      </c>
      <c r="J70" s="108" t="s">
        <v>343</v>
      </c>
      <c r="K70" s="110">
        <v>7</v>
      </c>
      <c r="L70" s="111">
        <f>IF(O70="Error",0,ROUND(ROUND(H70,0)*(VLOOKUP(J70,Rates!$J$5:$K$10,2,FALSE)),2))</f>
        <v>820</v>
      </c>
      <c r="M70" s="112">
        <f t="shared" si="0"/>
        <v>840</v>
      </c>
      <c r="N70" s="113">
        <f t="shared" si="2"/>
        <v>1660</v>
      </c>
      <c r="O70" s="102" t="str">
        <f>IF(OR(COUNTIF(Rates!$J$13:$J$17,B70)=0,COUNTIF(Overview!$B$30:$B$84,C70)=0,D70="",E70="",F70="",COUNTIF(Rates!$Y$4:$Z$4,G70)=0,ISNUMBER(H70)=FALSE,I70="",COUNTIF(Rates!$J$5:$J$10,J70)=0,ISNUMBER(K70)=FALSE,IF(OR(IF(AND(G70="Staff",K70&gt;365),1,0)=1,IF(AND(G70="Student",K70&gt;60),1,0)=1),1,0)=1,IF(ISNUMBER(H70)=TRUE,H70=INT(H70*1)/1=FALSE),IF(ISNUMBER(K70)=TRUE,K70=INT(K70*1)/1=FALSE)),"Error","")</f>
        <v/>
      </c>
    </row>
    <row r="71" spans="2:15" s="103" customFormat="1" x14ac:dyDescent="0.25">
      <c r="B71" s="60" t="s">
        <v>365</v>
      </c>
      <c r="C71" s="94" t="s">
        <v>30</v>
      </c>
      <c r="D71" s="104" t="str">
        <f>IFERROR(IF(VLOOKUP(C71,Overview!$B$30:$E$84,2,FALSE)=0,"",VLOOKUP(C71,Overview!$B$30:$E$84,2,FALSE)),"")</f>
        <v>Tajik Pedagogical University</v>
      </c>
      <c r="E71" s="104" t="str">
        <f>IFERROR(IF(OR(VLOOKUP(C71,Overview!$B$30:$E$84,4,FALSE)="Country not found",VLOOKUP(C71,Overview!$B$30:$E$84,3,FALSE)=0),"",VLOOKUP(C71,Overview!$B$30:$E$84,3,FALSE)),"")</f>
        <v>Tajikistan</v>
      </c>
      <c r="F71" s="108" t="s">
        <v>585</v>
      </c>
      <c r="G71" s="109" t="s">
        <v>520</v>
      </c>
      <c r="H71" s="110">
        <v>1</v>
      </c>
      <c r="I71" s="108" t="s">
        <v>578</v>
      </c>
      <c r="J71" s="108" t="s">
        <v>343</v>
      </c>
      <c r="K71" s="110">
        <v>7</v>
      </c>
      <c r="L71" s="111">
        <f>IF(O71="Error",0,ROUND(ROUND(H71,0)*(VLOOKUP(J71,Rates!$J$5:$K$10,2,FALSE)),2))</f>
        <v>820</v>
      </c>
      <c r="M71" s="112">
        <f t="shared" si="0"/>
        <v>840</v>
      </c>
      <c r="N71" s="113">
        <f t="shared" si="2"/>
        <v>1660</v>
      </c>
      <c r="O71" s="102" t="str">
        <f>IF(OR(COUNTIF(Rates!$J$13:$J$17,B71)=0,COUNTIF(Overview!$B$30:$B$84,C71)=0,D71="",E71="",F71="",COUNTIF(Rates!$Y$4:$Z$4,G71)=0,ISNUMBER(H71)=FALSE,I71="",COUNTIF(Rates!$J$5:$J$10,J71)=0,ISNUMBER(K71)=FALSE,IF(OR(IF(AND(G71="Staff",K71&gt;365),1,0)=1,IF(AND(G71="Student",K71&gt;60),1,0)=1),1,0)=1,IF(ISNUMBER(H71)=TRUE,H71=INT(H71*1)/1=FALSE),IF(ISNUMBER(K71)=TRUE,K71=INT(K71*1)/1=FALSE)),"Error","")</f>
        <v/>
      </c>
    </row>
    <row r="72" spans="2:15" s="103" customFormat="1" x14ac:dyDescent="0.25">
      <c r="B72" s="60" t="s">
        <v>365</v>
      </c>
      <c r="C72" s="94" t="s">
        <v>33</v>
      </c>
      <c r="D72" s="104" t="str">
        <f>IFERROR(IF(VLOOKUP(C72,Overview!$B$30:$E$84,2,FALSE)=0,"",VLOOKUP(C72,Overview!$B$30:$E$84,2,FALSE)),"")</f>
        <v>KIMEP University, JSC</v>
      </c>
      <c r="E72" s="104" t="str">
        <f>IFERROR(IF(OR(VLOOKUP(C72,Overview!$B$30:$E$84,4,FALSE)="Country not found",VLOOKUP(C72,Overview!$B$30:$E$84,3,FALSE)=0),"",VLOOKUP(C72,Overview!$B$30:$E$84,3,FALSE)),"")</f>
        <v>Kazakhstan</v>
      </c>
      <c r="F72" s="108" t="s">
        <v>580</v>
      </c>
      <c r="G72" s="109" t="s">
        <v>520</v>
      </c>
      <c r="H72" s="110">
        <v>1</v>
      </c>
      <c r="I72" s="108" t="s">
        <v>578</v>
      </c>
      <c r="J72" s="108" t="s">
        <v>343</v>
      </c>
      <c r="K72" s="110">
        <v>7</v>
      </c>
      <c r="L72" s="111">
        <f>IF(O72="Error",0,ROUND(ROUND(H72,0)*(VLOOKUP(J72,Rates!$J$5:$K$10,2,FALSE)),2))</f>
        <v>820</v>
      </c>
      <c r="M72" s="112">
        <f t="shared" si="0"/>
        <v>840</v>
      </c>
      <c r="N72" s="113">
        <f t="shared" si="2"/>
        <v>1660</v>
      </c>
      <c r="O72" s="102" t="str">
        <f>IF(OR(COUNTIF(Rates!$J$13:$J$17,B72)=0,COUNTIF(Overview!$B$30:$B$84,C72)=0,D72="",E72="",F72="",COUNTIF(Rates!$Y$4:$Z$4,G72)=0,ISNUMBER(H72)=FALSE,I72="",COUNTIF(Rates!$J$5:$J$10,J72)=0,ISNUMBER(K72)=FALSE,IF(OR(IF(AND(G72="Staff",K72&gt;365),1,0)=1,IF(AND(G72="Student",K72&gt;60),1,0)=1),1,0)=1,IF(ISNUMBER(H72)=TRUE,H72=INT(H72*1)/1=FALSE),IF(ISNUMBER(K72)=TRUE,K72=INT(K72*1)/1=FALSE)),"Error","")</f>
        <v/>
      </c>
    </row>
    <row r="73" spans="2:15" s="103" customFormat="1" x14ac:dyDescent="0.25">
      <c r="B73" s="60" t="s">
        <v>365</v>
      </c>
      <c r="C73" s="94" t="s">
        <v>126</v>
      </c>
      <c r="D73" s="104" t="str">
        <f>IFERROR(IF(VLOOKUP(C73,Overview!$B$30:$E$84,2,FALSE)=0,"",VLOOKUP(C73,Overview!$B$30:$E$84,2,FALSE)),"")</f>
        <v>Al-Farabi Kazakhstan National University</v>
      </c>
      <c r="E73" s="104" t="str">
        <f>IFERROR(IF(OR(VLOOKUP(C73,Overview!$B$30:$E$84,4,FALSE)="Country not found",VLOOKUP(C73,Overview!$B$30:$E$84,3,FALSE)=0),"",VLOOKUP(C73,Overview!$B$30:$E$84,3,FALSE)),"")</f>
        <v>Kazakhstan</v>
      </c>
      <c r="F73" s="108" t="s">
        <v>580</v>
      </c>
      <c r="G73" s="109" t="s">
        <v>520</v>
      </c>
      <c r="H73" s="110">
        <v>1</v>
      </c>
      <c r="I73" s="108" t="s">
        <v>578</v>
      </c>
      <c r="J73" s="108" t="s">
        <v>343</v>
      </c>
      <c r="K73" s="110">
        <v>7</v>
      </c>
      <c r="L73" s="111">
        <f>IF(O73="Error",0,ROUND(ROUND(H73,0)*(VLOOKUP(J73,Rates!$J$5:$K$10,2,FALSE)),2))</f>
        <v>820</v>
      </c>
      <c r="M73" s="112">
        <f t="shared" si="0"/>
        <v>840</v>
      </c>
      <c r="N73" s="113">
        <f t="shared" si="2"/>
        <v>1660</v>
      </c>
      <c r="O73" s="102" t="str">
        <f>IF(OR(COUNTIF(Rates!$J$13:$J$17,B73)=0,COUNTIF(Overview!$B$30:$B$84,C73)=0,D73="",E73="",F73="",COUNTIF(Rates!$Y$4:$Z$4,G73)=0,ISNUMBER(H73)=FALSE,I73="",COUNTIF(Rates!$J$5:$J$10,J73)=0,ISNUMBER(K73)=FALSE,IF(OR(IF(AND(G73="Staff",K73&gt;365),1,0)=1,IF(AND(G73="Student",K73&gt;60),1,0)=1),1,0)=1,IF(ISNUMBER(H73)=TRUE,H73=INT(H73*1)/1=FALSE),IF(ISNUMBER(K73)=TRUE,K73=INT(K73*1)/1=FALSE)),"Error","")</f>
        <v/>
      </c>
    </row>
    <row r="74" spans="2:15" s="103" customFormat="1" x14ac:dyDescent="0.25">
      <c r="B74" s="60" t="s">
        <v>365</v>
      </c>
      <c r="C74" s="94" t="s">
        <v>127</v>
      </c>
      <c r="D74" s="104" t="str">
        <f>IFERROR(IF(VLOOKUP(C74,Overview!$B$30:$E$84,2,FALSE)=0,"",VLOOKUP(C74,Overview!$B$30:$E$84,2,FALSE)),"")</f>
        <v>Kazakhstan National Technical University</v>
      </c>
      <c r="E74" s="104" t="str">
        <f>IFERROR(IF(OR(VLOOKUP(C74,Overview!$B$30:$E$84,4,FALSE)="Country not found",VLOOKUP(C74,Overview!$B$30:$E$84,3,FALSE)=0),"",VLOOKUP(C74,Overview!$B$30:$E$84,3,FALSE)),"")</f>
        <v>Kazakhstan</v>
      </c>
      <c r="F74" s="108" t="s">
        <v>580</v>
      </c>
      <c r="G74" s="109" t="s">
        <v>520</v>
      </c>
      <c r="H74" s="110">
        <v>1</v>
      </c>
      <c r="I74" s="108" t="s">
        <v>578</v>
      </c>
      <c r="J74" s="108" t="s">
        <v>343</v>
      </c>
      <c r="K74" s="110">
        <v>7</v>
      </c>
      <c r="L74" s="111">
        <f>IF(O74="Error",0,ROUND(ROUND(H74,0)*(VLOOKUP(J74,Rates!$J$5:$K$10,2,FALSE)),2))</f>
        <v>820</v>
      </c>
      <c r="M74" s="112">
        <f t="shared" ref="M74:M75" si="6">IF(O74="Error",0,ROUND(ROUND(H74,0)*INDEX(CostRates,MATCH(ROUND(K74,0),CostDays,0),MATCH(G74,CostCat,0)),2))</f>
        <v>840</v>
      </c>
      <c r="N74" s="113">
        <f t="shared" si="2"/>
        <v>1660</v>
      </c>
      <c r="O74" s="102" t="str">
        <f>IF(OR(COUNTIF(Rates!$J$13:$J$17,B74)=0,COUNTIF(Overview!$B$30:$B$84,C74)=0,D74="",E74="",F74="",COUNTIF(Rates!$Y$4:$Z$4,G74)=0,ISNUMBER(H74)=FALSE,I74="",COUNTIF(Rates!$J$5:$J$10,J74)=0,ISNUMBER(K74)=FALSE,IF(OR(IF(AND(G74="Staff",K74&gt;365),1,0)=1,IF(AND(G74="Student",K74&gt;60),1,0)=1),1,0)=1,IF(ISNUMBER(H74)=TRUE,H74=INT(H74*1)/1=FALSE),IF(ISNUMBER(K74)=TRUE,K74=INT(K74*1)/1=FALSE)),"Error","")</f>
        <v/>
      </c>
    </row>
    <row r="75" spans="2:15" s="103" customFormat="1" x14ac:dyDescent="0.25">
      <c r="B75" s="60" t="s">
        <v>365</v>
      </c>
      <c r="C75" s="94" t="s">
        <v>128</v>
      </c>
      <c r="D75" s="104" t="str">
        <f>IFERROR(IF(VLOOKUP(C75,Overview!$B$30:$E$84,2,FALSE)=0,"",VLOOKUP(C75,Overview!$B$30:$E$84,2,FALSE)),"")</f>
        <v xml:space="preserve">Zhezkazgan Baikonurov University </v>
      </c>
      <c r="E75" s="104" t="str">
        <f>IFERROR(IF(OR(VLOOKUP(C75,Overview!$B$30:$E$84,4,FALSE)="Country not found",VLOOKUP(C75,Overview!$B$30:$E$84,3,FALSE)=0),"",VLOOKUP(C75,Overview!$B$30:$E$84,3,FALSE)),"")</f>
        <v>Kazakhstan</v>
      </c>
      <c r="F75" s="108" t="s">
        <v>600</v>
      </c>
      <c r="G75" s="109" t="s">
        <v>520</v>
      </c>
      <c r="H75" s="110">
        <v>1</v>
      </c>
      <c r="I75" s="108" t="s">
        <v>578</v>
      </c>
      <c r="J75" s="108" t="s">
        <v>343</v>
      </c>
      <c r="K75" s="110">
        <v>7</v>
      </c>
      <c r="L75" s="111">
        <f>IF(O75="Error",0,ROUND(ROUND(H75,0)*(VLOOKUP(J75,Rates!$J$5:$K$10,2,FALSE)),2))</f>
        <v>820</v>
      </c>
      <c r="M75" s="112">
        <f t="shared" si="6"/>
        <v>840</v>
      </c>
      <c r="N75" s="113">
        <f t="shared" si="2"/>
        <v>1660</v>
      </c>
      <c r="O75" s="102" t="str">
        <f>IF(OR(COUNTIF(Rates!$J$13:$J$17,B75)=0,COUNTIF(Overview!$B$30:$B$84,C75)=0,D75="",E75="",F75="",COUNTIF(Rates!$Y$4:$Z$4,G75)=0,ISNUMBER(H75)=FALSE,I75="",COUNTIF(Rates!$J$5:$J$10,J75)=0,ISNUMBER(K75)=FALSE,IF(OR(IF(AND(G75="Staff",K75&gt;365),1,0)=1,IF(AND(G75="Student",K75&gt;60),1,0)=1),1,0)=1,IF(ISNUMBER(H75)=TRUE,H75=INT(H75*1)/1=FALSE),IF(ISNUMBER(K75)=TRUE,K75=INT(K75*1)/1=FALSE)),"Error","")</f>
        <v/>
      </c>
    </row>
    <row r="76" spans="2:15" s="103" customFormat="1" x14ac:dyDescent="0.25">
      <c r="B76" s="60" t="s">
        <v>365</v>
      </c>
      <c r="C76" s="94" t="s">
        <v>20</v>
      </c>
      <c r="D76" s="104" t="str">
        <f>IFERROR(IF(VLOOKUP(C76,Overview!$B$30:$E$84,2,FALSE)=0,"",VLOOKUP(C76,Overview!$B$30:$E$84,2,FALSE)),"")</f>
        <v>Tashkent State Technical University</v>
      </c>
      <c r="E76" s="104" t="str">
        <f>IFERROR(IF(OR(VLOOKUP(C76,Overview!$B$30:$E$84,4,FALSE)="Country not found",VLOOKUP(C76,Overview!$B$30:$E$84,3,FALSE)=0),"",VLOOKUP(C76,Overview!$B$30:$E$84,3,FALSE)),"")</f>
        <v>Uzbekistan</v>
      </c>
      <c r="F76" s="108" t="s">
        <v>579</v>
      </c>
      <c r="G76" s="109" t="s">
        <v>522</v>
      </c>
      <c r="H76" s="110">
        <v>1</v>
      </c>
      <c r="I76" s="108" t="s">
        <v>576</v>
      </c>
      <c r="J76" s="108" t="s">
        <v>343</v>
      </c>
      <c r="K76" s="110">
        <v>14</v>
      </c>
      <c r="L76" s="111">
        <f>IF(O76="Error",0,ROUND(ROUND(H76,0)*(VLOOKUP(J76,Rates!$J$5:$K$10,2,FALSE)),2))</f>
        <v>820</v>
      </c>
      <c r="M76" s="112">
        <f t="shared" si="0"/>
        <v>770</v>
      </c>
      <c r="N76" s="113">
        <f t="shared" si="2"/>
        <v>1590</v>
      </c>
      <c r="O76" s="102" t="str">
        <f>IF(OR(COUNTIF(Rates!$J$13:$J$17,B76)=0,COUNTIF(Overview!$B$30:$B$84,C76)=0,D76="",E76="",F76="",COUNTIF(Rates!$Y$4:$Z$4,G76)=0,ISNUMBER(H76)=FALSE,I76="",COUNTIF(Rates!$J$5:$J$10,J76)=0,ISNUMBER(K76)=FALSE,IF(OR(IF(AND(G76="Staff",K76&gt;365),1,0)=1,IF(AND(G76="Student",K76&gt;60),1,0)=1),1,0)=1,IF(ISNUMBER(H76)=TRUE,H76=INT(H76*1)/1=FALSE),IF(ISNUMBER(K76)=TRUE,K76=INT(K76*1)/1=FALSE)),"Error","")</f>
        <v/>
      </c>
    </row>
    <row r="77" spans="2:15" s="103" customFormat="1" x14ac:dyDescent="0.25">
      <c r="B77" s="60" t="s">
        <v>365</v>
      </c>
      <c r="C77" s="94" t="s">
        <v>21</v>
      </c>
      <c r="D77" s="104" t="str">
        <f>IFERROR(IF(VLOOKUP(C77,Overview!$B$30:$E$84,2,FALSE)=0,"",VLOOKUP(C77,Overview!$B$30:$E$84,2,FALSE)),"")</f>
        <v>National University of Uzbekistan</v>
      </c>
      <c r="E77" s="104" t="str">
        <f>IFERROR(IF(OR(VLOOKUP(C77,Overview!$B$30:$E$84,4,FALSE)="Country not found",VLOOKUP(C77,Overview!$B$30:$E$84,3,FALSE)=0),"",VLOOKUP(C77,Overview!$B$30:$E$84,3,FALSE)),"")</f>
        <v>Uzbekistan</v>
      </c>
      <c r="F77" s="108" t="s">
        <v>579</v>
      </c>
      <c r="G77" s="109" t="s">
        <v>522</v>
      </c>
      <c r="H77" s="110">
        <v>1</v>
      </c>
      <c r="I77" s="108" t="s">
        <v>576</v>
      </c>
      <c r="J77" s="108" t="s">
        <v>343</v>
      </c>
      <c r="K77" s="110">
        <v>14</v>
      </c>
      <c r="L77" s="111">
        <f>IF(O77="Error",0,ROUND(ROUND(H77,0)*(VLOOKUP(J77,Rates!$J$5:$K$10,2,FALSE)),2))</f>
        <v>820</v>
      </c>
      <c r="M77" s="112">
        <f t="shared" si="0"/>
        <v>770</v>
      </c>
      <c r="N77" s="113">
        <f t="shared" si="2"/>
        <v>1590</v>
      </c>
      <c r="O77" s="102" t="str">
        <f>IF(OR(COUNTIF(Rates!$J$13:$J$17,B77)=0,COUNTIF(Overview!$B$30:$B$84,C77)=0,D77="",E77="",F77="",COUNTIF(Rates!$Y$4:$Z$4,G77)=0,ISNUMBER(H77)=FALSE,I77="",COUNTIF(Rates!$J$5:$J$10,J77)=0,ISNUMBER(K77)=FALSE,IF(OR(IF(AND(G77="Staff",K77&gt;365),1,0)=1,IF(AND(G77="Student",K77&gt;60),1,0)=1),1,0)=1,IF(ISNUMBER(H77)=TRUE,H77=INT(H77*1)/1=FALSE),IF(ISNUMBER(K77)=TRUE,K77=INT(K77*1)/1=FALSE)),"Error","")</f>
        <v/>
      </c>
    </row>
    <row r="78" spans="2:15" s="103" customFormat="1" x14ac:dyDescent="0.25">
      <c r="B78" s="60" t="s">
        <v>365</v>
      </c>
      <c r="C78" s="94" t="s">
        <v>24</v>
      </c>
      <c r="D78" s="104" t="str">
        <f>IFERROR(IF(VLOOKUP(C78,Overview!$B$30:$E$84,2,FALSE)=0,"",VLOOKUP(C78,Overview!$B$30:$E$84,2,FALSE)),"")</f>
        <v>Kyrgyz State Technical University</v>
      </c>
      <c r="E78" s="104" t="str">
        <f>IFERROR(IF(OR(VLOOKUP(C78,Overview!$B$30:$E$84,4,FALSE)="Country not found",VLOOKUP(C78,Overview!$B$30:$E$84,3,FALSE)=0),"",VLOOKUP(C78,Overview!$B$30:$E$84,3,FALSE)),"")</f>
        <v>Kyrgyzstan</v>
      </c>
      <c r="F78" s="108" t="s">
        <v>584</v>
      </c>
      <c r="G78" s="109" t="s">
        <v>522</v>
      </c>
      <c r="H78" s="110">
        <v>1</v>
      </c>
      <c r="I78" s="108" t="s">
        <v>576</v>
      </c>
      <c r="J78" s="108" t="s">
        <v>343</v>
      </c>
      <c r="K78" s="110">
        <v>14</v>
      </c>
      <c r="L78" s="111">
        <f>IF(O78="Error",0,ROUND(ROUND(H78,0)*(VLOOKUP(J78,Rates!$J$5:$K$10,2,FALSE)),2))</f>
        <v>820</v>
      </c>
      <c r="M78" s="112">
        <f t="shared" si="0"/>
        <v>770</v>
      </c>
      <c r="N78" s="113">
        <f t="shared" si="2"/>
        <v>1590</v>
      </c>
      <c r="O78" s="102" t="str">
        <f>IF(OR(COUNTIF(Rates!$J$13:$J$17,B78)=0,COUNTIF(Overview!$B$30:$B$84,C78)=0,D78="",E78="",F78="",COUNTIF(Rates!$Y$4:$Z$4,G78)=0,ISNUMBER(H78)=FALSE,I78="",COUNTIF(Rates!$J$5:$J$10,J78)=0,ISNUMBER(K78)=FALSE,IF(OR(IF(AND(G78="Staff",K78&gt;365),1,0)=1,IF(AND(G78="Student",K78&gt;60),1,0)=1),1,0)=1,IF(ISNUMBER(H78)=TRUE,H78=INT(H78*1)/1=FALSE),IF(ISNUMBER(K78)=TRUE,K78=INT(K78*1)/1=FALSE)),"Error","")</f>
        <v/>
      </c>
    </row>
    <row r="79" spans="2:15" s="103" customFormat="1" x14ac:dyDescent="0.25">
      <c r="B79" s="60" t="s">
        <v>365</v>
      </c>
      <c r="C79" s="94" t="s">
        <v>25</v>
      </c>
      <c r="D79" s="104" t="str">
        <f>IFERROR(IF(VLOOKUP(C79,Overview!$B$30:$E$84,2,FALSE)=0,"",VLOOKUP(C79,Overview!$B$30:$E$84,2,FALSE)),"")</f>
        <v>Bishkek Academy of Finance and Economics</v>
      </c>
      <c r="E79" s="104" t="str">
        <f>IFERROR(IF(OR(VLOOKUP(C79,Overview!$B$30:$E$84,4,FALSE)="Country not found",VLOOKUP(C79,Overview!$B$30:$E$84,3,FALSE)=0),"",VLOOKUP(C79,Overview!$B$30:$E$84,3,FALSE)),"")</f>
        <v>Kyrgyzstan</v>
      </c>
      <c r="F79" s="108" t="s">
        <v>584</v>
      </c>
      <c r="G79" s="109" t="s">
        <v>522</v>
      </c>
      <c r="H79" s="110">
        <v>1</v>
      </c>
      <c r="I79" s="108" t="s">
        <v>576</v>
      </c>
      <c r="J79" s="108" t="s">
        <v>343</v>
      </c>
      <c r="K79" s="110">
        <v>14</v>
      </c>
      <c r="L79" s="111">
        <f>IF(O79="Error",0,ROUND(ROUND(H79,0)*(VLOOKUP(J79,Rates!$J$5:$K$10,2,FALSE)),2))</f>
        <v>820</v>
      </c>
      <c r="M79" s="112">
        <f t="shared" si="0"/>
        <v>770</v>
      </c>
      <c r="N79" s="113">
        <f t="shared" si="2"/>
        <v>1590</v>
      </c>
      <c r="O79" s="102" t="str">
        <f>IF(OR(COUNTIF(Rates!$J$13:$J$17,B79)=0,COUNTIF(Overview!$B$30:$B$84,C79)=0,D79="",E79="",F79="",COUNTIF(Rates!$Y$4:$Z$4,G79)=0,ISNUMBER(H79)=FALSE,I79="",COUNTIF(Rates!$J$5:$J$10,J79)=0,ISNUMBER(K79)=FALSE,IF(OR(IF(AND(G79="Staff",K79&gt;365),1,0)=1,IF(AND(G79="Student",K79&gt;60),1,0)=1),1,0)=1,IF(ISNUMBER(H79)=TRUE,H79=INT(H79*1)/1=FALSE),IF(ISNUMBER(K79)=TRUE,K79=INT(K79*1)/1=FALSE)),"Error","")</f>
        <v/>
      </c>
    </row>
    <row r="80" spans="2:15" s="103" customFormat="1" x14ac:dyDescent="0.25">
      <c r="B80" s="60" t="s">
        <v>365</v>
      </c>
      <c r="C80" s="94" t="s">
        <v>26</v>
      </c>
      <c r="D80" s="104" t="str">
        <f>IFERROR(IF(VLOOKUP(C80,Overview!$B$30:$E$84,2,FALSE)=0,"",VLOOKUP(C80,Overview!$B$30:$E$84,2,FALSE)),"")</f>
        <v>Osh Technological University</v>
      </c>
      <c r="E80" s="104" t="str">
        <f>IFERROR(IF(OR(VLOOKUP(C80,Overview!$B$30:$E$84,4,FALSE)="Country not found",VLOOKUP(C80,Overview!$B$30:$E$84,3,FALSE)=0),"",VLOOKUP(C80,Overview!$B$30:$E$84,3,FALSE)),"")</f>
        <v>Kyrgyzstan</v>
      </c>
      <c r="F80" s="108" t="s">
        <v>583</v>
      </c>
      <c r="G80" s="109" t="s">
        <v>522</v>
      </c>
      <c r="H80" s="110">
        <v>1</v>
      </c>
      <c r="I80" s="108" t="s">
        <v>576</v>
      </c>
      <c r="J80" s="108" t="s">
        <v>343</v>
      </c>
      <c r="K80" s="110">
        <v>14</v>
      </c>
      <c r="L80" s="111">
        <f>IF(O80="Error",0,ROUND(ROUND(H80,0)*(VLOOKUP(J80,Rates!$J$5:$K$10,2,FALSE)),2))</f>
        <v>820</v>
      </c>
      <c r="M80" s="112">
        <f t="shared" si="0"/>
        <v>770</v>
      </c>
      <c r="N80" s="113">
        <f t="shared" si="2"/>
        <v>1590</v>
      </c>
      <c r="O80" s="102" t="str">
        <f>IF(OR(COUNTIF(Rates!$J$13:$J$17,B80)=0,COUNTIF(Overview!$B$30:$B$84,C80)=0,D80="",E80="",F80="",COUNTIF(Rates!$Y$4:$Z$4,G80)=0,ISNUMBER(H80)=FALSE,I80="",COUNTIF(Rates!$J$5:$J$10,J80)=0,ISNUMBER(K80)=FALSE,IF(OR(IF(AND(G80="Staff",K80&gt;365),1,0)=1,IF(AND(G80="Student",K80&gt;60),1,0)=1),1,0)=1,IF(ISNUMBER(H80)=TRUE,H80=INT(H80*1)/1=FALSE),IF(ISNUMBER(K80)=TRUE,K80=INT(K80*1)/1=FALSE)),"Error","")</f>
        <v/>
      </c>
    </row>
    <row r="81" spans="2:15" s="103" customFormat="1" x14ac:dyDescent="0.25">
      <c r="B81" s="60" t="s">
        <v>365</v>
      </c>
      <c r="C81" s="94" t="s">
        <v>28</v>
      </c>
      <c r="D81" s="104" t="str">
        <f>IFERROR(IF(VLOOKUP(C81,Overview!$B$30:$E$84,2,FALSE)=0,"",VLOOKUP(C81,Overview!$B$30:$E$84,2,FALSE)),"")</f>
        <v>Khujand State University</v>
      </c>
      <c r="E81" s="104" t="str">
        <f>IFERROR(IF(OR(VLOOKUP(C81,Overview!$B$30:$E$84,4,FALSE)="Country not found",VLOOKUP(C81,Overview!$B$30:$E$84,3,FALSE)=0),"",VLOOKUP(C81,Overview!$B$30:$E$84,3,FALSE)),"")</f>
        <v>Tajikistan</v>
      </c>
      <c r="F81" s="108" t="s">
        <v>582</v>
      </c>
      <c r="G81" s="109" t="s">
        <v>522</v>
      </c>
      <c r="H81" s="110">
        <v>1</v>
      </c>
      <c r="I81" s="108" t="s">
        <v>576</v>
      </c>
      <c r="J81" s="108" t="s">
        <v>343</v>
      </c>
      <c r="K81" s="110">
        <v>14</v>
      </c>
      <c r="L81" s="111">
        <f>IF(O81="Error",0,ROUND(ROUND(H81,0)*(VLOOKUP(J81,Rates!$J$5:$K$10,2,FALSE)),2))</f>
        <v>820</v>
      </c>
      <c r="M81" s="112">
        <f t="shared" si="0"/>
        <v>770</v>
      </c>
      <c r="N81" s="113">
        <f t="shared" si="2"/>
        <v>1590</v>
      </c>
      <c r="O81" s="102" t="str">
        <f>IF(OR(COUNTIF(Rates!$J$13:$J$17,B81)=0,COUNTIF(Overview!$B$30:$B$84,C81)=0,D81="",E81="",F81="",COUNTIF(Rates!$Y$4:$Z$4,G81)=0,ISNUMBER(H81)=FALSE,I81="",COUNTIF(Rates!$J$5:$J$10,J81)=0,ISNUMBER(K81)=FALSE,IF(OR(IF(AND(G81="Staff",K81&gt;365),1,0)=1,IF(AND(G81="Student",K81&gt;60),1,0)=1),1,0)=1,IF(ISNUMBER(H81)=TRUE,H81=INT(H81*1)/1=FALSE),IF(ISNUMBER(K81)=TRUE,K81=INT(K81*1)/1=FALSE)),"Error","")</f>
        <v/>
      </c>
    </row>
    <row r="82" spans="2:15" s="103" customFormat="1" x14ac:dyDescent="0.25">
      <c r="B82" s="60" t="s">
        <v>365</v>
      </c>
      <c r="C82" s="94" t="s">
        <v>29</v>
      </c>
      <c r="D82" s="104" t="str">
        <f>IFERROR(IF(VLOOKUP(C82,Overview!$B$30:$E$84,2,FALSE)=0,"",VLOOKUP(C82,Overview!$B$30:$E$84,2,FALSE)),"")</f>
        <v>Khorog State University</v>
      </c>
      <c r="E82" s="104" t="str">
        <f>IFERROR(IF(OR(VLOOKUP(C82,Overview!$B$30:$E$84,4,FALSE)="Country not found",VLOOKUP(C82,Overview!$B$30:$E$84,3,FALSE)=0),"",VLOOKUP(C82,Overview!$B$30:$E$84,3,FALSE)),"")</f>
        <v>Tajikistan</v>
      </c>
      <c r="F82" s="108" t="s">
        <v>581</v>
      </c>
      <c r="G82" s="109" t="s">
        <v>522</v>
      </c>
      <c r="H82" s="110">
        <v>1</v>
      </c>
      <c r="I82" s="108" t="s">
        <v>576</v>
      </c>
      <c r="J82" s="108" t="s">
        <v>343</v>
      </c>
      <c r="K82" s="110">
        <v>14</v>
      </c>
      <c r="L82" s="111">
        <f>IF(O82="Error",0,ROUND(ROUND(H82,0)*(VLOOKUP(J82,Rates!$J$5:$K$10,2,FALSE)),2))</f>
        <v>820</v>
      </c>
      <c r="M82" s="112">
        <f t="shared" ref="M82:M142" si="7">IF(O82="Error",0,ROUND(ROUND(H82,0)*INDEX(CostRates,MATCH(ROUND(K82,0),CostDays,0),MATCH(G82,CostCat,0)),2))</f>
        <v>770</v>
      </c>
      <c r="N82" s="113">
        <f t="shared" si="2"/>
        <v>1590</v>
      </c>
      <c r="O82" s="102" t="str">
        <f>IF(OR(COUNTIF(Rates!$J$13:$J$17,B82)=0,COUNTIF(Overview!$B$30:$B$84,C82)=0,D82="",E82="",F82="",COUNTIF(Rates!$Y$4:$Z$4,G82)=0,ISNUMBER(H82)=FALSE,I82="",COUNTIF(Rates!$J$5:$J$10,J82)=0,ISNUMBER(K82)=FALSE,IF(OR(IF(AND(G82="Staff",K82&gt;365),1,0)=1,IF(AND(G82="Student",K82&gt;60),1,0)=1),1,0)=1,IF(ISNUMBER(H82)=TRUE,H82=INT(H82*1)/1=FALSE),IF(ISNUMBER(K82)=TRUE,K82=INT(K82*1)/1=FALSE)),"Error","")</f>
        <v/>
      </c>
    </row>
    <row r="83" spans="2:15" s="103" customFormat="1" x14ac:dyDescent="0.25">
      <c r="B83" s="60" t="s">
        <v>365</v>
      </c>
      <c r="C83" s="94" t="s">
        <v>30</v>
      </c>
      <c r="D83" s="104" t="str">
        <f>IFERROR(IF(VLOOKUP(C83,Overview!$B$30:$E$84,2,FALSE)=0,"",VLOOKUP(C83,Overview!$B$30:$E$84,2,FALSE)),"")</f>
        <v>Tajik Pedagogical University</v>
      </c>
      <c r="E83" s="104" t="str">
        <f>IFERROR(IF(OR(VLOOKUP(C83,Overview!$B$30:$E$84,4,FALSE)="Country not found",VLOOKUP(C83,Overview!$B$30:$E$84,3,FALSE)=0),"",VLOOKUP(C83,Overview!$B$30:$E$84,3,FALSE)),"")</f>
        <v>Tajikistan</v>
      </c>
      <c r="F83" s="108" t="s">
        <v>585</v>
      </c>
      <c r="G83" s="109" t="s">
        <v>522</v>
      </c>
      <c r="H83" s="110">
        <v>1</v>
      </c>
      <c r="I83" s="108" t="s">
        <v>576</v>
      </c>
      <c r="J83" s="108" t="s">
        <v>343</v>
      </c>
      <c r="K83" s="110">
        <v>14</v>
      </c>
      <c r="L83" s="111">
        <f>IF(O83="Error",0,ROUND(ROUND(H83,0)*(VLOOKUP(J83,Rates!$J$5:$K$10,2,FALSE)),2))</f>
        <v>820</v>
      </c>
      <c r="M83" s="112">
        <f t="shared" si="7"/>
        <v>770</v>
      </c>
      <c r="N83" s="113">
        <f t="shared" ref="N83:N91" si="8">L83+M83</f>
        <v>1590</v>
      </c>
      <c r="O83" s="102" t="str">
        <f>IF(OR(COUNTIF(Rates!$J$13:$J$17,B83)=0,COUNTIF(Overview!$B$30:$B$84,C83)=0,D83="",E83="",F83="",COUNTIF(Rates!$Y$4:$Z$4,G83)=0,ISNUMBER(H83)=FALSE,I83="",COUNTIF(Rates!$J$5:$J$10,J83)=0,ISNUMBER(K83)=FALSE,IF(OR(IF(AND(G83="Staff",K83&gt;365),1,0)=1,IF(AND(G83="Student",K83&gt;60),1,0)=1),1,0)=1,IF(ISNUMBER(H83)=TRUE,H83=INT(H83*1)/1=FALSE),IF(ISNUMBER(K83)=TRUE,K83=INT(K83*1)/1=FALSE)),"Error","")</f>
        <v/>
      </c>
    </row>
    <row r="84" spans="2:15" s="103" customFormat="1" x14ac:dyDescent="0.25">
      <c r="B84" s="60" t="s">
        <v>365</v>
      </c>
      <c r="C84" s="94" t="s">
        <v>33</v>
      </c>
      <c r="D84" s="104" t="str">
        <f>IFERROR(IF(VLOOKUP(C84,Overview!$B$30:$E$84,2,FALSE)=0,"",VLOOKUP(C84,Overview!$B$30:$E$84,2,FALSE)),"")</f>
        <v>KIMEP University, JSC</v>
      </c>
      <c r="E84" s="104" t="str">
        <f>IFERROR(IF(OR(VLOOKUP(C84,Overview!$B$30:$E$84,4,FALSE)="Country not found",VLOOKUP(C84,Overview!$B$30:$E$84,3,FALSE)=0),"",VLOOKUP(C84,Overview!$B$30:$E$84,3,FALSE)),"")</f>
        <v>Kazakhstan</v>
      </c>
      <c r="F84" s="108" t="s">
        <v>580</v>
      </c>
      <c r="G84" s="109" t="s">
        <v>522</v>
      </c>
      <c r="H84" s="110">
        <v>1</v>
      </c>
      <c r="I84" s="108" t="s">
        <v>576</v>
      </c>
      <c r="J84" s="108" t="s">
        <v>343</v>
      </c>
      <c r="K84" s="110">
        <v>14</v>
      </c>
      <c r="L84" s="111">
        <f>IF(O84="Error",0,ROUND(ROUND(H84,0)*(VLOOKUP(J84,Rates!$J$5:$K$10,2,FALSE)),2))</f>
        <v>820</v>
      </c>
      <c r="M84" s="112">
        <f t="shared" si="7"/>
        <v>770</v>
      </c>
      <c r="N84" s="113">
        <f t="shared" si="8"/>
        <v>1590</v>
      </c>
      <c r="O84" s="102" t="str">
        <f>IF(OR(COUNTIF(Rates!$J$13:$J$17,B84)=0,COUNTIF(Overview!$B$30:$B$84,C84)=0,D84="",E84="",F84="",COUNTIF(Rates!$Y$4:$Z$4,G84)=0,ISNUMBER(H84)=FALSE,I84="",COUNTIF(Rates!$J$5:$J$10,J84)=0,ISNUMBER(K84)=FALSE,IF(OR(IF(AND(G84="Staff",K84&gt;365),1,0)=1,IF(AND(G84="Student",K84&gt;60),1,0)=1),1,0)=1,IF(ISNUMBER(H84)=TRUE,H84=INT(H84*1)/1=FALSE),IF(ISNUMBER(K84)=TRUE,K84=INT(K84*1)/1=FALSE)),"Error","")</f>
        <v/>
      </c>
    </row>
    <row r="85" spans="2:15" s="103" customFormat="1" x14ac:dyDescent="0.25">
      <c r="B85" s="60" t="s">
        <v>365</v>
      </c>
      <c r="C85" s="94" t="s">
        <v>126</v>
      </c>
      <c r="D85" s="104" t="str">
        <f>IFERROR(IF(VLOOKUP(C85,Overview!$B$30:$E$84,2,FALSE)=0,"",VLOOKUP(C85,Overview!$B$30:$E$84,2,FALSE)),"")</f>
        <v>Al-Farabi Kazakhstan National University</v>
      </c>
      <c r="E85" s="104" t="str">
        <f>IFERROR(IF(OR(VLOOKUP(C85,Overview!$B$30:$E$84,4,FALSE)="Country not found",VLOOKUP(C85,Overview!$B$30:$E$84,3,FALSE)=0),"",VLOOKUP(C85,Overview!$B$30:$E$84,3,FALSE)),"")</f>
        <v>Kazakhstan</v>
      </c>
      <c r="F85" s="108" t="s">
        <v>580</v>
      </c>
      <c r="G85" s="109" t="s">
        <v>522</v>
      </c>
      <c r="H85" s="110">
        <v>1</v>
      </c>
      <c r="I85" s="108" t="s">
        <v>576</v>
      </c>
      <c r="J85" s="108" t="s">
        <v>343</v>
      </c>
      <c r="K85" s="110">
        <v>14</v>
      </c>
      <c r="L85" s="111">
        <f>IF(O85="Error",0,ROUND(ROUND(H85,0)*(VLOOKUP(J85,Rates!$J$5:$K$10,2,FALSE)),2))</f>
        <v>820</v>
      </c>
      <c r="M85" s="112">
        <f t="shared" si="7"/>
        <v>770</v>
      </c>
      <c r="N85" s="113">
        <f t="shared" si="8"/>
        <v>1590</v>
      </c>
      <c r="O85" s="102" t="str">
        <f>IF(OR(COUNTIF(Rates!$J$13:$J$17,B85)=0,COUNTIF(Overview!$B$30:$B$84,C85)=0,D85="",E85="",F85="",COUNTIF(Rates!$Y$4:$Z$4,G85)=0,ISNUMBER(H85)=FALSE,I85="",COUNTIF(Rates!$J$5:$J$10,J85)=0,ISNUMBER(K85)=FALSE,IF(OR(IF(AND(G85="Staff",K85&gt;365),1,0)=1,IF(AND(G85="Student",K85&gt;60),1,0)=1),1,0)=1,IF(ISNUMBER(H85)=TRUE,H85=INT(H85*1)/1=FALSE),IF(ISNUMBER(K85)=TRUE,K85=INT(K85*1)/1=FALSE)),"Error","")</f>
        <v/>
      </c>
    </row>
    <row r="86" spans="2:15" s="103" customFormat="1" x14ac:dyDescent="0.25">
      <c r="B86" s="60" t="s">
        <v>365</v>
      </c>
      <c r="C86" s="94" t="s">
        <v>127</v>
      </c>
      <c r="D86" s="104" t="str">
        <f>IFERROR(IF(VLOOKUP(C86,Overview!$B$30:$E$84,2,FALSE)=0,"",VLOOKUP(C86,Overview!$B$30:$E$84,2,FALSE)),"")</f>
        <v>Kazakhstan National Technical University</v>
      </c>
      <c r="E86" s="104" t="str">
        <f>IFERROR(IF(OR(VLOOKUP(C86,Overview!$B$30:$E$84,4,FALSE)="Country not found",VLOOKUP(C86,Overview!$B$30:$E$84,3,FALSE)=0),"",VLOOKUP(C86,Overview!$B$30:$E$84,3,FALSE)),"")</f>
        <v>Kazakhstan</v>
      </c>
      <c r="F86" s="108" t="s">
        <v>580</v>
      </c>
      <c r="G86" s="109" t="s">
        <v>522</v>
      </c>
      <c r="H86" s="110">
        <v>1</v>
      </c>
      <c r="I86" s="108" t="s">
        <v>576</v>
      </c>
      <c r="J86" s="108" t="s">
        <v>343</v>
      </c>
      <c r="K86" s="110">
        <v>14</v>
      </c>
      <c r="L86" s="111">
        <f>IF(O86="Error",0,ROUND(ROUND(H86,0)*(VLOOKUP(J86,Rates!$J$5:$K$10,2,FALSE)),2))</f>
        <v>820</v>
      </c>
      <c r="M86" s="112">
        <f t="shared" si="7"/>
        <v>770</v>
      </c>
      <c r="N86" s="113">
        <f t="shared" si="8"/>
        <v>1590</v>
      </c>
      <c r="O86" s="102" t="str">
        <f>IF(OR(COUNTIF(Rates!$J$13:$J$17,B86)=0,COUNTIF(Overview!$B$30:$B$84,C86)=0,D86="",E86="",F86="",COUNTIF(Rates!$Y$4:$Z$4,G86)=0,ISNUMBER(H86)=FALSE,I86="",COUNTIF(Rates!$J$5:$J$10,J86)=0,ISNUMBER(K86)=FALSE,IF(OR(IF(AND(G86="Staff",K86&gt;365),1,0)=1,IF(AND(G86="Student",K86&gt;60),1,0)=1),1,0)=1,IF(ISNUMBER(H86)=TRUE,H86=INT(H86*1)/1=FALSE),IF(ISNUMBER(K86)=TRUE,K86=INT(K86*1)/1=FALSE)),"Error","")</f>
        <v/>
      </c>
    </row>
    <row r="87" spans="2:15" s="103" customFormat="1" x14ac:dyDescent="0.25">
      <c r="B87" s="60" t="s">
        <v>365</v>
      </c>
      <c r="C87" s="94" t="s">
        <v>128</v>
      </c>
      <c r="D87" s="104" t="str">
        <f>IFERROR(IF(VLOOKUP(C87,Overview!$B$30:$E$84,2,FALSE)=0,"",VLOOKUP(C87,Overview!$B$30:$E$84,2,FALSE)),"")</f>
        <v xml:space="preserve">Zhezkazgan Baikonurov University </v>
      </c>
      <c r="E87" s="104" t="str">
        <f>IFERROR(IF(OR(VLOOKUP(C87,Overview!$B$30:$E$84,4,FALSE)="Country not found",VLOOKUP(C87,Overview!$B$30:$E$84,3,FALSE)=0),"",VLOOKUP(C87,Overview!$B$30:$E$84,3,FALSE)),"")</f>
        <v>Kazakhstan</v>
      </c>
      <c r="F87" s="108" t="s">
        <v>600</v>
      </c>
      <c r="G87" s="109" t="s">
        <v>522</v>
      </c>
      <c r="H87" s="110">
        <v>1</v>
      </c>
      <c r="I87" s="108" t="s">
        <v>576</v>
      </c>
      <c r="J87" s="108" t="s">
        <v>343</v>
      </c>
      <c r="K87" s="110">
        <v>14</v>
      </c>
      <c r="L87" s="111">
        <f>IF(O87="Error",0,ROUND(ROUND(H87,0)*(VLOOKUP(J87,Rates!$J$5:$K$10,2,FALSE)),2))</f>
        <v>820</v>
      </c>
      <c r="M87" s="112">
        <f t="shared" si="7"/>
        <v>770</v>
      </c>
      <c r="N87" s="113">
        <f t="shared" si="8"/>
        <v>1590</v>
      </c>
      <c r="O87" s="102" t="str">
        <f>IF(OR(COUNTIF(Rates!$J$13:$J$17,B87)=0,COUNTIF(Overview!$B$30:$B$84,C87)=0,D87="",E87="",F87="",COUNTIF(Rates!$Y$4:$Z$4,G87)=0,ISNUMBER(H87)=FALSE,I87="",COUNTIF(Rates!$J$5:$J$10,J87)=0,ISNUMBER(K87)=FALSE,IF(OR(IF(AND(G87="Staff",K87&gt;365),1,0)=1,IF(AND(G87="Student",K87&gt;60),1,0)=1),1,0)=1,IF(ISNUMBER(H87)=TRUE,H87=INT(H87*1)/1=FALSE),IF(ISNUMBER(K87)=TRUE,K87=INT(K87*1)/1=FALSE)),"Error","")</f>
        <v/>
      </c>
    </row>
    <row r="88" spans="2:15" s="103" customFormat="1" x14ac:dyDescent="0.25">
      <c r="B88" s="60" t="s">
        <v>369</v>
      </c>
      <c r="C88" s="94" t="s">
        <v>15</v>
      </c>
      <c r="D88" s="104" t="str">
        <f>IFERROR(IF(VLOOKUP(C88,Overview!$B$30:$E$84,2,FALSE)=0,"",VLOOKUP(C88,Overview!$B$30:$E$84,2,FALSE)),"")</f>
        <v>University of Patras</v>
      </c>
      <c r="E88" s="104" t="str">
        <f>IFERROR(IF(OR(VLOOKUP(C88,Overview!$B$30:$E$84,4,FALSE)="Country not found",VLOOKUP(C88,Overview!$B$30:$E$84,3,FALSE)=0),"",VLOOKUP(C88,Overview!$B$30:$E$84,3,FALSE)),"")</f>
        <v>Greece</v>
      </c>
      <c r="F88" s="108" t="s">
        <v>576</v>
      </c>
      <c r="G88" s="109" t="s">
        <v>520</v>
      </c>
      <c r="H88" s="110">
        <v>2</v>
      </c>
      <c r="I88" s="108" t="s">
        <v>611</v>
      </c>
      <c r="J88" s="108" t="s">
        <v>338</v>
      </c>
      <c r="K88" s="110">
        <v>2</v>
      </c>
      <c r="L88" s="111">
        <f>IF(O88="Error",0,ROUND(ROUND(H88,0)*(VLOOKUP(J88,Rates!$J$5:$K$10,2,FALSE)),2))</f>
        <v>550</v>
      </c>
      <c r="M88" s="112">
        <f t="shared" si="7"/>
        <v>480</v>
      </c>
      <c r="N88" s="113">
        <f t="shared" si="8"/>
        <v>1030</v>
      </c>
      <c r="O88" s="102" t="str">
        <f>IF(OR(COUNTIF(Rates!$J$13:$J$17,B88)=0,COUNTIF(Overview!$B$30:$B$84,C88)=0,D88="",E88="",F88="",COUNTIF(Rates!$Y$4:$Z$4,G88)=0,ISNUMBER(H88)=FALSE,I88="",COUNTIF(Rates!$J$5:$J$10,J88)=0,ISNUMBER(K88)=FALSE,IF(OR(IF(AND(G88="Staff",K88&gt;365),1,0)=1,IF(AND(G88="Student",K88&gt;60),1,0)=1),1,0)=1,IF(ISNUMBER(H88)=TRUE,H88=INT(H88*1)/1=FALSE),IF(ISNUMBER(K88)=TRUE,K88=INT(K88*1)/1=FALSE)),"Error","")</f>
        <v/>
      </c>
    </row>
    <row r="89" spans="2:15" s="103" customFormat="1" x14ac:dyDescent="0.25">
      <c r="B89" s="60" t="s">
        <v>369</v>
      </c>
      <c r="C89" s="94" t="s">
        <v>16</v>
      </c>
      <c r="D89" s="104" t="str">
        <f>IFERROR(IF(VLOOKUP(C89,Overview!$B$30:$E$84,2,FALSE)=0,"",VLOOKUP(C89,Overview!$B$30:$E$84,2,FALSE)),"")</f>
        <v>Bath Spa University</v>
      </c>
      <c r="E89" s="104" t="str">
        <f>IFERROR(IF(OR(VLOOKUP(C89,Overview!$B$30:$E$84,4,FALSE)="Country not found",VLOOKUP(C89,Overview!$B$30:$E$84,3,FALSE)=0),"",VLOOKUP(C89,Overview!$B$30:$E$84,3,FALSE)),"")</f>
        <v>United Kingdom</v>
      </c>
      <c r="F89" s="108" t="s">
        <v>597</v>
      </c>
      <c r="G89" s="109" t="s">
        <v>520</v>
      </c>
      <c r="H89" s="110">
        <v>2</v>
      </c>
      <c r="I89" s="108" t="s">
        <v>611</v>
      </c>
      <c r="J89" s="108" t="s">
        <v>338</v>
      </c>
      <c r="K89" s="110">
        <v>2</v>
      </c>
      <c r="L89" s="111">
        <f>IF(O89="Error",0,ROUND(ROUND(H89,0)*(VLOOKUP(J89,Rates!$J$5:$K$10,2,FALSE)),2))</f>
        <v>550</v>
      </c>
      <c r="M89" s="112">
        <f t="shared" si="7"/>
        <v>480</v>
      </c>
      <c r="N89" s="113">
        <f t="shared" si="8"/>
        <v>1030</v>
      </c>
      <c r="O89" s="102" t="str">
        <f>IF(OR(COUNTIF(Rates!$J$13:$J$17,B89)=0,COUNTIF(Overview!$B$30:$B$84,C89)=0,D89="",E89="",F89="",COUNTIF(Rates!$Y$4:$Z$4,G89)=0,ISNUMBER(H89)=FALSE,I89="",COUNTIF(Rates!$J$5:$J$10,J89)=0,ISNUMBER(K89)=FALSE,IF(OR(IF(AND(G89="Staff",K89&gt;365),1,0)=1,IF(AND(G89="Student",K89&gt;60),1,0)=1),1,0)=1,IF(ISNUMBER(H89)=TRUE,H89=INT(H89*1)/1=FALSE),IF(ISNUMBER(K89)=TRUE,K89=INT(K89*1)/1=FALSE)),"Error","")</f>
        <v/>
      </c>
    </row>
    <row r="90" spans="2:15" s="103" customFormat="1" x14ac:dyDescent="0.25">
      <c r="B90" s="60" t="s">
        <v>369</v>
      </c>
      <c r="C90" s="94" t="s">
        <v>18</v>
      </c>
      <c r="D90" s="104" t="str">
        <f>IFERROR(IF(VLOOKUP(C90,Overview!$B$30:$E$84,2,FALSE)=0,"",VLOOKUP(C90,Overview!$B$30:$E$84,2,FALSE)),"")</f>
        <v>Koblenz-Landau University</v>
      </c>
      <c r="E90" s="104" t="str">
        <f>IFERROR(IF(OR(VLOOKUP(C90,Overview!$B$30:$E$84,4,FALSE)="Country not found",VLOOKUP(C90,Overview!$B$30:$E$84,3,FALSE)=0),"",VLOOKUP(C90,Overview!$B$30:$E$84,3,FALSE)),"")</f>
        <v>Germany</v>
      </c>
      <c r="F90" s="108" t="s">
        <v>578</v>
      </c>
      <c r="G90" s="109" t="s">
        <v>520</v>
      </c>
      <c r="H90" s="110">
        <v>2</v>
      </c>
      <c r="I90" s="108" t="s">
        <v>611</v>
      </c>
      <c r="J90" s="108" t="s">
        <v>338</v>
      </c>
      <c r="K90" s="110">
        <v>2</v>
      </c>
      <c r="L90" s="111">
        <f>IF(O90="Error",0,ROUND(ROUND(H90,0)*(VLOOKUP(J90,Rates!$J$5:$K$10,2,FALSE)),2))</f>
        <v>550</v>
      </c>
      <c r="M90" s="112">
        <f t="shared" si="7"/>
        <v>480</v>
      </c>
      <c r="N90" s="113">
        <f t="shared" si="8"/>
        <v>1030</v>
      </c>
      <c r="O90" s="102" t="str">
        <f>IF(OR(COUNTIF(Rates!$J$13:$J$17,B90)=0,COUNTIF(Overview!$B$30:$B$84,C90)=0,D90="",E90="",F90="",COUNTIF(Rates!$Y$4:$Z$4,G90)=0,ISNUMBER(H90)=FALSE,I90="",COUNTIF(Rates!$J$5:$J$10,J90)=0,ISNUMBER(K90)=FALSE,IF(OR(IF(AND(G90="Staff",K90&gt;365),1,0)=1,IF(AND(G90="Student",K90&gt;60),1,0)=1),1,0)=1,IF(ISNUMBER(H90)=TRUE,H90=INT(H90*1)/1=FALSE),IF(ISNUMBER(K90)=TRUE,K90=INT(K90*1)/1=FALSE)),"Error","")</f>
        <v/>
      </c>
    </row>
    <row r="91" spans="2:15" s="103" customFormat="1" x14ac:dyDescent="0.25">
      <c r="B91" s="60" t="s">
        <v>369</v>
      </c>
      <c r="C91" s="94" t="s">
        <v>19</v>
      </c>
      <c r="D91" s="104" t="str">
        <f>IFERROR(IF(VLOOKUP(C91,Overview!$B$30:$E$84,2,FALSE)=0,"",VLOOKUP(C91,Overview!$B$30:$E$84,2,FALSE)),"")</f>
        <v>The Network University</v>
      </c>
      <c r="E91" s="104" t="str">
        <f>IFERROR(IF(OR(VLOOKUP(C91,Overview!$B$30:$E$84,4,FALSE)="Country not found",VLOOKUP(C91,Overview!$B$30:$E$84,3,FALSE)=0),"",VLOOKUP(C91,Overview!$B$30:$E$84,3,FALSE)),"")</f>
        <v>Netherlands</v>
      </c>
      <c r="F91" s="108" t="s">
        <v>587</v>
      </c>
      <c r="G91" s="109" t="s">
        <v>520</v>
      </c>
      <c r="H91" s="110">
        <v>2</v>
      </c>
      <c r="I91" s="108" t="s">
        <v>611</v>
      </c>
      <c r="J91" s="108" t="s">
        <v>338</v>
      </c>
      <c r="K91" s="110">
        <v>2</v>
      </c>
      <c r="L91" s="111">
        <f>IF(O91="Error",0,ROUND(ROUND(H91,0)*(VLOOKUP(J91,Rates!$J$5:$K$10,2,FALSE)),2))</f>
        <v>550</v>
      </c>
      <c r="M91" s="112">
        <f t="shared" si="7"/>
        <v>480</v>
      </c>
      <c r="N91" s="113">
        <f t="shared" si="8"/>
        <v>1030</v>
      </c>
      <c r="O91" s="102" t="str">
        <f>IF(OR(COUNTIF(Rates!$J$13:$J$17,B91)=0,COUNTIF(Overview!$B$30:$B$84,C91)=0,D91="",E91="",F91="",COUNTIF(Rates!$Y$4:$Z$4,G91)=0,ISNUMBER(H91)=FALSE,I91="",COUNTIF(Rates!$J$5:$J$10,J91)=0,ISNUMBER(K91)=FALSE,IF(OR(IF(AND(G91="Staff",K91&gt;365),1,0)=1,IF(AND(G91="Student",K91&gt;60),1,0)=1),1,0)=1,IF(ISNUMBER(H91)=TRUE,H91=INT(H91*1)/1=FALSE),IF(ISNUMBER(K91)=TRUE,K91=INT(K91*1)/1=FALSE)),"Error","")</f>
        <v/>
      </c>
    </row>
    <row r="92" spans="2:15" s="103" customFormat="1" x14ac:dyDescent="0.25">
      <c r="B92" s="60" t="s">
        <v>369</v>
      </c>
      <c r="C92" s="94" t="s">
        <v>20</v>
      </c>
      <c r="D92" s="104" t="str">
        <f>IFERROR(IF(VLOOKUP(C92,Overview!$B$30:$E$84,2,FALSE)=0,"",VLOOKUP(C92,Overview!$B$30:$E$84,2,FALSE)),"")</f>
        <v>Tashkent State Technical University</v>
      </c>
      <c r="E92" s="104" t="str">
        <f>IFERROR(IF(OR(VLOOKUP(C92,Overview!$B$30:$E$84,4,FALSE)="Country not found",VLOOKUP(C92,Overview!$B$30:$E$84,3,FALSE)=0),"",VLOOKUP(C92,Overview!$B$30:$E$84,3,FALSE)),"")</f>
        <v>Uzbekistan</v>
      </c>
      <c r="F92" s="108" t="s">
        <v>579</v>
      </c>
      <c r="G92" s="109" t="s">
        <v>520</v>
      </c>
      <c r="H92" s="110">
        <v>2</v>
      </c>
      <c r="I92" s="108" t="s">
        <v>611</v>
      </c>
      <c r="J92" s="108" t="s">
        <v>343</v>
      </c>
      <c r="K92" s="110">
        <v>2</v>
      </c>
      <c r="L92" s="111">
        <f>IF(O92="Error",0,ROUND(ROUND(H92,0)*(VLOOKUP(J92,Rates!$J$5:$K$10,2,FALSE)),2))</f>
        <v>1640</v>
      </c>
      <c r="M92" s="112">
        <f t="shared" si="7"/>
        <v>480</v>
      </c>
      <c r="N92" s="113">
        <f t="shared" ref="N92:N157" si="9">L92+M92</f>
        <v>2120</v>
      </c>
      <c r="O92" s="102" t="str">
        <f>IF(OR(COUNTIF(Rates!$J$13:$J$17,B92)=0,COUNTIF(Overview!$B$30:$B$84,C92)=0,D92="",E92="",F92="",COUNTIF(Rates!$Y$4:$Z$4,G92)=0,ISNUMBER(H92)=FALSE,I92="",COUNTIF(Rates!$J$5:$J$10,J92)=0,ISNUMBER(K92)=FALSE,IF(OR(IF(AND(G92="Staff",K92&gt;365),1,0)=1,IF(AND(G92="Student",K92&gt;60),1,0)=1),1,0)=1,IF(ISNUMBER(H92)=TRUE,H92=INT(H92*1)/1=FALSE),IF(ISNUMBER(K92)=TRUE,K92=INT(K92*1)/1=FALSE)),"Error","")</f>
        <v/>
      </c>
    </row>
    <row r="93" spans="2:15" s="103" customFormat="1" x14ac:dyDescent="0.25">
      <c r="B93" s="60" t="s">
        <v>369</v>
      </c>
      <c r="C93" s="94" t="s">
        <v>21</v>
      </c>
      <c r="D93" s="104" t="str">
        <f>IFERROR(IF(VLOOKUP(C93,Overview!$B$30:$E$84,2,FALSE)=0,"",VLOOKUP(C93,Overview!$B$30:$E$84,2,FALSE)),"")</f>
        <v>National University of Uzbekistan</v>
      </c>
      <c r="E93" s="104" t="str">
        <f>IFERROR(IF(OR(VLOOKUP(C93,Overview!$B$30:$E$84,4,FALSE)="Country not found",VLOOKUP(C93,Overview!$B$30:$E$84,3,FALSE)=0),"",VLOOKUP(C93,Overview!$B$30:$E$84,3,FALSE)),"")</f>
        <v>Uzbekistan</v>
      </c>
      <c r="F93" s="108" t="s">
        <v>579</v>
      </c>
      <c r="G93" s="109" t="s">
        <v>520</v>
      </c>
      <c r="H93" s="110">
        <v>2</v>
      </c>
      <c r="I93" s="108" t="s">
        <v>611</v>
      </c>
      <c r="J93" s="108" t="s">
        <v>343</v>
      </c>
      <c r="K93" s="110">
        <v>2</v>
      </c>
      <c r="L93" s="111">
        <f>IF(O93="Error",0,ROUND(ROUND(H93,0)*(VLOOKUP(J93,Rates!$J$5:$K$10,2,FALSE)),2))</f>
        <v>1640</v>
      </c>
      <c r="M93" s="112">
        <f t="shared" si="7"/>
        <v>480</v>
      </c>
      <c r="N93" s="113">
        <f t="shared" si="9"/>
        <v>2120</v>
      </c>
      <c r="O93" s="102" t="str">
        <f>IF(OR(COUNTIF(Rates!$J$13:$J$17,B93)=0,COUNTIF(Overview!$B$30:$B$84,C93)=0,D93="",E93="",F93="",COUNTIF(Rates!$Y$4:$Z$4,G93)=0,ISNUMBER(H93)=FALSE,I93="",COUNTIF(Rates!$J$5:$J$10,J93)=0,ISNUMBER(K93)=FALSE,IF(OR(IF(AND(G93="Staff",K93&gt;365),1,0)=1,IF(AND(G93="Student",K93&gt;60),1,0)=1),1,0)=1,IF(ISNUMBER(H93)=TRUE,H93=INT(H93*1)/1=FALSE),IF(ISNUMBER(K93)=TRUE,K93=INT(K93*1)/1=FALSE)),"Error","")</f>
        <v/>
      </c>
    </row>
    <row r="94" spans="2:15" s="103" customFormat="1" x14ac:dyDescent="0.25">
      <c r="B94" s="60" t="s">
        <v>369</v>
      </c>
      <c r="C94" s="94" t="s">
        <v>22</v>
      </c>
      <c r="D94" s="104" t="str">
        <f>IFERROR(IF(VLOOKUP(C94,Overview!$B$30:$E$84,2,FALSE)=0,"",VLOOKUP(C94,Overview!$B$30:$E$84,2,FALSE)),"")</f>
        <v>Enterprise “Business Drilling”</v>
      </c>
      <c r="E94" s="104" t="str">
        <f>IFERROR(IF(OR(VLOOKUP(C94,Overview!$B$30:$E$84,4,FALSE)="Country not found",VLOOKUP(C94,Overview!$B$30:$E$84,3,FALSE)=0),"",VLOOKUP(C94,Overview!$B$30:$E$84,3,FALSE)),"")</f>
        <v>Uzbekistan</v>
      </c>
      <c r="F94" s="108" t="s">
        <v>579</v>
      </c>
      <c r="G94" s="109" t="s">
        <v>520</v>
      </c>
      <c r="H94" s="110">
        <v>1</v>
      </c>
      <c r="I94" s="108" t="s">
        <v>611</v>
      </c>
      <c r="J94" s="108" t="s">
        <v>343</v>
      </c>
      <c r="K94" s="110">
        <v>2</v>
      </c>
      <c r="L94" s="111">
        <f>IF(O94="Error",0,ROUND(ROUND(H94,0)*(VLOOKUP(J94,Rates!$J$5:$K$10,2,FALSE)),2))</f>
        <v>820</v>
      </c>
      <c r="M94" s="112">
        <f t="shared" si="7"/>
        <v>240</v>
      </c>
      <c r="N94" s="113">
        <f t="shared" si="9"/>
        <v>1060</v>
      </c>
      <c r="O94" s="102" t="str">
        <f>IF(OR(COUNTIF(Rates!$J$13:$J$17,B94)=0,COUNTIF(Overview!$B$30:$B$84,C94)=0,D94="",E94="",F94="",COUNTIF(Rates!$Y$4:$Z$4,G94)=0,ISNUMBER(H94)=FALSE,I94="",COUNTIF(Rates!$J$5:$J$10,J94)=0,ISNUMBER(K94)=FALSE,IF(OR(IF(AND(G94="Staff",K94&gt;365),1,0)=1,IF(AND(G94="Student",K94&gt;60),1,0)=1),1,0)=1,IF(ISNUMBER(H94)=TRUE,H94=INT(H94*1)/1=FALSE),IF(ISNUMBER(K94)=TRUE,K94=INT(K94*1)/1=FALSE)),"Error","")</f>
        <v/>
      </c>
    </row>
    <row r="95" spans="2:15" s="103" customFormat="1" x14ac:dyDescent="0.25">
      <c r="B95" s="60" t="s">
        <v>369</v>
      </c>
      <c r="C95" s="94" t="s">
        <v>23</v>
      </c>
      <c r="D95" s="104" t="str">
        <f>IFERROR(IF(VLOOKUP(C95,Overview!$B$30:$E$84,2,FALSE)=0,"",VLOOKUP(C95,Overview!$B$30:$E$84,2,FALSE)),"")</f>
        <v>Ministry of Education of Uzbekistan</v>
      </c>
      <c r="E95" s="104" t="str">
        <f>IFERROR(IF(OR(VLOOKUP(C95,Overview!$B$30:$E$84,4,FALSE)="Country not found",VLOOKUP(C95,Overview!$B$30:$E$84,3,FALSE)=0),"",VLOOKUP(C95,Overview!$B$30:$E$84,3,FALSE)),"")</f>
        <v>Uzbekistan</v>
      </c>
      <c r="F95" s="108" t="s">
        <v>579</v>
      </c>
      <c r="G95" s="109" t="s">
        <v>520</v>
      </c>
      <c r="H95" s="110">
        <v>1</v>
      </c>
      <c r="I95" s="108" t="s">
        <v>611</v>
      </c>
      <c r="J95" s="108" t="s">
        <v>343</v>
      </c>
      <c r="K95" s="110">
        <v>2</v>
      </c>
      <c r="L95" s="111">
        <f>IF(O95="Error",0,ROUND(ROUND(H95,0)*(VLOOKUP(J95,Rates!$J$5:$K$10,2,FALSE)),2))</f>
        <v>820</v>
      </c>
      <c r="M95" s="112">
        <f t="shared" si="7"/>
        <v>240</v>
      </c>
      <c r="N95" s="113">
        <f t="shared" si="9"/>
        <v>1060</v>
      </c>
      <c r="O95" s="102" t="str">
        <f>IF(OR(COUNTIF(Rates!$J$13:$J$17,B95)=0,COUNTIF(Overview!$B$30:$B$84,C95)=0,D95="",E95="",F95="",COUNTIF(Rates!$Y$4:$Z$4,G95)=0,ISNUMBER(H95)=FALSE,I95="",COUNTIF(Rates!$J$5:$J$10,J95)=0,ISNUMBER(K95)=FALSE,IF(OR(IF(AND(G95="Staff",K95&gt;365),1,0)=1,IF(AND(G95="Student",K95&gt;60),1,0)=1),1,0)=1,IF(ISNUMBER(H95)=TRUE,H95=INT(H95*1)/1=FALSE),IF(ISNUMBER(K95)=TRUE,K95=INT(K95*1)/1=FALSE)),"Error","")</f>
        <v/>
      </c>
    </row>
    <row r="96" spans="2:15" s="103" customFormat="1" x14ac:dyDescent="0.25">
      <c r="B96" s="60" t="s">
        <v>369</v>
      </c>
      <c r="C96" s="94" t="s">
        <v>24</v>
      </c>
      <c r="D96" s="104" t="str">
        <f>IFERROR(IF(VLOOKUP(C96,Overview!$B$30:$E$84,2,FALSE)=0,"",VLOOKUP(C96,Overview!$B$30:$E$84,2,FALSE)),"")</f>
        <v>Kyrgyz State Technical University</v>
      </c>
      <c r="E96" s="104" t="str">
        <f>IFERROR(IF(OR(VLOOKUP(C96,Overview!$B$30:$E$84,4,FALSE)="Country not found",VLOOKUP(C96,Overview!$B$30:$E$84,3,FALSE)=0),"",VLOOKUP(C96,Overview!$B$30:$E$84,3,FALSE)),"")</f>
        <v>Kyrgyzstan</v>
      </c>
      <c r="F96" s="108" t="s">
        <v>584</v>
      </c>
      <c r="G96" s="109" t="s">
        <v>520</v>
      </c>
      <c r="H96" s="110">
        <v>2</v>
      </c>
      <c r="I96" s="108" t="s">
        <v>611</v>
      </c>
      <c r="J96" s="108" t="s">
        <v>343</v>
      </c>
      <c r="K96" s="110">
        <v>2</v>
      </c>
      <c r="L96" s="111">
        <f>IF(O96="Error",0,ROUND(ROUND(H96,0)*(VLOOKUP(J96,Rates!$J$5:$K$10,2,FALSE)),2))</f>
        <v>1640</v>
      </c>
      <c r="M96" s="112">
        <f t="shared" si="7"/>
        <v>480</v>
      </c>
      <c r="N96" s="113">
        <f t="shared" si="9"/>
        <v>2120</v>
      </c>
      <c r="O96" s="102" t="str">
        <f>IF(OR(COUNTIF(Rates!$J$13:$J$17,B96)=0,COUNTIF(Overview!$B$30:$B$84,C96)=0,D96="",E96="",F96="",COUNTIF(Rates!$Y$4:$Z$4,G96)=0,ISNUMBER(H96)=FALSE,I96="",COUNTIF(Rates!$J$5:$J$10,J96)=0,ISNUMBER(K96)=FALSE,IF(OR(IF(AND(G96="Staff",K96&gt;365),1,0)=1,IF(AND(G96="Student",K96&gt;60),1,0)=1),1,0)=1,IF(ISNUMBER(H96)=TRUE,H96=INT(H96*1)/1=FALSE),IF(ISNUMBER(K96)=TRUE,K96=INT(K96*1)/1=FALSE)),"Error","")</f>
        <v/>
      </c>
    </row>
    <row r="97" spans="2:15" s="103" customFormat="1" x14ac:dyDescent="0.25">
      <c r="B97" s="60" t="s">
        <v>369</v>
      </c>
      <c r="C97" s="94" t="s">
        <v>25</v>
      </c>
      <c r="D97" s="104" t="str">
        <f>IFERROR(IF(VLOOKUP(C97,Overview!$B$30:$E$84,2,FALSE)=0,"",VLOOKUP(C97,Overview!$B$30:$E$84,2,FALSE)),"")</f>
        <v>Bishkek Academy of Finance and Economics</v>
      </c>
      <c r="E97" s="104" t="str">
        <f>IFERROR(IF(OR(VLOOKUP(C97,Overview!$B$30:$E$84,4,FALSE)="Country not found",VLOOKUP(C97,Overview!$B$30:$E$84,3,FALSE)=0),"",VLOOKUP(C97,Overview!$B$30:$E$84,3,FALSE)),"")</f>
        <v>Kyrgyzstan</v>
      </c>
      <c r="F97" s="108" t="s">
        <v>584</v>
      </c>
      <c r="G97" s="109" t="s">
        <v>520</v>
      </c>
      <c r="H97" s="110">
        <v>2</v>
      </c>
      <c r="I97" s="108" t="s">
        <v>611</v>
      </c>
      <c r="J97" s="108" t="s">
        <v>343</v>
      </c>
      <c r="K97" s="110">
        <v>2</v>
      </c>
      <c r="L97" s="111">
        <f>IF(O97="Error",0,ROUND(ROUND(H97,0)*(VLOOKUP(J97,Rates!$J$5:$K$10,2,FALSE)),2))</f>
        <v>1640</v>
      </c>
      <c r="M97" s="112">
        <f t="shared" si="7"/>
        <v>480</v>
      </c>
      <c r="N97" s="113">
        <f t="shared" si="9"/>
        <v>2120</v>
      </c>
      <c r="O97" s="102" t="str">
        <f>IF(OR(COUNTIF(Rates!$J$13:$J$17,B97)=0,COUNTIF(Overview!$B$30:$B$84,C97)=0,D97="",E97="",F97="",COUNTIF(Rates!$Y$4:$Z$4,G97)=0,ISNUMBER(H97)=FALSE,I97="",COUNTIF(Rates!$J$5:$J$10,J97)=0,ISNUMBER(K97)=FALSE,IF(OR(IF(AND(G97="Staff",K97&gt;365),1,0)=1,IF(AND(G97="Student",K97&gt;60),1,0)=1),1,0)=1,IF(ISNUMBER(H97)=TRUE,H97=INT(H97*1)/1=FALSE),IF(ISNUMBER(K97)=TRUE,K97=INT(K97*1)/1=FALSE)),"Error","")</f>
        <v/>
      </c>
    </row>
    <row r="98" spans="2:15" s="103" customFormat="1" x14ac:dyDescent="0.25">
      <c r="B98" s="60" t="s">
        <v>369</v>
      </c>
      <c r="C98" s="94" t="s">
        <v>26</v>
      </c>
      <c r="D98" s="104" t="str">
        <f>IFERROR(IF(VLOOKUP(C98,Overview!$B$30:$E$84,2,FALSE)=0,"",VLOOKUP(C98,Overview!$B$30:$E$84,2,FALSE)),"")</f>
        <v>Osh Technological University</v>
      </c>
      <c r="E98" s="104" t="str">
        <f>IFERROR(IF(OR(VLOOKUP(C98,Overview!$B$30:$E$84,4,FALSE)="Country not found",VLOOKUP(C98,Overview!$B$30:$E$84,3,FALSE)=0),"",VLOOKUP(C98,Overview!$B$30:$E$84,3,FALSE)),"")</f>
        <v>Kyrgyzstan</v>
      </c>
      <c r="F98" s="108" t="s">
        <v>583</v>
      </c>
      <c r="G98" s="109" t="s">
        <v>520</v>
      </c>
      <c r="H98" s="110">
        <v>2</v>
      </c>
      <c r="I98" s="108" t="s">
        <v>611</v>
      </c>
      <c r="J98" s="108" t="s">
        <v>343</v>
      </c>
      <c r="K98" s="110">
        <v>2</v>
      </c>
      <c r="L98" s="111">
        <f>IF(O98="Error",0,ROUND(ROUND(H98,0)*(VLOOKUP(J98,Rates!$J$5:$K$10,2,FALSE)),2))</f>
        <v>1640</v>
      </c>
      <c r="M98" s="112">
        <f t="shared" si="7"/>
        <v>480</v>
      </c>
      <c r="N98" s="113">
        <f t="shared" si="9"/>
        <v>2120</v>
      </c>
      <c r="O98" s="102" t="str">
        <f>IF(OR(COUNTIF(Rates!$J$13:$J$17,B98)=0,COUNTIF(Overview!$B$30:$B$84,C98)=0,D98="",E98="",F98="",COUNTIF(Rates!$Y$4:$Z$4,G98)=0,ISNUMBER(H98)=FALSE,I98="",COUNTIF(Rates!$J$5:$J$10,J98)=0,ISNUMBER(K98)=FALSE,IF(OR(IF(AND(G98="Staff",K98&gt;365),1,0)=1,IF(AND(G98="Student",K98&gt;60),1,0)=1),1,0)=1,IF(ISNUMBER(H98)=TRUE,H98=INT(H98*1)/1=FALSE),IF(ISNUMBER(K98)=TRUE,K98=INT(K98*1)/1=FALSE)),"Error","")</f>
        <v/>
      </c>
    </row>
    <row r="99" spans="2:15" s="103" customFormat="1" x14ac:dyDescent="0.25">
      <c r="B99" s="60" t="s">
        <v>369</v>
      </c>
      <c r="C99" s="94" t="s">
        <v>346</v>
      </c>
      <c r="D99" s="104" t="str">
        <f>IFERROR(IF(VLOOKUP(C99,Overview!$B$30:$E$84,2,FALSE)=0,"",VLOOKUP(C99,Overview!$B$30:$E$84,2,FALSE)),"")</f>
        <v>Bishkek Business Club</v>
      </c>
      <c r="E99" s="104" t="str">
        <f>IFERROR(IF(OR(VLOOKUP(C99,Overview!$B$30:$E$84,4,FALSE)="Country not found",VLOOKUP(C99,Overview!$B$30:$E$84,3,FALSE)=0),"",VLOOKUP(C99,Overview!$B$30:$E$84,3,FALSE)),"")</f>
        <v>Kyrgyzstan</v>
      </c>
      <c r="F99" s="108" t="s">
        <v>584</v>
      </c>
      <c r="G99" s="109" t="s">
        <v>520</v>
      </c>
      <c r="H99" s="110">
        <v>1</v>
      </c>
      <c r="I99" s="108" t="s">
        <v>611</v>
      </c>
      <c r="J99" s="108" t="s">
        <v>343</v>
      </c>
      <c r="K99" s="110">
        <v>2</v>
      </c>
      <c r="L99" s="111">
        <f>IF(O99="Error",0,ROUND(ROUND(H99,0)*(VLOOKUP(J99,Rates!$J$5:$K$10,2,FALSE)),2))</f>
        <v>820</v>
      </c>
      <c r="M99" s="112">
        <f t="shared" si="7"/>
        <v>240</v>
      </c>
      <c r="N99" s="113">
        <f t="shared" si="9"/>
        <v>1060</v>
      </c>
      <c r="O99" s="102" t="str">
        <f>IF(OR(COUNTIF(Rates!$J$13:$J$17,B99)=0,COUNTIF(Overview!$B$30:$B$84,C99)=0,D99="",E99="",F99="",COUNTIF(Rates!$Y$4:$Z$4,G99)=0,ISNUMBER(H99)=FALSE,I99="",COUNTIF(Rates!$J$5:$J$10,J99)=0,ISNUMBER(K99)=FALSE,IF(OR(IF(AND(G99="Staff",K99&gt;365),1,0)=1,IF(AND(G99="Student",K99&gt;60),1,0)=1),1,0)=1,IF(ISNUMBER(H99)=TRUE,H99=INT(H99*1)/1=FALSE),IF(ISNUMBER(K99)=TRUE,K99=INT(K99*1)/1=FALSE)),"Error","")</f>
        <v/>
      </c>
    </row>
    <row r="100" spans="2:15" s="103" customFormat="1" x14ac:dyDescent="0.25">
      <c r="B100" s="60" t="s">
        <v>369</v>
      </c>
      <c r="C100" s="94" t="s">
        <v>27</v>
      </c>
      <c r="D100" s="104" t="str">
        <f>IFERROR(IF(VLOOKUP(C100,Overview!$B$30:$E$84,2,FALSE)=0,"",VLOOKUP(C100,Overview!$B$30:$E$84,2,FALSE)),"")</f>
        <v>Ministry of Education of Kyrgyzstan</v>
      </c>
      <c r="E100" s="104" t="str">
        <f>IFERROR(IF(OR(VLOOKUP(C100,Overview!$B$30:$E$84,4,FALSE)="Country not found",VLOOKUP(C100,Overview!$B$30:$E$84,3,FALSE)=0),"",VLOOKUP(C100,Overview!$B$30:$E$84,3,FALSE)),"")</f>
        <v>Kyrgyzstan</v>
      </c>
      <c r="F100" s="108" t="s">
        <v>584</v>
      </c>
      <c r="G100" s="109" t="s">
        <v>520</v>
      </c>
      <c r="H100" s="110">
        <v>1</v>
      </c>
      <c r="I100" s="108" t="s">
        <v>611</v>
      </c>
      <c r="J100" s="108" t="s">
        <v>343</v>
      </c>
      <c r="K100" s="110">
        <v>2</v>
      </c>
      <c r="L100" s="111">
        <f>IF(O100="Error",0,ROUND(ROUND(H100,0)*(VLOOKUP(J100,Rates!$J$5:$K$10,2,FALSE)),2))</f>
        <v>820</v>
      </c>
      <c r="M100" s="112">
        <f t="shared" si="7"/>
        <v>240</v>
      </c>
      <c r="N100" s="113">
        <f t="shared" si="9"/>
        <v>1060</v>
      </c>
      <c r="O100" s="102" t="str">
        <f>IF(OR(COUNTIF(Rates!$J$13:$J$17,B100)=0,COUNTIF(Overview!$B$30:$B$84,C100)=0,D100="",E100="",F100="",COUNTIF(Rates!$Y$4:$Z$4,G100)=0,ISNUMBER(H100)=FALSE,I100="",COUNTIF(Rates!$J$5:$J$10,J100)=0,ISNUMBER(K100)=FALSE,IF(OR(IF(AND(G100="Staff",K100&gt;365),1,0)=1,IF(AND(G100="Student",K100&gt;60),1,0)=1),1,0)=1,IF(ISNUMBER(H100)=TRUE,H100=INT(H100*1)/1=FALSE),IF(ISNUMBER(K100)=TRUE,K100=INT(K100*1)/1=FALSE)),"Error","")</f>
        <v/>
      </c>
    </row>
    <row r="101" spans="2:15" s="103" customFormat="1" x14ac:dyDescent="0.25">
      <c r="B101" s="60" t="s">
        <v>369</v>
      </c>
      <c r="C101" s="94" t="s">
        <v>28</v>
      </c>
      <c r="D101" s="104" t="str">
        <f>IFERROR(IF(VLOOKUP(C101,Overview!$B$30:$E$84,2,FALSE)=0,"",VLOOKUP(C101,Overview!$B$30:$E$84,2,FALSE)),"")</f>
        <v>Khujand State University</v>
      </c>
      <c r="E101" s="104" t="str">
        <f>IFERROR(IF(OR(VLOOKUP(C101,Overview!$B$30:$E$84,4,FALSE)="Country not found",VLOOKUP(C101,Overview!$B$30:$E$84,3,FALSE)=0),"",VLOOKUP(C101,Overview!$B$30:$E$84,3,FALSE)),"")</f>
        <v>Tajikistan</v>
      </c>
      <c r="F101" s="108" t="s">
        <v>582</v>
      </c>
      <c r="G101" s="109" t="s">
        <v>520</v>
      </c>
      <c r="H101" s="110">
        <v>2</v>
      </c>
      <c r="I101" s="108" t="s">
        <v>611</v>
      </c>
      <c r="J101" s="108" t="s">
        <v>343</v>
      </c>
      <c r="K101" s="110">
        <v>2</v>
      </c>
      <c r="L101" s="111">
        <f>IF(O101="Error",0,ROUND(ROUND(H101,0)*(VLOOKUP(J101,Rates!$J$5:$K$10,2,FALSE)),2))</f>
        <v>1640</v>
      </c>
      <c r="M101" s="112">
        <f t="shared" si="7"/>
        <v>480</v>
      </c>
      <c r="N101" s="113">
        <f t="shared" si="9"/>
        <v>2120</v>
      </c>
      <c r="O101" s="102" t="str">
        <f>IF(OR(COUNTIF(Rates!$J$13:$J$17,B101)=0,COUNTIF(Overview!$B$30:$B$84,C101)=0,D101="",E101="",F101="",COUNTIF(Rates!$Y$4:$Z$4,G101)=0,ISNUMBER(H101)=FALSE,I101="",COUNTIF(Rates!$J$5:$J$10,J101)=0,ISNUMBER(K101)=FALSE,IF(OR(IF(AND(G101="Staff",K101&gt;365),1,0)=1,IF(AND(G101="Student",K101&gt;60),1,0)=1),1,0)=1,IF(ISNUMBER(H101)=TRUE,H101=INT(H101*1)/1=FALSE),IF(ISNUMBER(K101)=TRUE,K101=INT(K101*1)/1=FALSE)),"Error","")</f>
        <v/>
      </c>
    </row>
    <row r="102" spans="2:15" s="103" customFormat="1" x14ac:dyDescent="0.25">
      <c r="B102" s="60" t="s">
        <v>369</v>
      </c>
      <c r="C102" s="94" t="s">
        <v>29</v>
      </c>
      <c r="D102" s="104" t="str">
        <f>IFERROR(IF(VLOOKUP(C102,Overview!$B$30:$E$84,2,FALSE)=0,"",VLOOKUP(C102,Overview!$B$30:$E$84,2,FALSE)),"")</f>
        <v>Khorog State University</v>
      </c>
      <c r="E102" s="104" t="str">
        <f>IFERROR(IF(OR(VLOOKUP(C102,Overview!$B$30:$E$84,4,FALSE)="Country not found",VLOOKUP(C102,Overview!$B$30:$E$84,3,FALSE)=0),"",VLOOKUP(C102,Overview!$B$30:$E$84,3,FALSE)),"")</f>
        <v>Tajikistan</v>
      </c>
      <c r="F102" s="108" t="s">
        <v>581</v>
      </c>
      <c r="G102" s="109" t="s">
        <v>520</v>
      </c>
      <c r="H102" s="110">
        <v>2</v>
      </c>
      <c r="I102" s="108" t="s">
        <v>611</v>
      </c>
      <c r="J102" s="108" t="s">
        <v>343</v>
      </c>
      <c r="K102" s="110">
        <v>2</v>
      </c>
      <c r="L102" s="111">
        <f>IF(O102="Error",0,ROUND(ROUND(H102,0)*(VLOOKUP(J102,Rates!$J$5:$K$10,2,FALSE)),2))</f>
        <v>1640</v>
      </c>
      <c r="M102" s="112">
        <f t="shared" si="7"/>
        <v>480</v>
      </c>
      <c r="N102" s="113">
        <f t="shared" si="9"/>
        <v>2120</v>
      </c>
      <c r="O102" s="102" t="str">
        <f>IF(OR(COUNTIF(Rates!$J$13:$J$17,B102)=0,COUNTIF(Overview!$B$30:$B$84,C102)=0,D102="",E102="",F102="",COUNTIF(Rates!$Y$4:$Z$4,G102)=0,ISNUMBER(H102)=FALSE,I102="",COUNTIF(Rates!$J$5:$J$10,J102)=0,ISNUMBER(K102)=FALSE,IF(OR(IF(AND(G102="Staff",K102&gt;365),1,0)=1,IF(AND(G102="Student",K102&gt;60),1,0)=1),1,0)=1,IF(ISNUMBER(H102)=TRUE,H102=INT(H102*1)/1=FALSE),IF(ISNUMBER(K102)=TRUE,K102=INT(K102*1)/1=FALSE)),"Error","")</f>
        <v/>
      </c>
    </row>
    <row r="103" spans="2:15" s="103" customFormat="1" x14ac:dyDescent="0.25">
      <c r="B103" s="60" t="s">
        <v>369</v>
      </c>
      <c r="C103" s="94" t="s">
        <v>30</v>
      </c>
      <c r="D103" s="104" t="str">
        <f>IFERROR(IF(VLOOKUP(C103,Overview!$B$30:$E$84,2,FALSE)=0,"",VLOOKUP(C103,Overview!$B$30:$E$84,2,FALSE)),"")</f>
        <v>Tajik Pedagogical University</v>
      </c>
      <c r="E103" s="104" t="str">
        <f>IFERROR(IF(OR(VLOOKUP(C103,Overview!$B$30:$E$84,4,FALSE)="Country not found",VLOOKUP(C103,Overview!$B$30:$E$84,3,FALSE)=0),"",VLOOKUP(C103,Overview!$B$30:$E$84,3,FALSE)),"")</f>
        <v>Tajikistan</v>
      </c>
      <c r="F103" s="108" t="s">
        <v>585</v>
      </c>
      <c r="G103" s="109" t="s">
        <v>520</v>
      </c>
      <c r="H103" s="110">
        <v>2</v>
      </c>
      <c r="I103" s="108" t="s">
        <v>611</v>
      </c>
      <c r="J103" s="108" t="s">
        <v>343</v>
      </c>
      <c r="K103" s="110">
        <v>2</v>
      </c>
      <c r="L103" s="111">
        <f>IF(O103="Error",0,ROUND(ROUND(H103,0)*(VLOOKUP(J103,Rates!$J$5:$K$10,2,FALSE)),2))</f>
        <v>1640</v>
      </c>
      <c r="M103" s="112">
        <f t="shared" si="7"/>
        <v>480</v>
      </c>
      <c r="N103" s="113">
        <f t="shared" si="9"/>
        <v>2120</v>
      </c>
      <c r="O103" s="102" t="str">
        <f>IF(OR(COUNTIF(Rates!$J$13:$J$17,B103)=0,COUNTIF(Overview!$B$30:$B$84,C103)=0,D103="",E103="",F103="",COUNTIF(Rates!$Y$4:$Z$4,G103)=0,ISNUMBER(H103)=FALSE,I103="",COUNTIF(Rates!$J$5:$J$10,J103)=0,ISNUMBER(K103)=FALSE,IF(OR(IF(AND(G103="Staff",K103&gt;365),1,0)=1,IF(AND(G103="Student",K103&gt;60),1,0)=1),1,0)=1,IF(ISNUMBER(H103)=TRUE,H103=INT(H103*1)/1=FALSE),IF(ISNUMBER(K103)=TRUE,K103=INT(K103*1)/1=FALSE)),"Error","")</f>
        <v/>
      </c>
    </row>
    <row r="104" spans="2:15" s="103" customFormat="1" x14ac:dyDescent="0.25">
      <c r="B104" s="60" t="s">
        <v>369</v>
      </c>
      <c r="C104" s="94" t="s">
        <v>31</v>
      </c>
      <c r="D104" s="104" t="str">
        <f>IFERROR(IF(VLOOKUP(C104,Overview!$B$30:$E$84,2,FALSE)=0,"",VLOOKUP(C104,Overview!$B$30:$E$84,2,FALSE)),"")</f>
        <v>Center of development and support of VET education</v>
      </c>
      <c r="E104" s="104" t="str">
        <f>IFERROR(IF(OR(VLOOKUP(C104,Overview!$B$30:$E$84,4,FALSE)="Country not found",VLOOKUP(C104,Overview!$B$30:$E$84,3,FALSE)=0),"",VLOOKUP(C104,Overview!$B$30:$E$84,3,FALSE)),"")</f>
        <v>Tajikistan</v>
      </c>
      <c r="F104" s="108" t="s">
        <v>582</v>
      </c>
      <c r="G104" s="109" t="s">
        <v>520</v>
      </c>
      <c r="H104" s="110">
        <v>1</v>
      </c>
      <c r="I104" s="108" t="s">
        <v>611</v>
      </c>
      <c r="J104" s="108" t="s">
        <v>343</v>
      </c>
      <c r="K104" s="110">
        <v>2</v>
      </c>
      <c r="L104" s="111">
        <f>IF(O104="Error",0,ROUND(ROUND(H104,0)*(VLOOKUP(J104,Rates!$J$5:$K$10,2,FALSE)),2))</f>
        <v>820</v>
      </c>
      <c r="M104" s="112">
        <f t="shared" si="7"/>
        <v>240</v>
      </c>
      <c r="N104" s="113">
        <f t="shared" si="9"/>
        <v>1060</v>
      </c>
      <c r="O104" s="102" t="str">
        <f>IF(OR(COUNTIF(Rates!$J$13:$J$17,B104)=0,COUNTIF(Overview!$B$30:$B$84,C104)=0,D104="",E104="",F104="",COUNTIF(Rates!$Y$4:$Z$4,G104)=0,ISNUMBER(H104)=FALSE,I104="",COUNTIF(Rates!$J$5:$J$10,J104)=0,ISNUMBER(K104)=FALSE,IF(OR(IF(AND(G104="Staff",K104&gt;365),1,0)=1,IF(AND(G104="Student",K104&gt;60),1,0)=1),1,0)=1,IF(ISNUMBER(H104)=TRUE,H104=INT(H104*1)/1=FALSE),IF(ISNUMBER(K104)=TRUE,K104=INT(K104*1)/1=FALSE)),"Error","")</f>
        <v/>
      </c>
    </row>
    <row r="105" spans="2:15" s="103" customFormat="1" x14ac:dyDescent="0.25">
      <c r="B105" s="60" t="s">
        <v>369</v>
      </c>
      <c r="C105" s="94" t="s">
        <v>32</v>
      </c>
      <c r="D105" s="104" t="str">
        <f>IFERROR(IF(VLOOKUP(C105,Overview!$B$30:$E$84,2,FALSE)=0,"",VLOOKUP(C105,Overview!$B$30:$E$84,2,FALSE)),"")</f>
        <v>Ministry of Education of Tajikistan</v>
      </c>
      <c r="E105" s="104" t="str">
        <f>IFERROR(IF(OR(VLOOKUP(C105,Overview!$B$30:$E$84,4,FALSE)="Country not found",VLOOKUP(C105,Overview!$B$30:$E$84,3,FALSE)=0),"",VLOOKUP(C105,Overview!$B$30:$E$84,3,FALSE)),"")</f>
        <v>Tajikistan</v>
      </c>
      <c r="F105" s="108" t="s">
        <v>585</v>
      </c>
      <c r="G105" s="109" t="s">
        <v>520</v>
      </c>
      <c r="H105" s="110">
        <v>1</v>
      </c>
      <c r="I105" s="108" t="s">
        <v>611</v>
      </c>
      <c r="J105" s="108" t="s">
        <v>343</v>
      </c>
      <c r="K105" s="110">
        <v>2</v>
      </c>
      <c r="L105" s="111">
        <f>IF(O105="Error",0,ROUND(ROUND(H105,0)*(VLOOKUP(J105,Rates!$J$5:$K$10,2,FALSE)),2))</f>
        <v>820</v>
      </c>
      <c r="M105" s="112">
        <f t="shared" si="7"/>
        <v>240</v>
      </c>
      <c r="N105" s="113">
        <f t="shared" si="9"/>
        <v>1060</v>
      </c>
      <c r="O105" s="102" t="str">
        <f>IF(OR(COUNTIF(Rates!$J$13:$J$17,B105)=0,COUNTIF(Overview!$B$30:$B$84,C105)=0,D105="",E105="",F105="",COUNTIF(Rates!$Y$4:$Z$4,G105)=0,ISNUMBER(H105)=FALSE,I105="",COUNTIF(Rates!$J$5:$J$10,J105)=0,ISNUMBER(K105)=FALSE,IF(OR(IF(AND(G105="Staff",K105&gt;365),1,0)=1,IF(AND(G105="Student",K105&gt;60),1,0)=1),1,0)=1,IF(ISNUMBER(H105)=TRUE,H105=INT(H105*1)/1=FALSE),IF(ISNUMBER(K105)=TRUE,K105=INT(K105*1)/1=FALSE)),"Error","")</f>
        <v/>
      </c>
    </row>
    <row r="106" spans="2:15" s="103" customFormat="1" x14ac:dyDescent="0.25">
      <c r="B106" s="60" t="s">
        <v>369</v>
      </c>
      <c r="C106" s="94" t="s">
        <v>33</v>
      </c>
      <c r="D106" s="104" t="str">
        <f>IFERROR(IF(VLOOKUP(C106,Overview!$B$30:$E$84,2,FALSE)=0,"",VLOOKUP(C106,Overview!$B$30:$E$84,2,FALSE)),"")</f>
        <v>KIMEP University, JSC</v>
      </c>
      <c r="E106" s="104" t="str">
        <f>IFERROR(IF(OR(VLOOKUP(C106,Overview!$B$30:$E$84,4,FALSE)="Country not found",VLOOKUP(C106,Overview!$B$30:$E$84,3,FALSE)=0),"",VLOOKUP(C106,Overview!$B$30:$E$84,3,FALSE)),"")</f>
        <v>Kazakhstan</v>
      </c>
      <c r="F106" s="108" t="s">
        <v>580</v>
      </c>
      <c r="G106" s="109" t="s">
        <v>520</v>
      </c>
      <c r="H106" s="110">
        <v>2</v>
      </c>
      <c r="I106" s="108" t="s">
        <v>611</v>
      </c>
      <c r="J106" s="108" t="s">
        <v>343</v>
      </c>
      <c r="K106" s="110">
        <v>2</v>
      </c>
      <c r="L106" s="111">
        <f>IF(O106="Error",0,ROUND(ROUND(H106,0)*(VLOOKUP(J106,Rates!$J$5:$K$10,2,FALSE)),2))</f>
        <v>1640</v>
      </c>
      <c r="M106" s="112">
        <f t="shared" si="7"/>
        <v>480</v>
      </c>
      <c r="N106" s="113">
        <f t="shared" si="9"/>
        <v>2120</v>
      </c>
      <c r="O106" s="102" t="str">
        <f>IF(OR(COUNTIF(Rates!$J$13:$J$17,B106)=0,COUNTIF(Overview!$B$30:$B$84,C106)=0,D106="",E106="",F106="",COUNTIF(Rates!$Y$4:$Z$4,G106)=0,ISNUMBER(H106)=FALSE,I106="",COUNTIF(Rates!$J$5:$J$10,J106)=0,ISNUMBER(K106)=FALSE,IF(OR(IF(AND(G106="Staff",K106&gt;365),1,0)=1,IF(AND(G106="Student",K106&gt;60),1,0)=1),1,0)=1,IF(ISNUMBER(H106)=TRUE,H106=INT(H106*1)/1=FALSE),IF(ISNUMBER(K106)=TRUE,K106=INT(K106*1)/1=FALSE)),"Error","")</f>
        <v/>
      </c>
    </row>
    <row r="107" spans="2:15" s="103" customFormat="1" x14ac:dyDescent="0.25">
      <c r="B107" s="60" t="s">
        <v>369</v>
      </c>
      <c r="C107" s="94" t="s">
        <v>126</v>
      </c>
      <c r="D107" s="104" t="str">
        <f>IFERROR(IF(VLOOKUP(C107,Overview!$B$30:$E$84,2,FALSE)=0,"",VLOOKUP(C107,Overview!$B$30:$E$84,2,FALSE)),"")</f>
        <v>Al-Farabi Kazakhstan National University</v>
      </c>
      <c r="E107" s="104" t="str">
        <f>IFERROR(IF(OR(VLOOKUP(C107,Overview!$B$30:$E$84,4,FALSE)="Country not found",VLOOKUP(C107,Overview!$B$30:$E$84,3,FALSE)=0),"",VLOOKUP(C107,Overview!$B$30:$E$84,3,FALSE)),"")</f>
        <v>Kazakhstan</v>
      </c>
      <c r="F107" s="108" t="s">
        <v>580</v>
      </c>
      <c r="G107" s="109" t="s">
        <v>520</v>
      </c>
      <c r="H107" s="110">
        <v>2</v>
      </c>
      <c r="I107" s="108" t="s">
        <v>611</v>
      </c>
      <c r="J107" s="108" t="s">
        <v>343</v>
      </c>
      <c r="K107" s="110">
        <v>2</v>
      </c>
      <c r="L107" s="111">
        <f>IF(O107="Error",0,ROUND(ROUND(H107,0)*(VLOOKUP(J107,Rates!$J$5:$K$10,2,FALSE)),2))</f>
        <v>1640</v>
      </c>
      <c r="M107" s="112">
        <f t="shared" si="7"/>
        <v>480</v>
      </c>
      <c r="N107" s="113">
        <f t="shared" si="9"/>
        <v>2120</v>
      </c>
      <c r="O107" s="102" t="str">
        <f>IF(OR(COUNTIF(Rates!$J$13:$J$17,B107)=0,COUNTIF(Overview!$B$30:$B$84,C107)=0,D107="",E107="",F107="",COUNTIF(Rates!$Y$4:$Z$4,G107)=0,ISNUMBER(H107)=FALSE,I107="",COUNTIF(Rates!$J$5:$J$10,J107)=0,ISNUMBER(K107)=FALSE,IF(OR(IF(AND(G107="Staff",K107&gt;365),1,0)=1,IF(AND(G107="Student",K107&gt;60),1,0)=1),1,0)=1,IF(ISNUMBER(H107)=TRUE,H107=INT(H107*1)/1=FALSE),IF(ISNUMBER(K107)=TRUE,K107=INT(K107*1)/1=FALSE)),"Error","")</f>
        <v/>
      </c>
    </row>
    <row r="108" spans="2:15" s="103" customFormat="1" x14ac:dyDescent="0.25">
      <c r="B108" s="60" t="s">
        <v>369</v>
      </c>
      <c r="C108" s="94" t="s">
        <v>127</v>
      </c>
      <c r="D108" s="104" t="str">
        <f>IFERROR(IF(VLOOKUP(C108,Overview!$B$30:$E$84,2,FALSE)=0,"",VLOOKUP(C108,Overview!$B$30:$E$84,2,FALSE)),"")</f>
        <v>Kazakhstan National Technical University</v>
      </c>
      <c r="E108" s="104" t="str">
        <f>IFERROR(IF(OR(VLOOKUP(C108,Overview!$B$30:$E$84,4,FALSE)="Country not found",VLOOKUP(C108,Overview!$B$30:$E$84,3,FALSE)=0),"",VLOOKUP(C108,Overview!$B$30:$E$84,3,FALSE)),"")</f>
        <v>Kazakhstan</v>
      </c>
      <c r="F108" s="108" t="s">
        <v>580</v>
      </c>
      <c r="G108" s="109" t="s">
        <v>520</v>
      </c>
      <c r="H108" s="110">
        <v>2</v>
      </c>
      <c r="I108" s="108" t="s">
        <v>611</v>
      </c>
      <c r="J108" s="108" t="s">
        <v>343</v>
      </c>
      <c r="K108" s="110">
        <v>2</v>
      </c>
      <c r="L108" s="111">
        <f>IF(O108="Error",0,ROUND(ROUND(H108,0)*(VLOOKUP(J108,Rates!$J$5:$K$10,2,FALSE)),2))</f>
        <v>1640</v>
      </c>
      <c r="M108" s="112">
        <f t="shared" si="7"/>
        <v>480</v>
      </c>
      <c r="N108" s="113">
        <f t="shared" si="9"/>
        <v>2120</v>
      </c>
      <c r="O108" s="102" t="str">
        <f>IF(OR(COUNTIF(Rates!$J$13:$J$17,B108)=0,COUNTIF(Overview!$B$30:$B$84,C108)=0,D108="",E108="",F108="",COUNTIF(Rates!$Y$4:$Z$4,G108)=0,ISNUMBER(H108)=FALSE,I108="",COUNTIF(Rates!$J$5:$J$10,J108)=0,ISNUMBER(K108)=FALSE,IF(OR(IF(AND(G108="Staff",K108&gt;365),1,0)=1,IF(AND(G108="Student",K108&gt;60),1,0)=1),1,0)=1,IF(ISNUMBER(H108)=TRUE,H108=INT(H108*1)/1=FALSE),IF(ISNUMBER(K108)=TRUE,K108=INT(K108*1)/1=FALSE)),"Error","")</f>
        <v/>
      </c>
    </row>
    <row r="109" spans="2:15" s="103" customFormat="1" x14ac:dyDescent="0.25">
      <c r="B109" s="60" t="s">
        <v>369</v>
      </c>
      <c r="C109" s="94" t="s">
        <v>128</v>
      </c>
      <c r="D109" s="104" t="str">
        <f>IFERROR(IF(VLOOKUP(C109,Overview!$B$30:$E$84,2,FALSE)=0,"",VLOOKUP(C109,Overview!$B$30:$E$84,2,FALSE)),"")</f>
        <v xml:space="preserve">Zhezkazgan Baikonurov University </v>
      </c>
      <c r="E109" s="104" t="str">
        <f>IFERROR(IF(OR(VLOOKUP(C109,Overview!$B$30:$E$84,4,FALSE)="Country not found",VLOOKUP(C109,Overview!$B$30:$E$84,3,FALSE)=0),"",VLOOKUP(C109,Overview!$B$30:$E$84,3,FALSE)),"")</f>
        <v>Kazakhstan</v>
      </c>
      <c r="F109" s="108" t="s">
        <v>600</v>
      </c>
      <c r="G109" s="109" t="s">
        <v>520</v>
      </c>
      <c r="H109" s="110">
        <v>2</v>
      </c>
      <c r="I109" s="108" t="s">
        <v>611</v>
      </c>
      <c r="J109" s="108" t="s">
        <v>343</v>
      </c>
      <c r="K109" s="110">
        <v>2</v>
      </c>
      <c r="L109" s="111">
        <f>IF(O109="Error",0,ROUND(ROUND(H109,0)*(VLOOKUP(J109,Rates!$J$5:$K$10,2,FALSE)),2))</f>
        <v>1640</v>
      </c>
      <c r="M109" s="112">
        <f t="shared" si="7"/>
        <v>480</v>
      </c>
      <c r="N109" s="113">
        <f t="shared" si="9"/>
        <v>2120</v>
      </c>
      <c r="O109" s="102" t="str">
        <f>IF(OR(COUNTIF(Rates!$J$13:$J$17,B109)=0,COUNTIF(Overview!$B$30:$B$84,C109)=0,D109="",E109="",F109="",COUNTIF(Rates!$Y$4:$Z$4,G109)=0,ISNUMBER(H109)=FALSE,I109="",COUNTIF(Rates!$J$5:$J$10,J109)=0,ISNUMBER(K109)=FALSE,IF(OR(IF(AND(G109="Staff",K109&gt;365),1,0)=1,IF(AND(G109="Student",K109&gt;60),1,0)=1),1,0)=1,IF(ISNUMBER(H109)=TRUE,H109=INT(H109*1)/1=FALSE),IF(ISNUMBER(K109)=TRUE,K109=INT(K109*1)/1=FALSE)),"Error","")</f>
        <v/>
      </c>
    </row>
    <row r="110" spans="2:15" s="103" customFormat="1" x14ac:dyDescent="0.25">
      <c r="B110" s="60" t="s">
        <v>369</v>
      </c>
      <c r="C110" s="94" t="s">
        <v>129</v>
      </c>
      <c r="D110" s="104" t="str">
        <f>IFERROR(IF(VLOOKUP(C110,Overview!$B$30:$E$84,2,FALSE)=0,"",VLOOKUP(C110,Overview!$B$30:$E$84,2,FALSE)),"")</f>
        <v xml:space="preserve">Altynsarin National Academy of Education </v>
      </c>
      <c r="E110" s="104" t="str">
        <f>IFERROR(IF(OR(VLOOKUP(C110,Overview!$B$30:$E$84,4,FALSE)="Country not found",VLOOKUP(C110,Overview!$B$30:$E$84,3,FALSE)=0),"",VLOOKUP(C110,Overview!$B$30:$E$84,3,FALSE)),"")</f>
        <v>Kazakhstan</v>
      </c>
      <c r="F110" s="108" t="s">
        <v>586</v>
      </c>
      <c r="G110" s="109" t="s">
        <v>520</v>
      </c>
      <c r="H110" s="110">
        <v>1</v>
      </c>
      <c r="I110" s="108" t="s">
        <v>611</v>
      </c>
      <c r="J110" s="108" t="s">
        <v>343</v>
      </c>
      <c r="K110" s="110">
        <v>2</v>
      </c>
      <c r="L110" s="111">
        <f>IF(O110="Error",0,ROUND(ROUND(H110,0)*(VLOOKUP(J110,Rates!$J$5:$K$10,2,FALSE)),2))</f>
        <v>820</v>
      </c>
      <c r="M110" s="112">
        <f t="shared" si="7"/>
        <v>240</v>
      </c>
      <c r="N110" s="113">
        <f t="shared" si="9"/>
        <v>1060</v>
      </c>
      <c r="O110" s="102" t="str">
        <f>IF(OR(COUNTIF(Rates!$J$13:$J$17,B110)=0,COUNTIF(Overview!$B$30:$B$84,C110)=0,D110="",E110="",F110="",COUNTIF(Rates!$Y$4:$Z$4,G110)=0,ISNUMBER(H110)=FALSE,I110="",COUNTIF(Rates!$J$5:$J$10,J110)=0,ISNUMBER(K110)=FALSE,IF(OR(IF(AND(G110="Staff",K110&gt;365),1,0)=1,IF(AND(G110="Student",K110&gt;60),1,0)=1),1,0)=1,IF(ISNUMBER(H110)=TRUE,H110=INT(H110*1)/1=FALSE),IF(ISNUMBER(K110)=TRUE,K110=INT(K110*1)/1=FALSE)),"Error","")</f>
        <v/>
      </c>
    </row>
    <row r="111" spans="2:15" s="103" customFormat="1" x14ac:dyDescent="0.25">
      <c r="B111" s="60" t="s">
        <v>369</v>
      </c>
      <c r="C111" s="94" t="s">
        <v>130</v>
      </c>
      <c r="D111" s="104" t="str">
        <f>IFERROR(IF(VLOOKUP(C111,Overview!$B$30:$E$84,2,FALSE)=0,"",VLOOKUP(C111,Overview!$B$30:$E$84,2,FALSE)),"")</f>
        <v>Ministry of Education and Science of Kazakhstan</v>
      </c>
      <c r="E111" s="104" t="str">
        <f>IFERROR(IF(OR(VLOOKUP(C111,Overview!$B$30:$E$84,4,FALSE)="Country not found",VLOOKUP(C111,Overview!$B$30:$E$84,3,FALSE)=0),"",VLOOKUP(C111,Overview!$B$30:$E$84,3,FALSE)),"")</f>
        <v>Kazakhstan</v>
      </c>
      <c r="F111" s="108" t="s">
        <v>586</v>
      </c>
      <c r="G111" s="109" t="s">
        <v>520</v>
      </c>
      <c r="H111" s="110">
        <v>1</v>
      </c>
      <c r="I111" s="108" t="s">
        <v>611</v>
      </c>
      <c r="J111" s="108" t="s">
        <v>343</v>
      </c>
      <c r="K111" s="110">
        <v>2</v>
      </c>
      <c r="L111" s="111">
        <f>IF(O111="Error",0,ROUND(ROUND(H111,0)*(VLOOKUP(J111,Rates!$J$5:$K$10,2,FALSE)),2))</f>
        <v>820</v>
      </c>
      <c r="M111" s="112">
        <f t="shared" si="7"/>
        <v>240</v>
      </c>
      <c r="N111" s="113">
        <f t="shared" si="9"/>
        <v>1060</v>
      </c>
      <c r="O111" s="102" t="str">
        <f>IF(OR(COUNTIF(Rates!$J$13:$J$17,B111)=0,COUNTIF(Overview!$B$30:$B$84,C111)=0,D111="",E111="",F111="",COUNTIF(Rates!$Y$4:$Z$4,G111)=0,ISNUMBER(H111)=FALSE,I111="",COUNTIF(Rates!$J$5:$J$10,J111)=0,ISNUMBER(K111)=FALSE,IF(OR(IF(AND(G111="Staff",K111&gt;365),1,0)=1,IF(AND(G111="Student",K111&gt;60),1,0)=1),1,0)=1,IF(ISNUMBER(H111)=TRUE,H111=INT(H111*1)/1=FALSE),IF(ISNUMBER(K111)=TRUE,K111=INT(K111*1)/1=FALSE)),"Error","")</f>
        <v/>
      </c>
    </row>
    <row r="112" spans="2:15" s="103" customFormat="1" x14ac:dyDescent="0.25">
      <c r="B112" s="60" t="s">
        <v>369</v>
      </c>
      <c r="C112" s="94" t="s">
        <v>15</v>
      </c>
      <c r="D112" s="104" t="str">
        <f>IFERROR(IF(VLOOKUP(C112,Overview!$B$30:$E$84,2,FALSE)=0,"",VLOOKUP(C112,Overview!$B$30:$E$84,2,FALSE)),"")</f>
        <v>University of Patras</v>
      </c>
      <c r="E112" s="104" t="str">
        <f>IFERROR(IF(OR(VLOOKUP(C112,Overview!$B$30:$E$84,4,FALSE)="Country not found",VLOOKUP(C112,Overview!$B$30:$E$84,3,FALSE)=0),"",VLOOKUP(C112,Overview!$B$30:$E$84,3,FALSE)),"")</f>
        <v>Greece</v>
      </c>
      <c r="F112" s="108" t="s">
        <v>576</v>
      </c>
      <c r="G112" s="109" t="s">
        <v>520</v>
      </c>
      <c r="H112" s="110">
        <v>2</v>
      </c>
      <c r="I112" s="108" t="s">
        <v>578</v>
      </c>
      <c r="J112" s="108" t="s">
        <v>338</v>
      </c>
      <c r="K112" s="110">
        <v>2</v>
      </c>
      <c r="L112" s="111">
        <f>IF(O112="Error",0,ROUND(ROUND(H112,0)*(VLOOKUP(J112,Rates!$J$5:$K$10,2,FALSE)),2))</f>
        <v>550</v>
      </c>
      <c r="M112" s="112">
        <f t="shared" si="7"/>
        <v>480</v>
      </c>
      <c r="N112" s="113">
        <f t="shared" si="9"/>
        <v>1030</v>
      </c>
      <c r="O112" s="102" t="str">
        <f>IF(OR(COUNTIF(Rates!$J$13:$J$17,B112)=0,COUNTIF(Overview!$B$30:$B$84,C112)=0,D112="",E112="",F112="",COUNTIF(Rates!$Y$4:$Z$4,G112)=0,ISNUMBER(H112)=FALSE,I112="",COUNTIF(Rates!$J$5:$J$10,J112)=0,ISNUMBER(K112)=FALSE,IF(OR(IF(AND(G112="Staff",K112&gt;365),1,0)=1,IF(AND(G112="Student",K112&gt;60),1,0)=1),1,0)=1,IF(ISNUMBER(H112)=TRUE,H112=INT(H112*1)/1=FALSE),IF(ISNUMBER(K112)=TRUE,K112=INT(K112*1)/1=FALSE)),"Error","")</f>
        <v/>
      </c>
    </row>
    <row r="113" spans="2:15" s="103" customFormat="1" x14ac:dyDescent="0.25">
      <c r="B113" s="60" t="s">
        <v>369</v>
      </c>
      <c r="C113" s="94" t="s">
        <v>16</v>
      </c>
      <c r="D113" s="104" t="str">
        <f>IFERROR(IF(VLOOKUP(C113,Overview!$B$30:$E$84,2,FALSE)=0,"",VLOOKUP(C113,Overview!$B$30:$E$84,2,FALSE)),"")</f>
        <v>Bath Spa University</v>
      </c>
      <c r="E113" s="104" t="str">
        <f>IFERROR(IF(OR(VLOOKUP(C113,Overview!$B$30:$E$84,4,FALSE)="Country not found",VLOOKUP(C113,Overview!$B$30:$E$84,3,FALSE)=0),"",VLOOKUP(C113,Overview!$B$30:$E$84,3,FALSE)),"")</f>
        <v>United Kingdom</v>
      </c>
      <c r="F113" s="108" t="s">
        <v>597</v>
      </c>
      <c r="G113" s="109" t="s">
        <v>520</v>
      </c>
      <c r="H113" s="110">
        <v>1</v>
      </c>
      <c r="I113" s="108" t="s">
        <v>578</v>
      </c>
      <c r="J113" s="108" t="s">
        <v>338</v>
      </c>
      <c r="K113" s="110">
        <v>2</v>
      </c>
      <c r="L113" s="111">
        <f>IF(O113="Error",0,ROUND(ROUND(H113,0)*(VLOOKUP(J113,Rates!$J$5:$K$10,2,FALSE)),2))</f>
        <v>275</v>
      </c>
      <c r="M113" s="112">
        <f t="shared" si="7"/>
        <v>240</v>
      </c>
      <c r="N113" s="113">
        <f t="shared" si="9"/>
        <v>515</v>
      </c>
      <c r="O113" s="102" t="str">
        <f>IF(OR(COUNTIF(Rates!$J$13:$J$17,B113)=0,COUNTIF(Overview!$B$30:$B$84,C113)=0,D113="",E113="",F113="",COUNTIF(Rates!$Y$4:$Z$4,G113)=0,ISNUMBER(H113)=FALSE,I113="",COUNTIF(Rates!$J$5:$J$10,J113)=0,ISNUMBER(K113)=FALSE,IF(OR(IF(AND(G113="Staff",K113&gt;365),1,0)=1,IF(AND(G113="Student",K113&gt;60),1,0)=1),1,0)=1,IF(ISNUMBER(H113)=TRUE,H113=INT(H113*1)/1=FALSE),IF(ISNUMBER(K113)=TRUE,K113=INT(K113*1)/1=FALSE)),"Error","")</f>
        <v/>
      </c>
    </row>
    <row r="114" spans="2:15" s="103" customFormat="1" x14ac:dyDescent="0.25">
      <c r="B114" s="60" t="s">
        <v>369</v>
      </c>
      <c r="C114" s="94" t="s">
        <v>17</v>
      </c>
      <c r="D114" s="104" t="str">
        <f>IFERROR(IF(VLOOKUP(C114,Overview!$B$30:$E$84,2,FALSE)=0,"",VLOOKUP(C114,Overview!$B$30:$E$84,2,FALSE)),"")</f>
        <v>Wroclaw Technical University</v>
      </c>
      <c r="E114" s="104" t="str">
        <f>IFERROR(IF(OR(VLOOKUP(C114,Overview!$B$30:$E$84,4,FALSE)="Country not found",VLOOKUP(C114,Overview!$B$30:$E$84,3,FALSE)=0),"",VLOOKUP(C114,Overview!$B$30:$E$84,3,FALSE)),"")</f>
        <v>Poland</v>
      </c>
      <c r="F114" s="108" t="s">
        <v>577</v>
      </c>
      <c r="G114" s="109" t="s">
        <v>520</v>
      </c>
      <c r="H114" s="110">
        <v>1</v>
      </c>
      <c r="I114" s="108" t="s">
        <v>578</v>
      </c>
      <c r="J114" s="108" t="s">
        <v>338</v>
      </c>
      <c r="K114" s="110">
        <v>2</v>
      </c>
      <c r="L114" s="111">
        <f>IF(O114="Error",0,ROUND(ROUND(H114,0)*(VLOOKUP(J114,Rates!$J$5:$K$10,2,FALSE)),2))</f>
        <v>275</v>
      </c>
      <c r="M114" s="112">
        <f t="shared" si="7"/>
        <v>240</v>
      </c>
      <c r="N114" s="113">
        <f t="shared" si="9"/>
        <v>515</v>
      </c>
      <c r="O114" s="102" t="str">
        <f>IF(OR(COUNTIF(Rates!$J$13:$J$17,B114)=0,COUNTIF(Overview!$B$30:$B$84,C114)=0,D114="",E114="",F114="",COUNTIF(Rates!$Y$4:$Z$4,G114)=0,ISNUMBER(H114)=FALSE,I114="",COUNTIF(Rates!$J$5:$J$10,J114)=0,ISNUMBER(K114)=FALSE,IF(OR(IF(AND(G114="Staff",K114&gt;365),1,0)=1,IF(AND(G114="Student",K114&gt;60),1,0)=1),1,0)=1,IF(ISNUMBER(H114)=TRUE,H114=INT(H114*1)/1=FALSE),IF(ISNUMBER(K114)=TRUE,K114=INT(K114*1)/1=FALSE)),"Error","")</f>
        <v/>
      </c>
    </row>
    <row r="115" spans="2:15" s="103" customFormat="1" x14ac:dyDescent="0.25">
      <c r="B115" s="60" t="s">
        <v>369</v>
      </c>
      <c r="C115" s="94" t="s">
        <v>19</v>
      </c>
      <c r="D115" s="104" t="str">
        <f>IFERROR(IF(VLOOKUP(C115,Overview!$B$30:$E$84,2,FALSE)=0,"",VLOOKUP(C115,Overview!$B$30:$E$84,2,FALSE)),"")</f>
        <v>The Network University</v>
      </c>
      <c r="E115" s="104" t="str">
        <f>IFERROR(IF(OR(VLOOKUP(C115,Overview!$B$30:$E$84,4,FALSE)="Country not found",VLOOKUP(C115,Overview!$B$30:$E$84,3,FALSE)=0),"",VLOOKUP(C115,Overview!$B$30:$E$84,3,FALSE)),"")</f>
        <v>Netherlands</v>
      </c>
      <c r="F115" s="108" t="s">
        <v>587</v>
      </c>
      <c r="G115" s="109" t="s">
        <v>520</v>
      </c>
      <c r="H115" s="110">
        <v>1</v>
      </c>
      <c r="I115" s="108" t="s">
        <v>578</v>
      </c>
      <c r="J115" s="108" t="s">
        <v>337</v>
      </c>
      <c r="K115" s="110">
        <v>2</v>
      </c>
      <c r="L115" s="111">
        <f>IF(O115="Error",0,ROUND(ROUND(H115,0)*(VLOOKUP(J115,Rates!$J$5:$K$10,2,FALSE)),2))</f>
        <v>180</v>
      </c>
      <c r="M115" s="112">
        <f t="shared" si="7"/>
        <v>240</v>
      </c>
      <c r="N115" s="113">
        <f t="shared" si="9"/>
        <v>420</v>
      </c>
      <c r="O115" s="102" t="str">
        <f>IF(OR(COUNTIF(Rates!$J$13:$J$17,B115)=0,COUNTIF(Overview!$B$30:$B$84,C115)=0,D115="",E115="",F115="",COUNTIF(Rates!$Y$4:$Z$4,G115)=0,ISNUMBER(H115)=FALSE,I115="",COUNTIF(Rates!$J$5:$J$10,J115)=0,ISNUMBER(K115)=FALSE,IF(OR(IF(AND(G115="Staff",K115&gt;365),1,0)=1,IF(AND(G115="Student",K115&gt;60),1,0)=1),1,0)=1,IF(ISNUMBER(H115)=TRUE,H115=INT(H115*1)/1=FALSE),IF(ISNUMBER(K115)=TRUE,K115=INT(K115*1)/1=FALSE)),"Error","")</f>
        <v/>
      </c>
    </row>
    <row r="116" spans="2:15" s="103" customFormat="1" x14ac:dyDescent="0.25">
      <c r="B116" s="60" t="s">
        <v>369</v>
      </c>
      <c r="C116" s="94" t="s">
        <v>20</v>
      </c>
      <c r="D116" s="104" t="str">
        <f>IFERROR(IF(VLOOKUP(C116,Overview!$B$30:$E$84,2,FALSE)=0,"",VLOOKUP(C116,Overview!$B$30:$E$84,2,FALSE)),"")</f>
        <v>Tashkent State Technical University</v>
      </c>
      <c r="E116" s="104" t="str">
        <f>IFERROR(IF(OR(VLOOKUP(C116,Overview!$B$30:$E$84,4,FALSE)="Country not found",VLOOKUP(C116,Overview!$B$30:$E$84,3,FALSE)=0),"",VLOOKUP(C116,Overview!$B$30:$E$84,3,FALSE)),"")</f>
        <v>Uzbekistan</v>
      </c>
      <c r="F116" s="108" t="s">
        <v>579</v>
      </c>
      <c r="G116" s="109" t="s">
        <v>520</v>
      </c>
      <c r="H116" s="110">
        <v>2</v>
      </c>
      <c r="I116" s="108" t="s">
        <v>578</v>
      </c>
      <c r="J116" s="108" t="s">
        <v>343</v>
      </c>
      <c r="K116" s="110">
        <v>2</v>
      </c>
      <c r="L116" s="111">
        <f>IF(O116="Error",0,ROUND(ROUND(H116,0)*(VLOOKUP(J116,Rates!$J$5:$K$10,2,FALSE)),2))</f>
        <v>1640</v>
      </c>
      <c r="M116" s="112">
        <f t="shared" si="7"/>
        <v>480</v>
      </c>
      <c r="N116" s="113">
        <f t="shared" si="9"/>
        <v>2120</v>
      </c>
      <c r="O116" s="102" t="str">
        <f>IF(OR(COUNTIF(Rates!$J$13:$J$17,B116)=0,COUNTIF(Overview!$B$30:$B$84,C116)=0,D116="",E116="",F116="",COUNTIF(Rates!$Y$4:$Z$4,G116)=0,ISNUMBER(H116)=FALSE,I116="",COUNTIF(Rates!$J$5:$J$10,J116)=0,ISNUMBER(K116)=FALSE,IF(OR(IF(AND(G116="Staff",K116&gt;365),1,0)=1,IF(AND(G116="Student",K116&gt;60),1,0)=1),1,0)=1,IF(ISNUMBER(H116)=TRUE,H116=INT(H116*1)/1=FALSE),IF(ISNUMBER(K116)=TRUE,K116=INT(K116*1)/1=FALSE)),"Error","")</f>
        <v/>
      </c>
    </row>
    <row r="117" spans="2:15" s="103" customFormat="1" x14ac:dyDescent="0.25">
      <c r="B117" s="60" t="s">
        <v>369</v>
      </c>
      <c r="C117" s="94" t="s">
        <v>21</v>
      </c>
      <c r="D117" s="104" t="str">
        <f>IFERROR(IF(VLOOKUP(C117,Overview!$B$30:$E$84,2,FALSE)=0,"",VLOOKUP(C117,Overview!$B$30:$E$84,2,FALSE)),"")</f>
        <v>National University of Uzbekistan</v>
      </c>
      <c r="E117" s="104" t="str">
        <f>IFERROR(IF(OR(VLOOKUP(C117,Overview!$B$30:$E$84,4,FALSE)="Country not found",VLOOKUP(C117,Overview!$B$30:$E$84,3,FALSE)=0),"",VLOOKUP(C117,Overview!$B$30:$E$84,3,FALSE)),"")</f>
        <v>Uzbekistan</v>
      </c>
      <c r="F117" s="108" t="s">
        <v>579</v>
      </c>
      <c r="G117" s="109" t="s">
        <v>520</v>
      </c>
      <c r="H117" s="110">
        <v>2</v>
      </c>
      <c r="I117" s="108" t="s">
        <v>578</v>
      </c>
      <c r="J117" s="108" t="s">
        <v>343</v>
      </c>
      <c r="K117" s="110">
        <v>2</v>
      </c>
      <c r="L117" s="111">
        <f>IF(O117="Error",0,ROUND(ROUND(H117,0)*(VLOOKUP(J117,Rates!$J$5:$K$10,2,FALSE)),2))</f>
        <v>1640</v>
      </c>
      <c r="M117" s="112">
        <f t="shared" si="7"/>
        <v>480</v>
      </c>
      <c r="N117" s="113">
        <f t="shared" si="9"/>
        <v>2120</v>
      </c>
      <c r="O117" s="102" t="str">
        <f>IF(OR(COUNTIF(Rates!$J$13:$J$17,B117)=0,COUNTIF(Overview!$B$30:$B$84,C117)=0,D117="",E117="",F117="",COUNTIF(Rates!$Y$4:$Z$4,G117)=0,ISNUMBER(H117)=FALSE,I117="",COUNTIF(Rates!$J$5:$J$10,J117)=0,ISNUMBER(K117)=FALSE,IF(OR(IF(AND(G117="Staff",K117&gt;365),1,0)=1,IF(AND(G117="Student",K117&gt;60),1,0)=1),1,0)=1,IF(ISNUMBER(H117)=TRUE,H117=INT(H117*1)/1=FALSE),IF(ISNUMBER(K117)=TRUE,K117=INT(K117*1)/1=FALSE)),"Error","")</f>
        <v/>
      </c>
    </row>
    <row r="118" spans="2:15" s="103" customFormat="1" x14ac:dyDescent="0.25">
      <c r="B118" s="60" t="s">
        <v>369</v>
      </c>
      <c r="C118" s="94" t="s">
        <v>22</v>
      </c>
      <c r="D118" s="104" t="str">
        <f>IFERROR(IF(VLOOKUP(C118,Overview!$B$30:$E$84,2,FALSE)=0,"",VLOOKUP(C118,Overview!$B$30:$E$84,2,FALSE)),"")</f>
        <v>Enterprise “Business Drilling”</v>
      </c>
      <c r="E118" s="104" t="str">
        <f>IFERROR(IF(OR(VLOOKUP(C118,Overview!$B$30:$E$84,4,FALSE)="Country not found",VLOOKUP(C118,Overview!$B$30:$E$84,3,FALSE)=0),"",VLOOKUP(C118,Overview!$B$30:$E$84,3,FALSE)),"")</f>
        <v>Uzbekistan</v>
      </c>
      <c r="F118" s="108" t="s">
        <v>579</v>
      </c>
      <c r="G118" s="109" t="s">
        <v>520</v>
      </c>
      <c r="H118" s="110">
        <v>1</v>
      </c>
      <c r="I118" s="108" t="s">
        <v>578</v>
      </c>
      <c r="J118" s="108" t="s">
        <v>343</v>
      </c>
      <c r="K118" s="110">
        <v>2</v>
      </c>
      <c r="L118" s="111">
        <f>IF(O118="Error",0,ROUND(ROUND(H118,0)*(VLOOKUP(J118,Rates!$J$5:$K$10,2,FALSE)),2))</f>
        <v>820</v>
      </c>
      <c r="M118" s="112">
        <f t="shared" si="7"/>
        <v>240</v>
      </c>
      <c r="N118" s="113">
        <f t="shared" si="9"/>
        <v>1060</v>
      </c>
      <c r="O118" s="102" t="str">
        <f>IF(OR(COUNTIF(Rates!$J$13:$J$17,B118)=0,COUNTIF(Overview!$B$30:$B$84,C118)=0,D118="",E118="",F118="",COUNTIF(Rates!$Y$4:$Z$4,G118)=0,ISNUMBER(H118)=FALSE,I118="",COUNTIF(Rates!$J$5:$J$10,J118)=0,ISNUMBER(K118)=FALSE,IF(OR(IF(AND(G118="Staff",K118&gt;365),1,0)=1,IF(AND(G118="Student",K118&gt;60),1,0)=1),1,0)=1,IF(ISNUMBER(H118)=TRUE,H118=INT(H118*1)/1=FALSE),IF(ISNUMBER(K118)=TRUE,K118=INT(K118*1)/1=FALSE)),"Error","")</f>
        <v/>
      </c>
    </row>
    <row r="119" spans="2:15" s="103" customFormat="1" x14ac:dyDescent="0.25">
      <c r="B119" s="60" t="s">
        <v>369</v>
      </c>
      <c r="C119" s="94" t="s">
        <v>23</v>
      </c>
      <c r="D119" s="104" t="str">
        <f>IFERROR(IF(VLOOKUP(C119,Overview!$B$30:$E$84,2,FALSE)=0,"",VLOOKUP(C119,Overview!$B$30:$E$84,2,FALSE)),"")</f>
        <v>Ministry of Education of Uzbekistan</v>
      </c>
      <c r="E119" s="104" t="str">
        <f>IFERROR(IF(OR(VLOOKUP(C119,Overview!$B$30:$E$84,4,FALSE)="Country not found",VLOOKUP(C119,Overview!$B$30:$E$84,3,FALSE)=0),"",VLOOKUP(C119,Overview!$B$30:$E$84,3,FALSE)),"")</f>
        <v>Uzbekistan</v>
      </c>
      <c r="F119" s="108" t="s">
        <v>579</v>
      </c>
      <c r="G119" s="109" t="s">
        <v>520</v>
      </c>
      <c r="H119" s="110">
        <v>1</v>
      </c>
      <c r="I119" s="108" t="s">
        <v>578</v>
      </c>
      <c r="J119" s="108" t="s">
        <v>343</v>
      </c>
      <c r="K119" s="110">
        <v>2</v>
      </c>
      <c r="L119" s="111">
        <f>IF(O119="Error",0,ROUND(ROUND(H119,0)*(VLOOKUP(J119,Rates!$J$5:$K$10,2,FALSE)),2))</f>
        <v>820</v>
      </c>
      <c r="M119" s="112">
        <f t="shared" si="7"/>
        <v>240</v>
      </c>
      <c r="N119" s="113">
        <f t="shared" si="9"/>
        <v>1060</v>
      </c>
      <c r="O119" s="102" t="str">
        <f>IF(OR(COUNTIF(Rates!$J$13:$J$17,B119)=0,COUNTIF(Overview!$B$30:$B$84,C119)=0,D119="",E119="",F119="",COUNTIF(Rates!$Y$4:$Z$4,G119)=0,ISNUMBER(H119)=FALSE,I119="",COUNTIF(Rates!$J$5:$J$10,J119)=0,ISNUMBER(K119)=FALSE,IF(OR(IF(AND(G119="Staff",K119&gt;365),1,0)=1,IF(AND(G119="Student",K119&gt;60),1,0)=1),1,0)=1,IF(ISNUMBER(H119)=TRUE,H119=INT(H119*1)/1=FALSE),IF(ISNUMBER(K119)=TRUE,K119=INT(K119*1)/1=FALSE)),"Error","")</f>
        <v/>
      </c>
    </row>
    <row r="120" spans="2:15" s="103" customFormat="1" x14ac:dyDescent="0.25">
      <c r="B120" s="60" t="s">
        <v>369</v>
      </c>
      <c r="C120" s="94" t="s">
        <v>24</v>
      </c>
      <c r="D120" s="104" t="str">
        <f>IFERROR(IF(VLOOKUP(C120,Overview!$B$30:$E$84,2,FALSE)=0,"",VLOOKUP(C120,Overview!$B$30:$E$84,2,FALSE)),"")</f>
        <v>Kyrgyz State Technical University</v>
      </c>
      <c r="E120" s="104" t="str">
        <f>IFERROR(IF(OR(VLOOKUP(C120,Overview!$B$30:$E$84,4,FALSE)="Country not found",VLOOKUP(C120,Overview!$B$30:$E$84,3,FALSE)=0),"",VLOOKUP(C120,Overview!$B$30:$E$84,3,FALSE)),"")</f>
        <v>Kyrgyzstan</v>
      </c>
      <c r="F120" s="108" t="s">
        <v>584</v>
      </c>
      <c r="G120" s="109" t="s">
        <v>520</v>
      </c>
      <c r="H120" s="110">
        <v>2</v>
      </c>
      <c r="I120" s="108" t="s">
        <v>578</v>
      </c>
      <c r="J120" s="108" t="s">
        <v>343</v>
      </c>
      <c r="K120" s="110">
        <v>2</v>
      </c>
      <c r="L120" s="111">
        <f>IF(O120="Error",0,ROUND(ROUND(H120,0)*(VLOOKUP(J120,Rates!$J$5:$K$10,2,FALSE)),2))</f>
        <v>1640</v>
      </c>
      <c r="M120" s="112">
        <f t="shared" si="7"/>
        <v>480</v>
      </c>
      <c r="N120" s="113">
        <f t="shared" si="9"/>
        <v>2120</v>
      </c>
      <c r="O120" s="102" t="str">
        <f>IF(OR(COUNTIF(Rates!$J$13:$J$17,B120)=0,COUNTIF(Overview!$B$30:$B$84,C120)=0,D120="",E120="",F120="",COUNTIF(Rates!$Y$4:$Z$4,G120)=0,ISNUMBER(H120)=FALSE,I120="",COUNTIF(Rates!$J$5:$J$10,J120)=0,ISNUMBER(K120)=FALSE,IF(OR(IF(AND(G120="Staff",K120&gt;365),1,0)=1,IF(AND(G120="Student",K120&gt;60),1,0)=1),1,0)=1,IF(ISNUMBER(H120)=TRUE,H120=INT(H120*1)/1=FALSE),IF(ISNUMBER(K120)=TRUE,K120=INT(K120*1)/1=FALSE)),"Error","")</f>
        <v/>
      </c>
    </row>
    <row r="121" spans="2:15" s="103" customFormat="1" x14ac:dyDescent="0.25">
      <c r="B121" s="60" t="s">
        <v>369</v>
      </c>
      <c r="C121" s="94" t="s">
        <v>25</v>
      </c>
      <c r="D121" s="104" t="str">
        <f>IFERROR(IF(VLOOKUP(C121,Overview!$B$30:$E$84,2,FALSE)=0,"",VLOOKUP(C121,Overview!$B$30:$E$84,2,FALSE)),"")</f>
        <v>Bishkek Academy of Finance and Economics</v>
      </c>
      <c r="E121" s="104" t="str">
        <f>IFERROR(IF(OR(VLOOKUP(C121,Overview!$B$30:$E$84,4,FALSE)="Country not found",VLOOKUP(C121,Overview!$B$30:$E$84,3,FALSE)=0),"",VLOOKUP(C121,Overview!$B$30:$E$84,3,FALSE)),"")</f>
        <v>Kyrgyzstan</v>
      </c>
      <c r="F121" s="108" t="s">
        <v>584</v>
      </c>
      <c r="G121" s="109" t="s">
        <v>520</v>
      </c>
      <c r="H121" s="110">
        <v>2</v>
      </c>
      <c r="I121" s="108" t="s">
        <v>578</v>
      </c>
      <c r="J121" s="108" t="s">
        <v>343</v>
      </c>
      <c r="K121" s="110">
        <v>2</v>
      </c>
      <c r="L121" s="111">
        <f>IF(O121="Error",0,ROUND(ROUND(H121,0)*(VLOOKUP(J121,Rates!$J$5:$K$10,2,FALSE)),2))</f>
        <v>1640</v>
      </c>
      <c r="M121" s="112">
        <f t="shared" si="7"/>
        <v>480</v>
      </c>
      <c r="N121" s="113">
        <f t="shared" si="9"/>
        <v>2120</v>
      </c>
      <c r="O121" s="102" t="str">
        <f>IF(OR(COUNTIF(Rates!$J$13:$J$17,B121)=0,COUNTIF(Overview!$B$30:$B$84,C121)=0,D121="",E121="",F121="",COUNTIF(Rates!$Y$4:$Z$4,G121)=0,ISNUMBER(H121)=FALSE,I121="",COUNTIF(Rates!$J$5:$J$10,J121)=0,ISNUMBER(K121)=FALSE,IF(OR(IF(AND(G121="Staff",K121&gt;365),1,0)=1,IF(AND(G121="Student",K121&gt;60),1,0)=1),1,0)=1,IF(ISNUMBER(H121)=TRUE,H121=INT(H121*1)/1=FALSE),IF(ISNUMBER(K121)=TRUE,K121=INT(K121*1)/1=FALSE)),"Error","")</f>
        <v/>
      </c>
    </row>
    <row r="122" spans="2:15" s="103" customFormat="1" x14ac:dyDescent="0.25">
      <c r="B122" s="60" t="s">
        <v>369</v>
      </c>
      <c r="C122" s="94" t="s">
        <v>26</v>
      </c>
      <c r="D122" s="104" t="str">
        <f>IFERROR(IF(VLOOKUP(C122,Overview!$B$30:$E$84,2,FALSE)=0,"",VLOOKUP(C122,Overview!$B$30:$E$84,2,FALSE)),"")</f>
        <v>Osh Technological University</v>
      </c>
      <c r="E122" s="104" t="str">
        <f>IFERROR(IF(OR(VLOOKUP(C122,Overview!$B$30:$E$84,4,FALSE)="Country not found",VLOOKUP(C122,Overview!$B$30:$E$84,3,FALSE)=0),"",VLOOKUP(C122,Overview!$B$30:$E$84,3,FALSE)),"")</f>
        <v>Kyrgyzstan</v>
      </c>
      <c r="F122" s="108" t="s">
        <v>583</v>
      </c>
      <c r="G122" s="109" t="s">
        <v>520</v>
      </c>
      <c r="H122" s="110">
        <v>2</v>
      </c>
      <c r="I122" s="108" t="s">
        <v>578</v>
      </c>
      <c r="J122" s="108" t="s">
        <v>343</v>
      </c>
      <c r="K122" s="110">
        <v>2</v>
      </c>
      <c r="L122" s="111">
        <f>IF(O122="Error",0,ROUND(ROUND(H122,0)*(VLOOKUP(J122,Rates!$J$5:$K$10,2,FALSE)),2))</f>
        <v>1640</v>
      </c>
      <c r="M122" s="112">
        <f t="shared" si="7"/>
        <v>480</v>
      </c>
      <c r="N122" s="113">
        <f t="shared" si="9"/>
        <v>2120</v>
      </c>
      <c r="O122" s="102" t="str">
        <f>IF(OR(COUNTIF(Rates!$J$13:$J$17,B122)=0,COUNTIF(Overview!$B$30:$B$84,C122)=0,D122="",E122="",F122="",COUNTIF(Rates!$Y$4:$Z$4,G122)=0,ISNUMBER(H122)=FALSE,I122="",COUNTIF(Rates!$J$5:$J$10,J122)=0,ISNUMBER(K122)=FALSE,IF(OR(IF(AND(G122="Staff",K122&gt;365),1,0)=1,IF(AND(G122="Student",K122&gt;60),1,0)=1),1,0)=1,IF(ISNUMBER(H122)=TRUE,H122=INT(H122*1)/1=FALSE),IF(ISNUMBER(K122)=TRUE,K122=INT(K122*1)/1=FALSE)),"Error","")</f>
        <v/>
      </c>
    </row>
    <row r="123" spans="2:15" s="103" customFormat="1" x14ac:dyDescent="0.25">
      <c r="B123" s="60" t="s">
        <v>369</v>
      </c>
      <c r="C123" s="94" t="s">
        <v>346</v>
      </c>
      <c r="D123" s="104" t="str">
        <f>IFERROR(IF(VLOOKUP(C123,Overview!$B$30:$E$84,2,FALSE)=0,"",VLOOKUP(C123,Overview!$B$30:$E$84,2,FALSE)),"")</f>
        <v>Bishkek Business Club</v>
      </c>
      <c r="E123" s="104" t="str">
        <f>IFERROR(IF(OR(VLOOKUP(C123,Overview!$B$30:$E$84,4,FALSE)="Country not found",VLOOKUP(C123,Overview!$B$30:$E$84,3,FALSE)=0),"",VLOOKUP(C123,Overview!$B$30:$E$84,3,FALSE)),"")</f>
        <v>Kyrgyzstan</v>
      </c>
      <c r="F123" s="108" t="s">
        <v>584</v>
      </c>
      <c r="G123" s="109" t="s">
        <v>520</v>
      </c>
      <c r="H123" s="110">
        <v>1</v>
      </c>
      <c r="I123" s="108" t="s">
        <v>578</v>
      </c>
      <c r="J123" s="108" t="s">
        <v>343</v>
      </c>
      <c r="K123" s="110">
        <v>2</v>
      </c>
      <c r="L123" s="111">
        <f>IF(O123="Error",0,ROUND(ROUND(H123,0)*(VLOOKUP(J123,Rates!$J$5:$K$10,2,FALSE)),2))</f>
        <v>820</v>
      </c>
      <c r="M123" s="112">
        <f t="shared" si="7"/>
        <v>240</v>
      </c>
      <c r="N123" s="113">
        <f t="shared" si="9"/>
        <v>1060</v>
      </c>
      <c r="O123" s="102" t="str">
        <f>IF(OR(COUNTIF(Rates!$J$13:$J$17,B123)=0,COUNTIF(Overview!$B$30:$B$84,C123)=0,D123="",E123="",F123="",COUNTIF(Rates!$Y$4:$Z$4,G123)=0,ISNUMBER(H123)=FALSE,I123="",COUNTIF(Rates!$J$5:$J$10,J123)=0,ISNUMBER(K123)=FALSE,IF(OR(IF(AND(G123="Staff",K123&gt;365),1,0)=1,IF(AND(G123="Student",K123&gt;60),1,0)=1),1,0)=1,IF(ISNUMBER(H123)=TRUE,H123=INT(H123*1)/1=FALSE),IF(ISNUMBER(K123)=TRUE,K123=INT(K123*1)/1=FALSE)),"Error","")</f>
        <v/>
      </c>
    </row>
    <row r="124" spans="2:15" s="103" customFormat="1" x14ac:dyDescent="0.25">
      <c r="B124" s="60" t="s">
        <v>369</v>
      </c>
      <c r="C124" s="94" t="s">
        <v>27</v>
      </c>
      <c r="D124" s="104" t="str">
        <f>IFERROR(IF(VLOOKUP(C124,Overview!$B$30:$E$84,2,FALSE)=0,"",VLOOKUP(C124,Overview!$B$30:$E$84,2,FALSE)),"")</f>
        <v>Ministry of Education of Kyrgyzstan</v>
      </c>
      <c r="E124" s="104" t="str">
        <f>IFERROR(IF(OR(VLOOKUP(C124,Overview!$B$30:$E$84,4,FALSE)="Country not found",VLOOKUP(C124,Overview!$B$30:$E$84,3,FALSE)=0),"",VLOOKUP(C124,Overview!$B$30:$E$84,3,FALSE)),"")</f>
        <v>Kyrgyzstan</v>
      </c>
      <c r="F124" s="108" t="s">
        <v>584</v>
      </c>
      <c r="G124" s="109" t="s">
        <v>520</v>
      </c>
      <c r="H124" s="110">
        <v>1</v>
      </c>
      <c r="I124" s="108" t="s">
        <v>578</v>
      </c>
      <c r="J124" s="108" t="s">
        <v>343</v>
      </c>
      <c r="K124" s="110">
        <v>2</v>
      </c>
      <c r="L124" s="111">
        <f>IF(O124="Error",0,ROUND(ROUND(H124,0)*(VLOOKUP(J124,Rates!$J$5:$K$10,2,FALSE)),2))</f>
        <v>820</v>
      </c>
      <c r="M124" s="112">
        <f t="shared" si="7"/>
        <v>240</v>
      </c>
      <c r="N124" s="113">
        <f t="shared" si="9"/>
        <v>1060</v>
      </c>
      <c r="O124" s="102" t="str">
        <f>IF(OR(COUNTIF(Rates!$J$13:$J$17,B124)=0,COUNTIF(Overview!$B$30:$B$84,C124)=0,D124="",E124="",F124="",COUNTIF(Rates!$Y$4:$Z$4,G124)=0,ISNUMBER(H124)=FALSE,I124="",COUNTIF(Rates!$J$5:$J$10,J124)=0,ISNUMBER(K124)=FALSE,IF(OR(IF(AND(G124="Staff",K124&gt;365),1,0)=1,IF(AND(G124="Student",K124&gt;60),1,0)=1),1,0)=1,IF(ISNUMBER(H124)=TRUE,H124=INT(H124*1)/1=FALSE),IF(ISNUMBER(K124)=TRUE,K124=INT(K124*1)/1=FALSE)),"Error","")</f>
        <v/>
      </c>
    </row>
    <row r="125" spans="2:15" s="103" customFormat="1" x14ac:dyDescent="0.25">
      <c r="B125" s="60" t="s">
        <v>369</v>
      </c>
      <c r="C125" s="94" t="s">
        <v>28</v>
      </c>
      <c r="D125" s="104" t="str">
        <f>IFERROR(IF(VLOOKUP(C125,Overview!$B$30:$E$84,2,FALSE)=0,"",VLOOKUP(C125,Overview!$B$30:$E$84,2,FALSE)),"")</f>
        <v>Khujand State University</v>
      </c>
      <c r="E125" s="104" t="str">
        <f>IFERROR(IF(OR(VLOOKUP(C125,Overview!$B$30:$E$84,4,FALSE)="Country not found",VLOOKUP(C125,Overview!$B$30:$E$84,3,FALSE)=0),"",VLOOKUP(C125,Overview!$B$30:$E$84,3,FALSE)),"")</f>
        <v>Tajikistan</v>
      </c>
      <c r="F125" s="108" t="s">
        <v>582</v>
      </c>
      <c r="G125" s="109" t="s">
        <v>520</v>
      </c>
      <c r="H125" s="110">
        <v>2</v>
      </c>
      <c r="I125" s="108" t="s">
        <v>578</v>
      </c>
      <c r="J125" s="108" t="s">
        <v>343</v>
      </c>
      <c r="K125" s="110">
        <v>2</v>
      </c>
      <c r="L125" s="111">
        <f>IF(O125="Error",0,ROUND(ROUND(H125,0)*(VLOOKUP(J125,Rates!$J$5:$K$10,2,FALSE)),2))</f>
        <v>1640</v>
      </c>
      <c r="M125" s="112">
        <f t="shared" si="7"/>
        <v>480</v>
      </c>
      <c r="N125" s="113">
        <f t="shared" si="9"/>
        <v>2120</v>
      </c>
      <c r="O125" s="102" t="str">
        <f>IF(OR(COUNTIF(Rates!$J$13:$J$17,B125)=0,COUNTIF(Overview!$B$30:$B$84,C125)=0,D125="",E125="",F125="",COUNTIF(Rates!$Y$4:$Z$4,G125)=0,ISNUMBER(H125)=FALSE,I125="",COUNTIF(Rates!$J$5:$J$10,J125)=0,ISNUMBER(K125)=FALSE,IF(OR(IF(AND(G125="Staff",K125&gt;365),1,0)=1,IF(AND(G125="Student",K125&gt;60),1,0)=1),1,0)=1,IF(ISNUMBER(H125)=TRUE,H125=INT(H125*1)/1=FALSE),IF(ISNUMBER(K125)=TRUE,K125=INT(K125*1)/1=FALSE)),"Error","")</f>
        <v/>
      </c>
    </row>
    <row r="126" spans="2:15" s="103" customFormat="1" x14ac:dyDescent="0.25">
      <c r="B126" s="60" t="s">
        <v>369</v>
      </c>
      <c r="C126" s="94" t="s">
        <v>29</v>
      </c>
      <c r="D126" s="104" t="str">
        <f>IFERROR(IF(VLOOKUP(C126,Overview!$B$30:$E$84,2,FALSE)=0,"",VLOOKUP(C126,Overview!$B$30:$E$84,2,FALSE)),"")</f>
        <v>Khorog State University</v>
      </c>
      <c r="E126" s="104" t="str">
        <f>IFERROR(IF(OR(VLOOKUP(C126,Overview!$B$30:$E$84,4,FALSE)="Country not found",VLOOKUP(C126,Overview!$B$30:$E$84,3,FALSE)=0),"",VLOOKUP(C126,Overview!$B$30:$E$84,3,FALSE)),"")</f>
        <v>Tajikistan</v>
      </c>
      <c r="F126" s="108" t="s">
        <v>581</v>
      </c>
      <c r="G126" s="109" t="s">
        <v>520</v>
      </c>
      <c r="H126" s="110">
        <v>2</v>
      </c>
      <c r="I126" s="108" t="s">
        <v>578</v>
      </c>
      <c r="J126" s="108" t="s">
        <v>343</v>
      </c>
      <c r="K126" s="110">
        <v>2</v>
      </c>
      <c r="L126" s="111">
        <f>IF(O126="Error",0,ROUND(ROUND(H126,0)*(VLOOKUP(J126,Rates!$J$5:$K$10,2,FALSE)),2))</f>
        <v>1640</v>
      </c>
      <c r="M126" s="112">
        <f t="shared" si="7"/>
        <v>480</v>
      </c>
      <c r="N126" s="113">
        <f t="shared" si="9"/>
        <v>2120</v>
      </c>
      <c r="O126" s="102" t="str">
        <f>IF(OR(COUNTIF(Rates!$J$13:$J$17,B126)=0,COUNTIF(Overview!$B$30:$B$84,C126)=0,D126="",E126="",F126="",COUNTIF(Rates!$Y$4:$Z$4,G126)=0,ISNUMBER(H126)=FALSE,I126="",COUNTIF(Rates!$J$5:$J$10,J126)=0,ISNUMBER(K126)=FALSE,IF(OR(IF(AND(G126="Staff",K126&gt;365),1,0)=1,IF(AND(G126="Student",K126&gt;60),1,0)=1),1,0)=1,IF(ISNUMBER(H126)=TRUE,H126=INT(H126*1)/1=FALSE),IF(ISNUMBER(K126)=TRUE,K126=INT(K126*1)/1=FALSE)),"Error","")</f>
        <v/>
      </c>
    </row>
    <row r="127" spans="2:15" s="103" customFormat="1" x14ac:dyDescent="0.25">
      <c r="B127" s="60" t="s">
        <v>369</v>
      </c>
      <c r="C127" s="94" t="s">
        <v>30</v>
      </c>
      <c r="D127" s="104" t="str">
        <f>IFERROR(IF(VLOOKUP(C127,Overview!$B$30:$E$84,2,FALSE)=0,"",VLOOKUP(C127,Overview!$B$30:$E$84,2,FALSE)),"")</f>
        <v>Tajik Pedagogical University</v>
      </c>
      <c r="E127" s="104" t="str">
        <f>IFERROR(IF(OR(VLOOKUP(C127,Overview!$B$30:$E$84,4,FALSE)="Country not found",VLOOKUP(C127,Overview!$B$30:$E$84,3,FALSE)=0),"",VLOOKUP(C127,Overview!$B$30:$E$84,3,FALSE)),"")</f>
        <v>Tajikistan</v>
      </c>
      <c r="F127" s="108" t="s">
        <v>585</v>
      </c>
      <c r="G127" s="109" t="s">
        <v>520</v>
      </c>
      <c r="H127" s="110">
        <v>2</v>
      </c>
      <c r="I127" s="108" t="s">
        <v>578</v>
      </c>
      <c r="J127" s="108" t="s">
        <v>343</v>
      </c>
      <c r="K127" s="110">
        <v>2</v>
      </c>
      <c r="L127" s="111">
        <f>IF(O127="Error",0,ROUND(ROUND(H127,0)*(VLOOKUP(J127,Rates!$J$5:$K$10,2,FALSE)),2))</f>
        <v>1640</v>
      </c>
      <c r="M127" s="112">
        <f t="shared" si="7"/>
        <v>480</v>
      </c>
      <c r="N127" s="113">
        <f t="shared" si="9"/>
        <v>2120</v>
      </c>
      <c r="O127" s="102" t="str">
        <f>IF(OR(COUNTIF(Rates!$J$13:$J$17,B127)=0,COUNTIF(Overview!$B$30:$B$84,C127)=0,D127="",E127="",F127="",COUNTIF(Rates!$Y$4:$Z$4,G127)=0,ISNUMBER(H127)=FALSE,I127="",COUNTIF(Rates!$J$5:$J$10,J127)=0,ISNUMBER(K127)=FALSE,IF(OR(IF(AND(G127="Staff",K127&gt;365),1,0)=1,IF(AND(G127="Student",K127&gt;60),1,0)=1),1,0)=1,IF(ISNUMBER(H127)=TRUE,H127=INT(H127*1)/1=FALSE),IF(ISNUMBER(K127)=TRUE,K127=INT(K127*1)/1=FALSE)),"Error","")</f>
        <v/>
      </c>
    </row>
    <row r="128" spans="2:15" s="103" customFormat="1" x14ac:dyDescent="0.25">
      <c r="B128" s="60" t="s">
        <v>369</v>
      </c>
      <c r="C128" s="94" t="s">
        <v>31</v>
      </c>
      <c r="D128" s="104" t="str">
        <f>IFERROR(IF(VLOOKUP(C128,Overview!$B$30:$E$84,2,FALSE)=0,"",VLOOKUP(C128,Overview!$B$30:$E$84,2,FALSE)),"")</f>
        <v>Center of development and support of VET education</v>
      </c>
      <c r="E128" s="104" t="str">
        <f>IFERROR(IF(OR(VLOOKUP(C128,Overview!$B$30:$E$84,4,FALSE)="Country not found",VLOOKUP(C128,Overview!$B$30:$E$84,3,FALSE)=0),"",VLOOKUP(C128,Overview!$B$30:$E$84,3,FALSE)),"")</f>
        <v>Tajikistan</v>
      </c>
      <c r="F128" s="108" t="s">
        <v>582</v>
      </c>
      <c r="G128" s="109" t="s">
        <v>520</v>
      </c>
      <c r="H128" s="110">
        <v>1</v>
      </c>
      <c r="I128" s="108" t="s">
        <v>578</v>
      </c>
      <c r="J128" s="108" t="s">
        <v>343</v>
      </c>
      <c r="K128" s="110">
        <v>2</v>
      </c>
      <c r="L128" s="111">
        <f>IF(O128="Error",0,ROUND(ROUND(H128,0)*(VLOOKUP(J128,Rates!$J$5:$K$10,2,FALSE)),2))</f>
        <v>820</v>
      </c>
      <c r="M128" s="112">
        <f t="shared" si="7"/>
        <v>240</v>
      </c>
      <c r="N128" s="113">
        <f t="shared" si="9"/>
        <v>1060</v>
      </c>
      <c r="O128" s="102" t="str">
        <f>IF(OR(COUNTIF(Rates!$J$13:$J$17,B128)=0,COUNTIF(Overview!$B$30:$B$84,C128)=0,D128="",E128="",F128="",COUNTIF(Rates!$Y$4:$Z$4,G128)=0,ISNUMBER(H128)=FALSE,I128="",COUNTIF(Rates!$J$5:$J$10,J128)=0,ISNUMBER(K128)=FALSE,IF(OR(IF(AND(G128="Staff",K128&gt;365),1,0)=1,IF(AND(G128="Student",K128&gt;60),1,0)=1),1,0)=1,IF(ISNUMBER(H128)=TRUE,H128=INT(H128*1)/1=FALSE),IF(ISNUMBER(K128)=TRUE,K128=INT(K128*1)/1=FALSE)),"Error","")</f>
        <v/>
      </c>
    </row>
    <row r="129" spans="2:15" s="103" customFormat="1" x14ac:dyDescent="0.25">
      <c r="B129" s="60" t="s">
        <v>369</v>
      </c>
      <c r="C129" s="94" t="s">
        <v>32</v>
      </c>
      <c r="D129" s="104" t="str">
        <f>IFERROR(IF(VLOOKUP(C129,Overview!$B$30:$E$84,2,FALSE)=0,"",VLOOKUP(C129,Overview!$B$30:$E$84,2,FALSE)),"")</f>
        <v>Ministry of Education of Tajikistan</v>
      </c>
      <c r="E129" s="104" t="str">
        <f>IFERROR(IF(OR(VLOOKUP(C129,Overview!$B$30:$E$84,4,FALSE)="Country not found",VLOOKUP(C129,Overview!$B$30:$E$84,3,FALSE)=0),"",VLOOKUP(C129,Overview!$B$30:$E$84,3,FALSE)),"")</f>
        <v>Tajikistan</v>
      </c>
      <c r="F129" s="108" t="s">
        <v>585</v>
      </c>
      <c r="G129" s="109" t="s">
        <v>520</v>
      </c>
      <c r="H129" s="110">
        <v>1</v>
      </c>
      <c r="I129" s="108" t="s">
        <v>578</v>
      </c>
      <c r="J129" s="108" t="s">
        <v>343</v>
      </c>
      <c r="K129" s="110">
        <v>2</v>
      </c>
      <c r="L129" s="111">
        <f>IF(O129="Error",0,ROUND(ROUND(H129,0)*(VLOOKUP(J129,Rates!$J$5:$K$10,2,FALSE)),2))</f>
        <v>820</v>
      </c>
      <c r="M129" s="112">
        <f t="shared" si="7"/>
        <v>240</v>
      </c>
      <c r="N129" s="113">
        <f t="shared" si="9"/>
        <v>1060</v>
      </c>
      <c r="O129" s="102" t="str">
        <f>IF(OR(COUNTIF(Rates!$J$13:$J$17,B129)=0,COUNTIF(Overview!$B$30:$B$84,C129)=0,D129="",E129="",F129="",COUNTIF(Rates!$Y$4:$Z$4,G129)=0,ISNUMBER(H129)=FALSE,I129="",COUNTIF(Rates!$J$5:$J$10,J129)=0,ISNUMBER(K129)=FALSE,IF(OR(IF(AND(G129="Staff",K129&gt;365),1,0)=1,IF(AND(G129="Student",K129&gt;60),1,0)=1),1,0)=1,IF(ISNUMBER(H129)=TRUE,H129=INT(H129*1)/1=FALSE),IF(ISNUMBER(K129)=TRUE,K129=INT(K129*1)/1=FALSE)),"Error","")</f>
        <v/>
      </c>
    </row>
    <row r="130" spans="2:15" s="103" customFormat="1" x14ac:dyDescent="0.25">
      <c r="B130" s="60" t="s">
        <v>369</v>
      </c>
      <c r="C130" s="94" t="s">
        <v>33</v>
      </c>
      <c r="D130" s="104" t="str">
        <f>IFERROR(IF(VLOOKUP(C130,Overview!$B$30:$E$84,2,FALSE)=0,"",VLOOKUP(C130,Overview!$B$30:$E$84,2,FALSE)),"")</f>
        <v>KIMEP University, JSC</v>
      </c>
      <c r="E130" s="104" t="str">
        <f>IFERROR(IF(OR(VLOOKUP(C130,Overview!$B$30:$E$84,4,FALSE)="Country not found",VLOOKUP(C130,Overview!$B$30:$E$84,3,FALSE)=0),"",VLOOKUP(C130,Overview!$B$30:$E$84,3,FALSE)),"")</f>
        <v>Kazakhstan</v>
      </c>
      <c r="F130" s="108" t="s">
        <v>580</v>
      </c>
      <c r="G130" s="109" t="s">
        <v>520</v>
      </c>
      <c r="H130" s="110">
        <v>2</v>
      </c>
      <c r="I130" s="108" t="s">
        <v>578</v>
      </c>
      <c r="J130" s="108" t="s">
        <v>343</v>
      </c>
      <c r="K130" s="110">
        <v>2</v>
      </c>
      <c r="L130" s="111">
        <f>IF(O130="Error",0,ROUND(ROUND(H130,0)*(VLOOKUP(J130,Rates!$J$5:$K$10,2,FALSE)),2))</f>
        <v>1640</v>
      </c>
      <c r="M130" s="112">
        <f t="shared" si="7"/>
        <v>480</v>
      </c>
      <c r="N130" s="113">
        <f t="shared" si="9"/>
        <v>2120</v>
      </c>
      <c r="O130" s="102" t="str">
        <f>IF(OR(COUNTIF(Rates!$J$13:$J$17,B130)=0,COUNTIF(Overview!$B$30:$B$84,C130)=0,D130="",E130="",F130="",COUNTIF(Rates!$Y$4:$Z$4,G130)=0,ISNUMBER(H130)=FALSE,I130="",COUNTIF(Rates!$J$5:$J$10,J130)=0,ISNUMBER(K130)=FALSE,IF(OR(IF(AND(G130="Staff",K130&gt;365),1,0)=1,IF(AND(G130="Student",K130&gt;60),1,0)=1),1,0)=1,IF(ISNUMBER(H130)=TRUE,H130=INT(H130*1)/1=FALSE),IF(ISNUMBER(K130)=TRUE,K130=INT(K130*1)/1=FALSE)),"Error","")</f>
        <v/>
      </c>
    </row>
    <row r="131" spans="2:15" s="103" customFormat="1" x14ac:dyDescent="0.25">
      <c r="B131" s="60" t="s">
        <v>369</v>
      </c>
      <c r="C131" s="94" t="s">
        <v>126</v>
      </c>
      <c r="D131" s="104" t="str">
        <f>IFERROR(IF(VLOOKUP(C131,Overview!$B$30:$E$84,2,FALSE)=0,"",VLOOKUP(C131,Overview!$B$30:$E$84,2,FALSE)),"")</f>
        <v>Al-Farabi Kazakhstan National University</v>
      </c>
      <c r="E131" s="104" t="str">
        <f>IFERROR(IF(OR(VLOOKUP(C131,Overview!$B$30:$E$84,4,FALSE)="Country not found",VLOOKUP(C131,Overview!$B$30:$E$84,3,FALSE)=0),"",VLOOKUP(C131,Overview!$B$30:$E$84,3,FALSE)),"")</f>
        <v>Kazakhstan</v>
      </c>
      <c r="F131" s="108" t="s">
        <v>580</v>
      </c>
      <c r="G131" s="109" t="s">
        <v>520</v>
      </c>
      <c r="H131" s="110">
        <v>2</v>
      </c>
      <c r="I131" s="108" t="s">
        <v>578</v>
      </c>
      <c r="J131" s="108" t="s">
        <v>343</v>
      </c>
      <c r="K131" s="110">
        <v>2</v>
      </c>
      <c r="L131" s="111">
        <f>IF(O131="Error",0,ROUND(ROUND(H131,0)*(VLOOKUP(J131,Rates!$J$5:$K$10,2,FALSE)),2))</f>
        <v>1640</v>
      </c>
      <c r="M131" s="112">
        <f t="shared" si="7"/>
        <v>480</v>
      </c>
      <c r="N131" s="113">
        <f t="shared" si="9"/>
        <v>2120</v>
      </c>
      <c r="O131" s="102" t="str">
        <f>IF(OR(COUNTIF(Rates!$J$13:$J$17,B131)=0,COUNTIF(Overview!$B$30:$B$84,C131)=0,D131="",E131="",F131="",COUNTIF(Rates!$Y$4:$Z$4,G131)=0,ISNUMBER(H131)=FALSE,I131="",COUNTIF(Rates!$J$5:$J$10,J131)=0,ISNUMBER(K131)=FALSE,IF(OR(IF(AND(G131="Staff",K131&gt;365),1,0)=1,IF(AND(G131="Student",K131&gt;60),1,0)=1),1,0)=1,IF(ISNUMBER(H131)=TRUE,H131=INT(H131*1)/1=FALSE),IF(ISNUMBER(K131)=TRUE,K131=INT(K131*1)/1=FALSE)),"Error","")</f>
        <v/>
      </c>
    </row>
    <row r="132" spans="2:15" s="103" customFormat="1" x14ac:dyDescent="0.25">
      <c r="B132" s="60" t="s">
        <v>369</v>
      </c>
      <c r="C132" s="94" t="s">
        <v>127</v>
      </c>
      <c r="D132" s="104" t="str">
        <f>IFERROR(IF(VLOOKUP(C132,Overview!$B$30:$E$84,2,FALSE)=0,"",VLOOKUP(C132,Overview!$B$30:$E$84,2,FALSE)),"")</f>
        <v>Kazakhstan National Technical University</v>
      </c>
      <c r="E132" s="104" t="str">
        <f>IFERROR(IF(OR(VLOOKUP(C132,Overview!$B$30:$E$84,4,FALSE)="Country not found",VLOOKUP(C132,Overview!$B$30:$E$84,3,FALSE)=0),"",VLOOKUP(C132,Overview!$B$30:$E$84,3,FALSE)),"")</f>
        <v>Kazakhstan</v>
      </c>
      <c r="F132" s="108" t="s">
        <v>580</v>
      </c>
      <c r="G132" s="109" t="s">
        <v>520</v>
      </c>
      <c r="H132" s="110">
        <v>2</v>
      </c>
      <c r="I132" s="108" t="s">
        <v>578</v>
      </c>
      <c r="J132" s="108" t="s">
        <v>343</v>
      </c>
      <c r="K132" s="110">
        <v>2</v>
      </c>
      <c r="L132" s="111">
        <f>IF(O132="Error",0,ROUND(ROUND(H132,0)*(VLOOKUP(J132,Rates!$J$5:$K$10,2,FALSE)),2))</f>
        <v>1640</v>
      </c>
      <c r="M132" s="112">
        <f t="shared" si="7"/>
        <v>480</v>
      </c>
      <c r="N132" s="113">
        <f t="shared" si="9"/>
        <v>2120</v>
      </c>
      <c r="O132" s="102" t="str">
        <f>IF(OR(COUNTIF(Rates!$J$13:$J$17,B132)=0,COUNTIF(Overview!$B$30:$B$84,C132)=0,D132="",E132="",F132="",COUNTIF(Rates!$Y$4:$Z$4,G132)=0,ISNUMBER(H132)=FALSE,I132="",COUNTIF(Rates!$J$5:$J$10,J132)=0,ISNUMBER(K132)=FALSE,IF(OR(IF(AND(G132="Staff",K132&gt;365),1,0)=1,IF(AND(G132="Student",K132&gt;60),1,0)=1),1,0)=1,IF(ISNUMBER(H132)=TRUE,H132=INT(H132*1)/1=FALSE),IF(ISNUMBER(K132)=TRUE,K132=INT(K132*1)/1=FALSE)),"Error","")</f>
        <v/>
      </c>
    </row>
    <row r="133" spans="2:15" s="103" customFormat="1" x14ac:dyDescent="0.25">
      <c r="B133" s="60" t="s">
        <v>369</v>
      </c>
      <c r="C133" s="94" t="s">
        <v>128</v>
      </c>
      <c r="D133" s="104" t="str">
        <f>IFERROR(IF(VLOOKUP(C133,Overview!$B$30:$E$84,2,FALSE)=0,"",VLOOKUP(C133,Overview!$B$30:$E$84,2,FALSE)),"")</f>
        <v xml:space="preserve">Zhezkazgan Baikonurov University </v>
      </c>
      <c r="E133" s="104" t="str">
        <f>IFERROR(IF(OR(VLOOKUP(C133,Overview!$B$30:$E$84,4,FALSE)="Country not found",VLOOKUP(C133,Overview!$B$30:$E$84,3,FALSE)=0),"",VLOOKUP(C133,Overview!$B$30:$E$84,3,FALSE)),"")</f>
        <v>Kazakhstan</v>
      </c>
      <c r="F133" s="108" t="s">
        <v>600</v>
      </c>
      <c r="G133" s="109" t="s">
        <v>520</v>
      </c>
      <c r="H133" s="110">
        <v>2</v>
      </c>
      <c r="I133" s="108" t="s">
        <v>578</v>
      </c>
      <c r="J133" s="108" t="s">
        <v>343</v>
      </c>
      <c r="K133" s="110">
        <v>2</v>
      </c>
      <c r="L133" s="111">
        <f>IF(O133="Error",0,ROUND(ROUND(H133,0)*(VLOOKUP(J133,Rates!$J$5:$K$10,2,FALSE)),2))</f>
        <v>1640</v>
      </c>
      <c r="M133" s="112">
        <f t="shared" si="7"/>
        <v>480</v>
      </c>
      <c r="N133" s="113">
        <f t="shared" si="9"/>
        <v>2120</v>
      </c>
      <c r="O133" s="102" t="str">
        <f>IF(OR(COUNTIF(Rates!$J$13:$J$17,B133)=0,COUNTIF(Overview!$B$30:$B$84,C133)=0,D133="",E133="",F133="",COUNTIF(Rates!$Y$4:$Z$4,G133)=0,ISNUMBER(H133)=FALSE,I133="",COUNTIF(Rates!$J$5:$J$10,J133)=0,ISNUMBER(K133)=FALSE,IF(OR(IF(AND(G133="Staff",K133&gt;365),1,0)=1,IF(AND(G133="Student",K133&gt;60),1,0)=1),1,0)=1,IF(ISNUMBER(H133)=TRUE,H133=INT(H133*1)/1=FALSE),IF(ISNUMBER(K133)=TRUE,K133=INT(K133*1)/1=FALSE)),"Error","")</f>
        <v/>
      </c>
    </row>
    <row r="134" spans="2:15" s="103" customFormat="1" x14ac:dyDescent="0.25">
      <c r="B134" s="60" t="s">
        <v>369</v>
      </c>
      <c r="C134" s="94" t="s">
        <v>129</v>
      </c>
      <c r="D134" s="104" t="str">
        <f>IFERROR(IF(VLOOKUP(C134,Overview!$B$30:$E$84,2,FALSE)=0,"",VLOOKUP(C134,Overview!$B$30:$E$84,2,FALSE)),"")</f>
        <v xml:space="preserve">Altynsarin National Academy of Education </v>
      </c>
      <c r="E134" s="104" t="str">
        <f>IFERROR(IF(OR(VLOOKUP(C134,Overview!$B$30:$E$84,4,FALSE)="Country not found",VLOOKUP(C134,Overview!$B$30:$E$84,3,FALSE)=0),"",VLOOKUP(C134,Overview!$B$30:$E$84,3,FALSE)),"")</f>
        <v>Kazakhstan</v>
      </c>
      <c r="F134" s="108" t="s">
        <v>586</v>
      </c>
      <c r="G134" s="109" t="s">
        <v>520</v>
      </c>
      <c r="H134" s="110">
        <v>1</v>
      </c>
      <c r="I134" s="108" t="s">
        <v>578</v>
      </c>
      <c r="J134" s="108" t="s">
        <v>343</v>
      </c>
      <c r="K134" s="110">
        <v>2</v>
      </c>
      <c r="L134" s="111">
        <f>IF(O134="Error",0,ROUND(ROUND(H134,0)*(VLOOKUP(J134,Rates!$J$5:$K$10,2,FALSE)),2))</f>
        <v>820</v>
      </c>
      <c r="M134" s="112">
        <f t="shared" si="7"/>
        <v>240</v>
      </c>
      <c r="N134" s="113">
        <f t="shared" si="9"/>
        <v>1060</v>
      </c>
      <c r="O134" s="102" t="str">
        <f>IF(OR(COUNTIF(Rates!$J$13:$J$17,B134)=0,COUNTIF(Overview!$B$30:$B$84,C134)=0,D134="",E134="",F134="",COUNTIF(Rates!$Y$4:$Z$4,G134)=0,ISNUMBER(H134)=FALSE,I134="",COUNTIF(Rates!$J$5:$J$10,J134)=0,ISNUMBER(K134)=FALSE,IF(OR(IF(AND(G134="Staff",K134&gt;365),1,0)=1,IF(AND(G134="Student",K134&gt;60),1,0)=1),1,0)=1,IF(ISNUMBER(H134)=TRUE,H134=INT(H134*1)/1=FALSE),IF(ISNUMBER(K134)=TRUE,K134=INT(K134*1)/1=FALSE)),"Error","")</f>
        <v/>
      </c>
    </row>
    <row r="135" spans="2:15" s="103" customFormat="1" x14ac:dyDescent="0.25">
      <c r="B135" s="60" t="s">
        <v>369</v>
      </c>
      <c r="C135" s="94" t="s">
        <v>130</v>
      </c>
      <c r="D135" s="104" t="str">
        <f>IFERROR(IF(VLOOKUP(C135,Overview!$B$30:$E$84,2,FALSE)=0,"",VLOOKUP(C135,Overview!$B$30:$E$84,2,FALSE)),"")</f>
        <v>Ministry of Education and Science of Kazakhstan</v>
      </c>
      <c r="E135" s="104" t="str">
        <f>IFERROR(IF(OR(VLOOKUP(C135,Overview!$B$30:$E$84,4,FALSE)="Country not found",VLOOKUP(C135,Overview!$B$30:$E$84,3,FALSE)=0),"",VLOOKUP(C135,Overview!$B$30:$E$84,3,FALSE)),"")</f>
        <v>Kazakhstan</v>
      </c>
      <c r="F135" s="108" t="s">
        <v>586</v>
      </c>
      <c r="G135" s="109" t="s">
        <v>520</v>
      </c>
      <c r="H135" s="110">
        <v>1</v>
      </c>
      <c r="I135" s="108" t="s">
        <v>578</v>
      </c>
      <c r="J135" s="108" t="s">
        <v>343</v>
      </c>
      <c r="K135" s="110">
        <v>2</v>
      </c>
      <c r="L135" s="111">
        <f>IF(O135="Error",0,ROUND(ROUND(H135,0)*(VLOOKUP(J135,Rates!$J$5:$K$10,2,FALSE)),2))</f>
        <v>820</v>
      </c>
      <c r="M135" s="112">
        <f t="shared" si="7"/>
        <v>240</v>
      </c>
      <c r="N135" s="113">
        <f t="shared" si="9"/>
        <v>1060</v>
      </c>
      <c r="O135" s="102" t="str">
        <f>IF(OR(COUNTIF(Rates!$J$13:$J$17,B135)=0,COUNTIF(Overview!$B$30:$B$84,C135)=0,D135="",E135="",F135="",COUNTIF(Rates!$Y$4:$Z$4,G135)=0,ISNUMBER(H135)=FALSE,I135="",COUNTIF(Rates!$J$5:$J$10,J135)=0,ISNUMBER(K135)=FALSE,IF(OR(IF(AND(G135="Staff",K135&gt;365),1,0)=1,IF(AND(G135="Student",K135&gt;60),1,0)=1),1,0)=1,IF(ISNUMBER(H135)=TRUE,H135=INT(H135*1)/1=FALSE),IF(ISNUMBER(K135)=TRUE,K135=INT(K135*1)/1=FALSE)),"Error","")</f>
        <v/>
      </c>
    </row>
    <row r="136" spans="2:15" s="103" customFormat="1" x14ac:dyDescent="0.25">
      <c r="B136" s="60" t="s">
        <v>369</v>
      </c>
      <c r="C136" s="94" t="s">
        <v>16</v>
      </c>
      <c r="D136" s="104" t="str">
        <f>IFERROR(IF(VLOOKUP(C136,Overview!$B$30:$E$84,2,FALSE)=0,"",VLOOKUP(C136,Overview!$B$30:$E$84,2,FALSE)),"")</f>
        <v>Bath Spa University</v>
      </c>
      <c r="E136" s="104" t="str">
        <f>IFERROR(IF(OR(VLOOKUP(C136,Overview!$B$30:$E$84,4,FALSE)="Country not found",VLOOKUP(C136,Overview!$B$30:$E$84,3,FALSE)=0),"",VLOOKUP(C136,Overview!$B$30:$E$84,3,FALSE)),"")</f>
        <v>United Kingdom</v>
      </c>
      <c r="F136" s="108" t="s">
        <v>597</v>
      </c>
      <c r="G136" s="109" t="s">
        <v>520</v>
      </c>
      <c r="H136" s="110">
        <v>2</v>
      </c>
      <c r="I136" s="108" t="s">
        <v>576</v>
      </c>
      <c r="J136" s="108" t="s">
        <v>338</v>
      </c>
      <c r="K136" s="110">
        <v>2</v>
      </c>
      <c r="L136" s="111">
        <f>IF(O136="Error",0,ROUND(ROUND(H136,0)*(VLOOKUP(J136,Rates!$J$5:$K$10,2,FALSE)),2))</f>
        <v>550</v>
      </c>
      <c r="M136" s="112">
        <f t="shared" si="7"/>
        <v>480</v>
      </c>
      <c r="N136" s="113">
        <f t="shared" si="9"/>
        <v>1030</v>
      </c>
      <c r="O136" s="102" t="str">
        <f>IF(OR(COUNTIF(Rates!$J$13:$J$17,B136)=0,COUNTIF(Overview!$B$30:$B$84,C136)=0,D136="",E136="",F136="",COUNTIF(Rates!$Y$4:$Z$4,G136)=0,ISNUMBER(H136)=FALSE,I136="",COUNTIF(Rates!$J$5:$J$10,J136)=0,ISNUMBER(K136)=FALSE,IF(OR(IF(AND(G136="Staff",K136&gt;365),1,0)=1,IF(AND(G136="Student",K136&gt;60),1,0)=1),1,0)=1,IF(ISNUMBER(H136)=TRUE,H136=INT(H136*1)/1=FALSE),IF(ISNUMBER(K136)=TRUE,K136=INT(K136*1)/1=FALSE)),"Error","")</f>
        <v/>
      </c>
    </row>
    <row r="137" spans="2:15" s="103" customFormat="1" x14ac:dyDescent="0.25">
      <c r="B137" s="60" t="s">
        <v>369</v>
      </c>
      <c r="C137" s="94" t="s">
        <v>17</v>
      </c>
      <c r="D137" s="104" t="str">
        <f>IFERROR(IF(VLOOKUP(C137,Overview!$B$30:$E$84,2,FALSE)=0,"",VLOOKUP(C137,Overview!$B$30:$E$84,2,FALSE)),"")</f>
        <v>Wroclaw Technical University</v>
      </c>
      <c r="E137" s="104" t="str">
        <f>IFERROR(IF(OR(VLOOKUP(C137,Overview!$B$30:$E$84,4,FALSE)="Country not found",VLOOKUP(C137,Overview!$B$30:$E$84,3,FALSE)=0),"",VLOOKUP(C137,Overview!$B$30:$E$84,3,FALSE)),"")</f>
        <v>Poland</v>
      </c>
      <c r="F137" s="108" t="s">
        <v>577</v>
      </c>
      <c r="G137" s="109" t="s">
        <v>520</v>
      </c>
      <c r="H137" s="110">
        <v>2</v>
      </c>
      <c r="I137" s="108" t="s">
        <v>576</v>
      </c>
      <c r="J137" s="108" t="s">
        <v>338</v>
      </c>
      <c r="K137" s="110">
        <v>2</v>
      </c>
      <c r="L137" s="111">
        <f>IF(O137="Error",0,ROUND(ROUND(H137,0)*(VLOOKUP(J137,Rates!$J$5:$K$10,2,FALSE)),2))</f>
        <v>550</v>
      </c>
      <c r="M137" s="112">
        <f t="shared" si="7"/>
        <v>480</v>
      </c>
      <c r="N137" s="113">
        <f t="shared" si="9"/>
        <v>1030</v>
      </c>
      <c r="O137" s="102" t="str">
        <f>IF(OR(COUNTIF(Rates!$J$13:$J$17,B137)=0,COUNTIF(Overview!$B$30:$B$84,C137)=0,D137="",E137="",F137="",COUNTIF(Rates!$Y$4:$Z$4,G137)=0,ISNUMBER(H137)=FALSE,I137="",COUNTIF(Rates!$J$5:$J$10,J137)=0,ISNUMBER(K137)=FALSE,IF(OR(IF(AND(G137="Staff",K137&gt;365),1,0)=1,IF(AND(G137="Student",K137&gt;60),1,0)=1),1,0)=1,IF(ISNUMBER(H137)=TRUE,H137=INT(H137*1)/1=FALSE),IF(ISNUMBER(K137)=TRUE,K137=INT(K137*1)/1=FALSE)),"Error","")</f>
        <v/>
      </c>
    </row>
    <row r="138" spans="2:15" s="103" customFormat="1" x14ac:dyDescent="0.25">
      <c r="B138" s="60" t="s">
        <v>369</v>
      </c>
      <c r="C138" s="94" t="s">
        <v>18</v>
      </c>
      <c r="D138" s="104" t="str">
        <f>IFERROR(IF(VLOOKUP(C138,Overview!$B$30:$E$84,2,FALSE)=0,"",VLOOKUP(C138,Overview!$B$30:$E$84,2,FALSE)),"")</f>
        <v>Koblenz-Landau University</v>
      </c>
      <c r="E138" s="104" t="str">
        <f>IFERROR(IF(OR(VLOOKUP(C138,Overview!$B$30:$E$84,4,FALSE)="Country not found",VLOOKUP(C138,Overview!$B$30:$E$84,3,FALSE)=0),"",VLOOKUP(C138,Overview!$B$30:$E$84,3,FALSE)),"")</f>
        <v>Germany</v>
      </c>
      <c r="F138" s="108" t="s">
        <v>578</v>
      </c>
      <c r="G138" s="109" t="s">
        <v>520</v>
      </c>
      <c r="H138" s="110">
        <v>2</v>
      </c>
      <c r="I138" s="108" t="s">
        <v>576</v>
      </c>
      <c r="J138" s="108" t="s">
        <v>338</v>
      </c>
      <c r="K138" s="110">
        <v>2</v>
      </c>
      <c r="L138" s="111">
        <f>IF(O138="Error",0,ROUND(ROUND(H138,0)*(VLOOKUP(J138,Rates!$J$5:$K$10,2,FALSE)),2))</f>
        <v>550</v>
      </c>
      <c r="M138" s="112">
        <f t="shared" si="7"/>
        <v>480</v>
      </c>
      <c r="N138" s="113">
        <f t="shared" si="9"/>
        <v>1030</v>
      </c>
      <c r="O138" s="102" t="str">
        <f>IF(OR(COUNTIF(Rates!$J$13:$J$17,B138)=0,COUNTIF(Overview!$B$30:$B$84,C138)=0,D138="",E138="",F138="",COUNTIF(Rates!$Y$4:$Z$4,G138)=0,ISNUMBER(H138)=FALSE,I138="",COUNTIF(Rates!$J$5:$J$10,J138)=0,ISNUMBER(K138)=FALSE,IF(OR(IF(AND(G138="Staff",K138&gt;365),1,0)=1,IF(AND(G138="Student",K138&gt;60),1,0)=1),1,0)=1,IF(ISNUMBER(H138)=TRUE,H138=INT(H138*1)/1=FALSE),IF(ISNUMBER(K138)=TRUE,K138=INT(K138*1)/1=FALSE)),"Error","")</f>
        <v/>
      </c>
    </row>
    <row r="139" spans="2:15" s="103" customFormat="1" x14ac:dyDescent="0.25">
      <c r="B139" s="60" t="s">
        <v>369</v>
      </c>
      <c r="C139" s="94" t="s">
        <v>19</v>
      </c>
      <c r="D139" s="104" t="str">
        <f>IFERROR(IF(VLOOKUP(C139,Overview!$B$30:$E$84,2,FALSE)=0,"",VLOOKUP(C139,Overview!$B$30:$E$84,2,FALSE)),"")</f>
        <v>The Network University</v>
      </c>
      <c r="E139" s="104" t="str">
        <f>IFERROR(IF(OR(VLOOKUP(C139,Overview!$B$30:$E$84,4,FALSE)="Country not found",VLOOKUP(C139,Overview!$B$30:$E$84,3,FALSE)=0),"",VLOOKUP(C139,Overview!$B$30:$E$84,3,FALSE)),"")</f>
        <v>Netherlands</v>
      </c>
      <c r="F139" s="108" t="s">
        <v>587</v>
      </c>
      <c r="G139" s="109" t="s">
        <v>520</v>
      </c>
      <c r="H139" s="110">
        <v>2</v>
      </c>
      <c r="I139" s="108" t="s">
        <v>576</v>
      </c>
      <c r="J139" s="108" t="s">
        <v>339</v>
      </c>
      <c r="K139" s="110">
        <v>2</v>
      </c>
      <c r="L139" s="111">
        <f>IF(O139="Error",0,ROUND(ROUND(H139,0)*(VLOOKUP(J139,Rates!$J$5:$K$10,2,FALSE)),2))</f>
        <v>720</v>
      </c>
      <c r="M139" s="112">
        <f t="shared" si="7"/>
        <v>480</v>
      </c>
      <c r="N139" s="113">
        <f t="shared" si="9"/>
        <v>1200</v>
      </c>
      <c r="O139" s="102" t="str">
        <f>IF(OR(COUNTIF(Rates!$J$13:$J$17,B139)=0,COUNTIF(Overview!$B$30:$B$84,C139)=0,D139="",E139="",F139="",COUNTIF(Rates!$Y$4:$Z$4,G139)=0,ISNUMBER(H139)=FALSE,I139="",COUNTIF(Rates!$J$5:$J$10,J139)=0,ISNUMBER(K139)=FALSE,IF(OR(IF(AND(G139="Staff",K139&gt;365),1,0)=1,IF(AND(G139="Student",K139&gt;60),1,0)=1),1,0)=1,IF(ISNUMBER(H139)=TRUE,H139=INT(H139*1)/1=FALSE),IF(ISNUMBER(K139)=TRUE,K139=INT(K139*1)/1=FALSE)),"Error","")</f>
        <v/>
      </c>
    </row>
    <row r="140" spans="2:15" s="103" customFormat="1" x14ac:dyDescent="0.25">
      <c r="B140" s="60" t="s">
        <v>369</v>
      </c>
      <c r="C140" s="94" t="s">
        <v>20</v>
      </c>
      <c r="D140" s="104" t="str">
        <f>IFERROR(IF(VLOOKUP(C140,Overview!$B$30:$E$84,2,FALSE)=0,"",VLOOKUP(C140,Overview!$B$30:$E$84,2,FALSE)),"")</f>
        <v>Tashkent State Technical University</v>
      </c>
      <c r="E140" s="104" t="str">
        <f>IFERROR(IF(OR(VLOOKUP(C140,Overview!$B$30:$E$84,4,FALSE)="Country not found",VLOOKUP(C140,Overview!$B$30:$E$84,3,FALSE)=0),"",VLOOKUP(C140,Overview!$B$30:$E$84,3,FALSE)),"")</f>
        <v>Uzbekistan</v>
      </c>
      <c r="F140" s="108" t="s">
        <v>579</v>
      </c>
      <c r="G140" s="109" t="s">
        <v>520</v>
      </c>
      <c r="H140" s="110">
        <v>2</v>
      </c>
      <c r="I140" s="108" t="s">
        <v>576</v>
      </c>
      <c r="J140" s="108" t="s">
        <v>343</v>
      </c>
      <c r="K140" s="110">
        <v>2</v>
      </c>
      <c r="L140" s="111">
        <f>IF(O140="Error",0,ROUND(ROUND(H140,0)*(VLOOKUP(J140,Rates!$J$5:$K$10,2,FALSE)),2))</f>
        <v>1640</v>
      </c>
      <c r="M140" s="112">
        <f t="shared" si="7"/>
        <v>480</v>
      </c>
      <c r="N140" s="113">
        <f t="shared" si="9"/>
        <v>2120</v>
      </c>
      <c r="O140" s="102" t="str">
        <f>IF(OR(COUNTIF(Rates!$J$13:$J$17,B140)=0,COUNTIF(Overview!$B$30:$B$84,C140)=0,D140="",E140="",F140="",COUNTIF(Rates!$Y$4:$Z$4,G140)=0,ISNUMBER(H140)=FALSE,I140="",COUNTIF(Rates!$J$5:$J$10,J140)=0,ISNUMBER(K140)=FALSE,IF(OR(IF(AND(G140="Staff",K140&gt;365),1,0)=1,IF(AND(G140="Student",K140&gt;60),1,0)=1),1,0)=1,IF(ISNUMBER(H140)=TRUE,H140=INT(H140*1)/1=FALSE),IF(ISNUMBER(K140)=TRUE,K140=INT(K140*1)/1=FALSE)),"Error","")</f>
        <v/>
      </c>
    </row>
    <row r="141" spans="2:15" s="103" customFormat="1" x14ac:dyDescent="0.25">
      <c r="B141" s="60" t="s">
        <v>369</v>
      </c>
      <c r="C141" s="94" t="s">
        <v>21</v>
      </c>
      <c r="D141" s="104" t="str">
        <f>IFERROR(IF(VLOOKUP(C141,Overview!$B$30:$E$84,2,FALSE)=0,"",VLOOKUP(C141,Overview!$B$30:$E$84,2,FALSE)),"")</f>
        <v>National University of Uzbekistan</v>
      </c>
      <c r="E141" s="104" t="str">
        <f>IFERROR(IF(OR(VLOOKUP(C141,Overview!$B$30:$E$84,4,FALSE)="Country not found",VLOOKUP(C141,Overview!$B$30:$E$84,3,FALSE)=0),"",VLOOKUP(C141,Overview!$B$30:$E$84,3,FALSE)),"")</f>
        <v>Uzbekistan</v>
      </c>
      <c r="F141" s="108" t="s">
        <v>579</v>
      </c>
      <c r="G141" s="109" t="s">
        <v>520</v>
      </c>
      <c r="H141" s="110">
        <v>2</v>
      </c>
      <c r="I141" s="108" t="s">
        <v>576</v>
      </c>
      <c r="J141" s="108" t="s">
        <v>343</v>
      </c>
      <c r="K141" s="110">
        <v>2</v>
      </c>
      <c r="L141" s="111">
        <f>IF(O141="Error",0,ROUND(ROUND(H141,0)*(VLOOKUP(J141,Rates!$J$5:$K$10,2,FALSE)),2))</f>
        <v>1640</v>
      </c>
      <c r="M141" s="112">
        <f t="shared" si="7"/>
        <v>480</v>
      </c>
      <c r="N141" s="113">
        <f t="shared" si="9"/>
        <v>2120</v>
      </c>
      <c r="O141" s="102" t="str">
        <f>IF(OR(COUNTIF(Rates!$J$13:$J$17,B141)=0,COUNTIF(Overview!$B$30:$B$84,C141)=0,D141="",E141="",F141="",COUNTIF(Rates!$Y$4:$Z$4,G141)=0,ISNUMBER(H141)=FALSE,I141="",COUNTIF(Rates!$J$5:$J$10,J141)=0,ISNUMBER(K141)=FALSE,IF(OR(IF(AND(G141="Staff",K141&gt;365),1,0)=1,IF(AND(G141="Student",K141&gt;60),1,0)=1),1,0)=1,IF(ISNUMBER(H141)=TRUE,H141=INT(H141*1)/1=FALSE),IF(ISNUMBER(K141)=TRUE,K141=INT(K141*1)/1=FALSE)),"Error","")</f>
        <v/>
      </c>
    </row>
    <row r="142" spans="2:15" s="103" customFormat="1" x14ac:dyDescent="0.25">
      <c r="B142" s="60" t="s">
        <v>369</v>
      </c>
      <c r="C142" s="94" t="s">
        <v>22</v>
      </c>
      <c r="D142" s="104" t="str">
        <f>IFERROR(IF(VLOOKUP(C142,Overview!$B$30:$E$84,2,FALSE)=0,"",VLOOKUP(C142,Overview!$B$30:$E$84,2,FALSE)),"")</f>
        <v>Enterprise “Business Drilling”</v>
      </c>
      <c r="E142" s="104" t="str">
        <f>IFERROR(IF(OR(VLOOKUP(C142,Overview!$B$30:$E$84,4,FALSE)="Country not found",VLOOKUP(C142,Overview!$B$30:$E$84,3,FALSE)=0),"",VLOOKUP(C142,Overview!$B$30:$E$84,3,FALSE)),"")</f>
        <v>Uzbekistan</v>
      </c>
      <c r="F142" s="108" t="s">
        <v>579</v>
      </c>
      <c r="G142" s="109" t="s">
        <v>520</v>
      </c>
      <c r="H142" s="110">
        <v>1</v>
      </c>
      <c r="I142" s="108" t="s">
        <v>576</v>
      </c>
      <c r="J142" s="108" t="s">
        <v>343</v>
      </c>
      <c r="K142" s="110">
        <v>2</v>
      </c>
      <c r="L142" s="111">
        <f>IF(O142="Error",0,ROUND(ROUND(H142,0)*(VLOOKUP(J142,Rates!$J$5:$K$10,2,FALSE)),2))</f>
        <v>820</v>
      </c>
      <c r="M142" s="112">
        <f t="shared" si="7"/>
        <v>240</v>
      </c>
      <c r="N142" s="113">
        <f t="shared" si="9"/>
        <v>1060</v>
      </c>
      <c r="O142" s="102" t="str">
        <f>IF(OR(COUNTIF(Rates!$J$13:$J$17,B142)=0,COUNTIF(Overview!$B$30:$B$84,C142)=0,D142="",E142="",F142="",COUNTIF(Rates!$Y$4:$Z$4,G142)=0,ISNUMBER(H142)=FALSE,I142="",COUNTIF(Rates!$J$5:$J$10,J142)=0,ISNUMBER(K142)=FALSE,IF(OR(IF(AND(G142="Staff",K142&gt;365),1,0)=1,IF(AND(G142="Student",K142&gt;60),1,0)=1),1,0)=1,IF(ISNUMBER(H142)=TRUE,H142=INT(H142*1)/1=FALSE),IF(ISNUMBER(K142)=TRUE,K142=INT(K142*1)/1=FALSE)),"Error","")</f>
        <v/>
      </c>
    </row>
    <row r="143" spans="2:15" s="103" customFormat="1" x14ac:dyDescent="0.25">
      <c r="B143" s="60" t="s">
        <v>369</v>
      </c>
      <c r="C143" s="94" t="s">
        <v>23</v>
      </c>
      <c r="D143" s="104" t="str">
        <f>IFERROR(IF(VLOOKUP(C143,Overview!$B$30:$E$84,2,FALSE)=0,"",VLOOKUP(C143,Overview!$B$30:$E$84,2,FALSE)),"")</f>
        <v>Ministry of Education of Uzbekistan</v>
      </c>
      <c r="E143" s="104" t="str">
        <f>IFERROR(IF(OR(VLOOKUP(C143,Overview!$B$30:$E$84,4,FALSE)="Country not found",VLOOKUP(C143,Overview!$B$30:$E$84,3,FALSE)=0),"",VLOOKUP(C143,Overview!$B$30:$E$84,3,FALSE)),"")</f>
        <v>Uzbekistan</v>
      </c>
      <c r="F143" s="108" t="s">
        <v>579</v>
      </c>
      <c r="G143" s="109" t="s">
        <v>520</v>
      </c>
      <c r="H143" s="110">
        <v>1</v>
      </c>
      <c r="I143" s="108" t="s">
        <v>576</v>
      </c>
      <c r="J143" s="108" t="s">
        <v>343</v>
      </c>
      <c r="K143" s="110">
        <v>2</v>
      </c>
      <c r="L143" s="111">
        <f>IF(O143="Error",0,ROUND(ROUND(H143,0)*(VLOOKUP(J143,Rates!$J$5:$K$10,2,FALSE)),2))</f>
        <v>820</v>
      </c>
      <c r="M143" s="112">
        <f t="shared" ref="M143:M209" si="10">IF(O143="Error",0,ROUND(ROUND(H143,0)*INDEX(CostRates,MATCH(ROUND(K143,0),CostDays,0),MATCH(G143,CostCat,0)),2))</f>
        <v>240</v>
      </c>
      <c r="N143" s="113">
        <f t="shared" si="9"/>
        <v>1060</v>
      </c>
      <c r="O143" s="102" t="str">
        <f>IF(OR(COUNTIF(Rates!$J$13:$J$17,B143)=0,COUNTIF(Overview!$B$30:$B$84,C143)=0,D143="",E143="",F143="",COUNTIF(Rates!$Y$4:$Z$4,G143)=0,ISNUMBER(H143)=FALSE,I143="",COUNTIF(Rates!$J$5:$J$10,J143)=0,ISNUMBER(K143)=FALSE,IF(OR(IF(AND(G143="Staff",K143&gt;365),1,0)=1,IF(AND(G143="Student",K143&gt;60),1,0)=1),1,0)=1,IF(ISNUMBER(H143)=TRUE,H143=INT(H143*1)/1=FALSE),IF(ISNUMBER(K143)=TRUE,K143=INT(K143*1)/1=FALSE)),"Error","")</f>
        <v/>
      </c>
    </row>
    <row r="144" spans="2:15" s="103" customFormat="1" x14ac:dyDescent="0.25">
      <c r="B144" s="60" t="s">
        <v>369</v>
      </c>
      <c r="C144" s="94" t="s">
        <v>24</v>
      </c>
      <c r="D144" s="104" t="str">
        <f>IFERROR(IF(VLOOKUP(C144,Overview!$B$30:$E$84,2,FALSE)=0,"",VLOOKUP(C144,Overview!$B$30:$E$84,2,FALSE)),"")</f>
        <v>Kyrgyz State Technical University</v>
      </c>
      <c r="E144" s="104" t="str">
        <f>IFERROR(IF(OR(VLOOKUP(C144,Overview!$B$30:$E$84,4,FALSE)="Country not found",VLOOKUP(C144,Overview!$B$30:$E$84,3,FALSE)=0),"",VLOOKUP(C144,Overview!$B$30:$E$84,3,FALSE)),"")</f>
        <v>Kyrgyzstan</v>
      </c>
      <c r="F144" s="108" t="s">
        <v>584</v>
      </c>
      <c r="G144" s="109" t="s">
        <v>520</v>
      </c>
      <c r="H144" s="110">
        <v>2</v>
      </c>
      <c r="I144" s="108" t="s">
        <v>576</v>
      </c>
      <c r="J144" s="108" t="s">
        <v>343</v>
      </c>
      <c r="K144" s="110">
        <v>2</v>
      </c>
      <c r="L144" s="111">
        <f>IF(O144="Error",0,ROUND(ROUND(H144,0)*(VLOOKUP(J144,Rates!$J$5:$K$10,2,FALSE)),2))</f>
        <v>1640</v>
      </c>
      <c r="M144" s="112">
        <f t="shared" si="10"/>
        <v>480</v>
      </c>
      <c r="N144" s="113">
        <f t="shared" si="9"/>
        <v>2120</v>
      </c>
      <c r="O144" s="102" t="str">
        <f>IF(OR(COUNTIF(Rates!$J$13:$J$17,B144)=0,COUNTIF(Overview!$B$30:$B$84,C144)=0,D144="",E144="",F144="",COUNTIF(Rates!$Y$4:$Z$4,G144)=0,ISNUMBER(H144)=FALSE,I144="",COUNTIF(Rates!$J$5:$J$10,J144)=0,ISNUMBER(K144)=FALSE,IF(OR(IF(AND(G144="Staff",K144&gt;365),1,0)=1,IF(AND(G144="Student",K144&gt;60),1,0)=1),1,0)=1,IF(ISNUMBER(H144)=TRUE,H144=INT(H144*1)/1=FALSE),IF(ISNUMBER(K144)=TRUE,K144=INT(K144*1)/1=FALSE)),"Error","")</f>
        <v/>
      </c>
    </row>
    <row r="145" spans="2:15" s="103" customFormat="1" x14ac:dyDescent="0.25">
      <c r="B145" s="60" t="s">
        <v>369</v>
      </c>
      <c r="C145" s="94" t="s">
        <v>25</v>
      </c>
      <c r="D145" s="104" t="str">
        <f>IFERROR(IF(VLOOKUP(C145,Overview!$B$30:$E$84,2,FALSE)=0,"",VLOOKUP(C145,Overview!$B$30:$E$84,2,FALSE)),"")</f>
        <v>Bishkek Academy of Finance and Economics</v>
      </c>
      <c r="E145" s="104" t="str">
        <f>IFERROR(IF(OR(VLOOKUP(C145,Overview!$B$30:$E$84,4,FALSE)="Country not found",VLOOKUP(C145,Overview!$B$30:$E$84,3,FALSE)=0),"",VLOOKUP(C145,Overview!$B$30:$E$84,3,FALSE)),"")</f>
        <v>Kyrgyzstan</v>
      </c>
      <c r="F145" s="108" t="s">
        <v>584</v>
      </c>
      <c r="G145" s="109" t="s">
        <v>520</v>
      </c>
      <c r="H145" s="110">
        <v>2</v>
      </c>
      <c r="I145" s="108" t="s">
        <v>576</v>
      </c>
      <c r="J145" s="108" t="s">
        <v>343</v>
      </c>
      <c r="K145" s="110">
        <v>2</v>
      </c>
      <c r="L145" s="111">
        <f>IF(O145="Error",0,ROUND(ROUND(H145,0)*(VLOOKUP(J145,Rates!$J$5:$K$10,2,FALSE)),2))</f>
        <v>1640</v>
      </c>
      <c r="M145" s="112">
        <f t="shared" si="10"/>
        <v>480</v>
      </c>
      <c r="N145" s="113">
        <f t="shared" si="9"/>
        <v>2120</v>
      </c>
      <c r="O145" s="102" t="str">
        <f>IF(OR(COUNTIF(Rates!$J$13:$J$17,B145)=0,COUNTIF(Overview!$B$30:$B$84,C145)=0,D145="",E145="",F145="",COUNTIF(Rates!$Y$4:$Z$4,G145)=0,ISNUMBER(H145)=FALSE,I145="",COUNTIF(Rates!$J$5:$J$10,J145)=0,ISNUMBER(K145)=FALSE,IF(OR(IF(AND(G145="Staff",K145&gt;365),1,0)=1,IF(AND(G145="Student",K145&gt;60),1,0)=1),1,0)=1,IF(ISNUMBER(H145)=TRUE,H145=INT(H145*1)/1=FALSE),IF(ISNUMBER(K145)=TRUE,K145=INT(K145*1)/1=FALSE)),"Error","")</f>
        <v/>
      </c>
    </row>
    <row r="146" spans="2:15" s="103" customFormat="1" x14ac:dyDescent="0.25">
      <c r="B146" s="60" t="s">
        <v>369</v>
      </c>
      <c r="C146" s="94" t="s">
        <v>26</v>
      </c>
      <c r="D146" s="104" t="str">
        <f>IFERROR(IF(VLOOKUP(C146,Overview!$B$30:$E$84,2,FALSE)=0,"",VLOOKUP(C146,Overview!$B$30:$E$84,2,FALSE)),"")</f>
        <v>Osh Technological University</v>
      </c>
      <c r="E146" s="104" t="str">
        <f>IFERROR(IF(OR(VLOOKUP(C146,Overview!$B$30:$E$84,4,FALSE)="Country not found",VLOOKUP(C146,Overview!$B$30:$E$84,3,FALSE)=0),"",VLOOKUP(C146,Overview!$B$30:$E$84,3,FALSE)),"")</f>
        <v>Kyrgyzstan</v>
      </c>
      <c r="F146" s="108" t="s">
        <v>583</v>
      </c>
      <c r="G146" s="109" t="s">
        <v>520</v>
      </c>
      <c r="H146" s="110">
        <v>2</v>
      </c>
      <c r="I146" s="108" t="s">
        <v>576</v>
      </c>
      <c r="J146" s="108" t="s">
        <v>343</v>
      </c>
      <c r="K146" s="110">
        <v>2</v>
      </c>
      <c r="L146" s="111">
        <f>IF(O146="Error",0,ROUND(ROUND(H146,0)*(VLOOKUP(J146,Rates!$J$5:$K$10,2,FALSE)),2))</f>
        <v>1640</v>
      </c>
      <c r="M146" s="112">
        <f t="shared" si="10"/>
        <v>480</v>
      </c>
      <c r="N146" s="113">
        <f t="shared" si="9"/>
        <v>2120</v>
      </c>
      <c r="O146" s="102" t="str">
        <f>IF(OR(COUNTIF(Rates!$J$13:$J$17,B146)=0,COUNTIF(Overview!$B$30:$B$84,C146)=0,D146="",E146="",F146="",COUNTIF(Rates!$Y$4:$Z$4,G146)=0,ISNUMBER(H146)=FALSE,I146="",COUNTIF(Rates!$J$5:$J$10,J146)=0,ISNUMBER(K146)=FALSE,IF(OR(IF(AND(G146="Staff",K146&gt;365),1,0)=1,IF(AND(G146="Student",K146&gt;60),1,0)=1),1,0)=1,IF(ISNUMBER(H146)=TRUE,H146=INT(H146*1)/1=FALSE),IF(ISNUMBER(K146)=TRUE,K146=INT(K146*1)/1=FALSE)),"Error","")</f>
        <v/>
      </c>
    </row>
    <row r="147" spans="2:15" s="103" customFormat="1" x14ac:dyDescent="0.25">
      <c r="B147" s="60" t="s">
        <v>369</v>
      </c>
      <c r="C147" s="94" t="s">
        <v>346</v>
      </c>
      <c r="D147" s="104" t="str">
        <f>IFERROR(IF(VLOOKUP(C147,Overview!$B$30:$E$84,2,FALSE)=0,"",VLOOKUP(C147,Overview!$B$30:$E$84,2,FALSE)),"")</f>
        <v>Bishkek Business Club</v>
      </c>
      <c r="E147" s="104" t="str">
        <f>IFERROR(IF(OR(VLOOKUP(C147,Overview!$B$30:$E$84,4,FALSE)="Country not found",VLOOKUP(C147,Overview!$B$30:$E$84,3,FALSE)=0),"",VLOOKUP(C147,Overview!$B$30:$E$84,3,FALSE)),"")</f>
        <v>Kyrgyzstan</v>
      </c>
      <c r="F147" s="108" t="s">
        <v>584</v>
      </c>
      <c r="G147" s="109" t="s">
        <v>520</v>
      </c>
      <c r="H147" s="110">
        <v>1</v>
      </c>
      <c r="I147" s="108" t="s">
        <v>576</v>
      </c>
      <c r="J147" s="108" t="s">
        <v>343</v>
      </c>
      <c r="K147" s="110">
        <v>2</v>
      </c>
      <c r="L147" s="111">
        <f>IF(O147="Error",0,ROUND(ROUND(H147,0)*(VLOOKUP(J147,Rates!$J$5:$K$10,2,FALSE)),2))</f>
        <v>820</v>
      </c>
      <c r="M147" s="112">
        <f t="shared" si="10"/>
        <v>240</v>
      </c>
      <c r="N147" s="113">
        <f t="shared" si="9"/>
        <v>1060</v>
      </c>
      <c r="O147" s="102" t="str">
        <f>IF(OR(COUNTIF(Rates!$J$13:$J$17,B147)=0,COUNTIF(Overview!$B$30:$B$84,C147)=0,D147="",E147="",F147="",COUNTIF(Rates!$Y$4:$Z$4,G147)=0,ISNUMBER(H147)=FALSE,I147="",COUNTIF(Rates!$J$5:$J$10,J147)=0,ISNUMBER(K147)=FALSE,IF(OR(IF(AND(G147="Staff",K147&gt;365),1,0)=1,IF(AND(G147="Student",K147&gt;60),1,0)=1),1,0)=1,IF(ISNUMBER(H147)=TRUE,H147=INT(H147*1)/1=FALSE),IF(ISNUMBER(K147)=TRUE,K147=INT(K147*1)/1=FALSE)),"Error","")</f>
        <v/>
      </c>
    </row>
    <row r="148" spans="2:15" s="103" customFormat="1" x14ac:dyDescent="0.25">
      <c r="B148" s="60" t="s">
        <v>369</v>
      </c>
      <c r="C148" s="94" t="s">
        <v>27</v>
      </c>
      <c r="D148" s="104" t="str">
        <f>IFERROR(IF(VLOOKUP(C148,Overview!$B$30:$E$84,2,FALSE)=0,"",VLOOKUP(C148,Overview!$B$30:$E$84,2,FALSE)),"")</f>
        <v>Ministry of Education of Kyrgyzstan</v>
      </c>
      <c r="E148" s="104" t="str">
        <f>IFERROR(IF(OR(VLOOKUP(C148,Overview!$B$30:$E$84,4,FALSE)="Country not found",VLOOKUP(C148,Overview!$B$30:$E$84,3,FALSE)=0),"",VLOOKUP(C148,Overview!$B$30:$E$84,3,FALSE)),"")</f>
        <v>Kyrgyzstan</v>
      </c>
      <c r="F148" s="108" t="s">
        <v>584</v>
      </c>
      <c r="G148" s="109" t="s">
        <v>520</v>
      </c>
      <c r="H148" s="110">
        <v>1</v>
      </c>
      <c r="I148" s="108" t="s">
        <v>576</v>
      </c>
      <c r="J148" s="108" t="s">
        <v>343</v>
      </c>
      <c r="K148" s="110">
        <v>2</v>
      </c>
      <c r="L148" s="111">
        <f>IF(O148="Error",0,ROUND(ROUND(H148,0)*(VLOOKUP(J148,Rates!$J$5:$K$10,2,FALSE)),2))</f>
        <v>820</v>
      </c>
      <c r="M148" s="112">
        <f t="shared" si="10"/>
        <v>240</v>
      </c>
      <c r="N148" s="113">
        <f t="shared" si="9"/>
        <v>1060</v>
      </c>
      <c r="O148" s="102" t="str">
        <f>IF(OR(COUNTIF(Rates!$J$13:$J$17,B148)=0,COUNTIF(Overview!$B$30:$B$84,C148)=0,D148="",E148="",F148="",COUNTIF(Rates!$Y$4:$Z$4,G148)=0,ISNUMBER(H148)=FALSE,I148="",COUNTIF(Rates!$J$5:$J$10,J148)=0,ISNUMBER(K148)=FALSE,IF(OR(IF(AND(G148="Staff",K148&gt;365),1,0)=1,IF(AND(G148="Student",K148&gt;60),1,0)=1),1,0)=1,IF(ISNUMBER(H148)=TRUE,H148=INT(H148*1)/1=FALSE),IF(ISNUMBER(K148)=TRUE,K148=INT(K148*1)/1=FALSE)),"Error","")</f>
        <v/>
      </c>
    </row>
    <row r="149" spans="2:15" s="103" customFormat="1" x14ac:dyDescent="0.25">
      <c r="B149" s="60" t="s">
        <v>369</v>
      </c>
      <c r="C149" s="94" t="s">
        <v>28</v>
      </c>
      <c r="D149" s="104" t="str">
        <f>IFERROR(IF(VLOOKUP(C149,Overview!$B$30:$E$84,2,FALSE)=0,"",VLOOKUP(C149,Overview!$B$30:$E$84,2,FALSE)),"")</f>
        <v>Khujand State University</v>
      </c>
      <c r="E149" s="104" t="str">
        <f>IFERROR(IF(OR(VLOOKUP(C149,Overview!$B$30:$E$84,4,FALSE)="Country not found",VLOOKUP(C149,Overview!$B$30:$E$84,3,FALSE)=0),"",VLOOKUP(C149,Overview!$B$30:$E$84,3,FALSE)),"")</f>
        <v>Tajikistan</v>
      </c>
      <c r="F149" s="108" t="s">
        <v>582</v>
      </c>
      <c r="G149" s="109" t="s">
        <v>520</v>
      </c>
      <c r="H149" s="110">
        <v>2</v>
      </c>
      <c r="I149" s="108" t="s">
        <v>576</v>
      </c>
      <c r="J149" s="108" t="s">
        <v>343</v>
      </c>
      <c r="K149" s="110">
        <v>2</v>
      </c>
      <c r="L149" s="111">
        <f>IF(O149="Error",0,ROUND(ROUND(H149,0)*(VLOOKUP(J149,Rates!$J$5:$K$10,2,FALSE)),2))</f>
        <v>1640</v>
      </c>
      <c r="M149" s="112">
        <f t="shared" si="10"/>
        <v>480</v>
      </c>
      <c r="N149" s="113">
        <f t="shared" si="9"/>
        <v>2120</v>
      </c>
      <c r="O149" s="102" t="str">
        <f>IF(OR(COUNTIF(Rates!$J$13:$J$17,B149)=0,COUNTIF(Overview!$B$30:$B$84,C149)=0,D149="",E149="",F149="",COUNTIF(Rates!$Y$4:$Z$4,G149)=0,ISNUMBER(H149)=FALSE,I149="",COUNTIF(Rates!$J$5:$J$10,J149)=0,ISNUMBER(K149)=FALSE,IF(OR(IF(AND(G149="Staff",K149&gt;365),1,0)=1,IF(AND(G149="Student",K149&gt;60),1,0)=1),1,0)=1,IF(ISNUMBER(H149)=TRUE,H149=INT(H149*1)/1=FALSE),IF(ISNUMBER(K149)=TRUE,K149=INT(K149*1)/1=FALSE)),"Error","")</f>
        <v/>
      </c>
    </row>
    <row r="150" spans="2:15" s="103" customFormat="1" x14ac:dyDescent="0.25">
      <c r="B150" s="60" t="s">
        <v>369</v>
      </c>
      <c r="C150" s="94" t="s">
        <v>29</v>
      </c>
      <c r="D150" s="104" t="str">
        <f>IFERROR(IF(VLOOKUP(C150,Overview!$B$30:$E$84,2,FALSE)=0,"",VLOOKUP(C150,Overview!$B$30:$E$84,2,FALSE)),"")</f>
        <v>Khorog State University</v>
      </c>
      <c r="E150" s="104" t="str">
        <f>IFERROR(IF(OR(VLOOKUP(C150,Overview!$B$30:$E$84,4,FALSE)="Country not found",VLOOKUP(C150,Overview!$B$30:$E$84,3,FALSE)=0),"",VLOOKUP(C150,Overview!$B$30:$E$84,3,FALSE)),"")</f>
        <v>Tajikistan</v>
      </c>
      <c r="F150" s="108" t="s">
        <v>581</v>
      </c>
      <c r="G150" s="109" t="s">
        <v>520</v>
      </c>
      <c r="H150" s="110">
        <v>2</v>
      </c>
      <c r="I150" s="108" t="s">
        <v>576</v>
      </c>
      <c r="J150" s="108" t="s">
        <v>343</v>
      </c>
      <c r="K150" s="110">
        <v>2</v>
      </c>
      <c r="L150" s="111">
        <f>IF(O150="Error",0,ROUND(ROUND(H150,0)*(VLOOKUP(J150,Rates!$J$5:$K$10,2,FALSE)),2))</f>
        <v>1640</v>
      </c>
      <c r="M150" s="112">
        <f t="shared" si="10"/>
        <v>480</v>
      </c>
      <c r="N150" s="113">
        <f t="shared" si="9"/>
        <v>2120</v>
      </c>
      <c r="O150" s="102" t="str">
        <f>IF(OR(COUNTIF(Rates!$J$13:$J$17,B150)=0,COUNTIF(Overview!$B$30:$B$84,C150)=0,D150="",E150="",F150="",COUNTIF(Rates!$Y$4:$Z$4,G150)=0,ISNUMBER(H150)=FALSE,I150="",COUNTIF(Rates!$J$5:$J$10,J150)=0,ISNUMBER(K150)=FALSE,IF(OR(IF(AND(G150="Staff",K150&gt;365),1,0)=1,IF(AND(G150="Student",K150&gt;60),1,0)=1),1,0)=1,IF(ISNUMBER(H150)=TRUE,H150=INT(H150*1)/1=FALSE),IF(ISNUMBER(K150)=TRUE,K150=INT(K150*1)/1=FALSE)),"Error","")</f>
        <v/>
      </c>
    </row>
    <row r="151" spans="2:15" s="103" customFormat="1" x14ac:dyDescent="0.25">
      <c r="B151" s="60" t="s">
        <v>369</v>
      </c>
      <c r="C151" s="94" t="s">
        <v>30</v>
      </c>
      <c r="D151" s="104" t="str">
        <f>IFERROR(IF(VLOOKUP(C151,Overview!$B$30:$E$84,2,FALSE)=0,"",VLOOKUP(C151,Overview!$B$30:$E$84,2,FALSE)),"")</f>
        <v>Tajik Pedagogical University</v>
      </c>
      <c r="E151" s="104" t="str">
        <f>IFERROR(IF(OR(VLOOKUP(C151,Overview!$B$30:$E$84,4,FALSE)="Country not found",VLOOKUP(C151,Overview!$B$30:$E$84,3,FALSE)=0),"",VLOOKUP(C151,Overview!$B$30:$E$84,3,FALSE)),"")</f>
        <v>Tajikistan</v>
      </c>
      <c r="F151" s="108" t="s">
        <v>585</v>
      </c>
      <c r="G151" s="109" t="s">
        <v>520</v>
      </c>
      <c r="H151" s="110">
        <v>2</v>
      </c>
      <c r="I151" s="108" t="s">
        <v>576</v>
      </c>
      <c r="J151" s="108" t="s">
        <v>343</v>
      </c>
      <c r="K151" s="110">
        <v>2</v>
      </c>
      <c r="L151" s="111">
        <f>IF(O151="Error",0,ROUND(ROUND(H151,0)*(VLOOKUP(J151,Rates!$J$5:$K$10,2,FALSE)),2))</f>
        <v>1640</v>
      </c>
      <c r="M151" s="112">
        <f t="shared" si="10"/>
        <v>480</v>
      </c>
      <c r="N151" s="113">
        <f t="shared" si="9"/>
        <v>2120</v>
      </c>
      <c r="O151" s="102" t="str">
        <f>IF(OR(COUNTIF(Rates!$J$13:$J$17,B151)=0,COUNTIF(Overview!$B$30:$B$84,C151)=0,D151="",E151="",F151="",COUNTIF(Rates!$Y$4:$Z$4,G151)=0,ISNUMBER(H151)=FALSE,I151="",COUNTIF(Rates!$J$5:$J$10,J151)=0,ISNUMBER(K151)=FALSE,IF(OR(IF(AND(G151="Staff",K151&gt;365),1,0)=1,IF(AND(G151="Student",K151&gt;60),1,0)=1),1,0)=1,IF(ISNUMBER(H151)=TRUE,H151=INT(H151*1)/1=FALSE),IF(ISNUMBER(K151)=TRUE,K151=INT(K151*1)/1=FALSE)),"Error","")</f>
        <v/>
      </c>
    </row>
    <row r="152" spans="2:15" s="103" customFormat="1" x14ac:dyDescent="0.25">
      <c r="B152" s="60" t="s">
        <v>369</v>
      </c>
      <c r="C152" s="94" t="s">
        <v>31</v>
      </c>
      <c r="D152" s="104" t="str">
        <f>IFERROR(IF(VLOOKUP(C152,Overview!$B$30:$E$84,2,FALSE)=0,"",VLOOKUP(C152,Overview!$B$30:$E$84,2,FALSE)),"")</f>
        <v>Center of development and support of VET education</v>
      </c>
      <c r="E152" s="104" t="str">
        <f>IFERROR(IF(OR(VLOOKUP(C152,Overview!$B$30:$E$84,4,FALSE)="Country not found",VLOOKUP(C152,Overview!$B$30:$E$84,3,FALSE)=0),"",VLOOKUP(C152,Overview!$B$30:$E$84,3,FALSE)),"")</f>
        <v>Tajikistan</v>
      </c>
      <c r="F152" s="108" t="s">
        <v>582</v>
      </c>
      <c r="G152" s="109" t="s">
        <v>520</v>
      </c>
      <c r="H152" s="110">
        <v>1</v>
      </c>
      <c r="I152" s="108" t="s">
        <v>576</v>
      </c>
      <c r="J152" s="108" t="s">
        <v>343</v>
      </c>
      <c r="K152" s="110">
        <v>2</v>
      </c>
      <c r="L152" s="111">
        <f>IF(O152="Error",0,ROUND(ROUND(H152,0)*(VLOOKUP(J152,Rates!$J$5:$K$10,2,FALSE)),2))</f>
        <v>820</v>
      </c>
      <c r="M152" s="112">
        <f t="shared" si="10"/>
        <v>240</v>
      </c>
      <c r="N152" s="113">
        <f t="shared" si="9"/>
        <v>1060</v>
      </c>
      <c r="O152" s="102" t="str">
        <f>IF(OR(COUNTIF(Rates!$J$13:$J$17,B152)=0,COUNTIF(Overview!$B$30:$B$84,C152)=0,D152="",E152="",F152="",COUNTIF(Rates!$Y$4:$Z$4,G152)=0,ISNUMBER(H152)=FALSE,I152="",COUNTIF(Rates!$J$5:$J$10,J152)=0,ISNUMBER(K152)=FALSE,IF(OR(IF(AND(G152="Staff",K152&gt;365),1,0)=1,IF(AND(G152="Student",K152&gt;60),1,0)=1),1,0)=1,IF(ISNUMBER(H152)=TRUE,H152=INT(H152*1)/1=FALSE),IF(ISNUMBER(K152)=TRUE,K152=INT(K152*1)/1=FALSE)),"Error","")</f>
        <v/>
      </c>
    </row>
    <row r="153" spans="2:15" s="103" customFormat="1" x14ac:dyDescent="0.25">
      <c r="B153" s="60" t="s">
        <v>369</v>
      </c>
      <c r="C153" s="94" t="s">
        <v>32</v>
      </c>
      <c r="D153" s="104" t="str">
        <f>IFERROR(IF(VLOOKUP(C153,Overview!$B$30:$E$84,2,FALSE)=0,"",VLOOKUP(C153,Overview!$B$30:$E$84,2,FALSE)),"")</f>
        <v>Ministry of Education of Tajikistan</v>
      </c>
      <c r="E153" s="104" t="str">
        <f>IFERROR(IF(OR(VLOOKUP(C153,Overview!$B$30:$E$84,4,FALSE)="Country not found",VLOOKUP(C153,Overview!$B$30:$E$84,3,FALSE)=0),"",VLOOKUP(C153,Overview!$B$30:$E$84,3,FALSE)),"")</f>
        <v>Tajikistan</v>
      </c>
      <c r="F153" s="108" t="s">
        <v>585</v>
      </c>
      <c r="G153" s="109" t="s">
        <v>520</v>
      </c>
      <c r="H153" s="110">
        <v>1</v>
      </c>
      <c r="I153" s="108" t="s">
        <v>576</v>
      </c>
      <c r="J153" s="108" t="s">
        <v>343</v>
      </c>
      <c r="K153" s="110">
        <v>2</v>
      </c>
      <c r="L153" s="111">
        <f>IF(O153="Error",0,ROUND(ROUND(H153,0)*(VLOOKUP(J153,Rates!$J$5:$K$10,2,FALSE)),2))</f>
        <v>820</v>
      </c>
      <c r="M153" s="112">
        <f t="shared" si="10"/>
        <v>240</v>
      </c>
      <c r="N153" s="113">
        <f t="shared" si="9"/>
        <v>1060</v>
      </c>
      <c r="O153" s="102" t="str">
        <f>IF(OR(COUNTIF(Rates!$J$13:$J$17,B153)=0,COUNTIF(Overview!$B$30:$B$84,C153)=0,D153="",E153="",F153="",COUNTIF(Rates!$Y$4:$Z$4,G153)=0,ISNUMBER(H153)=FALSE,I153="",COUNTIF(Rates!$J$5:$J$10,J153)=0,ISNUMBER(K153)=FALSE,IF(OR(IF(AND(G153="Staff",K153&gt;365),1,0)=1,IF(AND(G153="Student",K153&gt;60),1,0)=1),1,0)=1,IF(ISNUMBER(H153)=TRUE,H153=INT(H153*1)/1=FALSE),IF(ISNUMBER(K153)=TRUE,K153=INT(K153*1)/1=FALSE)),"Error","")</f>
        <v/>
      </c>
    </row>
    <row r="154" spans="2:15" s="103" customFormat="1" x14ac:dyDescent="0.25">
      <c r="B154" s="60" t="s">
        <v>369</v>
      </c>
      <c r="C154" s="94" t="s">
        <v>33</v>
      </c>
      <c r="D154" s="104" t="str">
        <f>IFERROR(IF(VLOOKUP(C154,Overview!$B$30:$E$84,2,FALSE)=0,"",VLOOKUP(C154,Overview!$B$30:$E$84,2,FALSE)),"")</f>
        <v>KIMEP University, JSC</v>
      </c>
      <c r="E154" s="104" t="str">
        <f>IFERROR(IF(OR(VLOOKUP(C154,Overview!$B$30:$E$84,4,FALSE)="Country not found",VLOOKUP(C154,Overview!$B$30:$E$84,3,FALSE)=0),"",VLOOKUP(C154,Overview!$B$30:$E$84,3,FALSE)),"")</f>
        <v>Kazakhstan</v>
      </c>
      <c r="F154" s="108" t="s">
        <v>580</v>
      </c>
      <c r="G154" s="109" t="s">
        <v>520</v>
      </c>
      <c r="H154" s="110">
        <v>2</v>
      </c>
      <c r="I154" s="108" t="s">
        <v>576</v>
      </c>
      <c r="J154" s="108" t="s">
        <v>343</v>
      </c>
      <c r="K154" s="110">
        <v>2</v>
      </c>
      <c r="L154" s="111">
        <f>IF(O154="Error",0,ROUND(ROUND(H154,0)*(VLOOKUP(J154,Rates!$J$5:$K$10,2,FALSE)),2))</f>
        <v>1640</v>
      </c>
      <c r="M154" s="112">
        <f t="shared" si="10"/>
        <v>480</v>
      </c>
      <c r="N154" s="113">
        <f t="shared" si="9"/>
        <v>2120</v>
      </c>
      <c r="O154" s="102" t="str">
        <f>IF(OR(COUNTIF(Rates!$J$13:$J$17,B154)=0,COUNTIF(Overview!$B$30:$B$84,C154)=0,D154="",E154="",F154="",COUNTIF(Rates!$Y$4:$Z$4,G154)=0,ISNUMBER(H154)=FALSE,I154="",COUNTIF(Rates!$J$5:$J$10,J154)=0,ISNUMBER(K154)=FALSE,IF(OR(IF(AND(G154="Staff",K154&gt;365),1,0)=1,IF(AND(G154="Student",K154&gt;60),1,0)=1),1,0)=1,IF(ISNUMBER(H154)=TRUE,H154=INT(H154*1)/1=FALSE),IF(ISNUMBER(K154)=TRUE,K154=INT(K154*1)/1=FALSE)),"Error","")</f>
        <v/>
      </c>
    </row>
    <row r="155" spans="2:15" s="103" customFormat="1" x14ac:dyDescent="0.25">
      <c r="B155" s="60" t="s">
        <v>369</v>
      </c>
      <c r="C155" s="94" t="s">
        <v>126</v>
      </c>
      <c r="D155" s="104" t="str">
        <f>IFERROR(IF(VLOOKUP(C155,Overview!$B$30:$E$84,2,FALSE)=0,"",VLOOKUP(C155,Overview!$B$30:$E$84,2,FALSE)),"")</f>
        <v>Al-Farabi Kazakhstan National University</v>
      </c>
      <c r="E155" s="104" t="str">
        <f>IFERROR(IF(OR(VLOOKUP(C155,Overview!$B$30:$E$84,4,FALSE)="Country not found",VLOOKUP(C155,Overview!$B$30:$E$84,3,FALSE)=0),"",VLOOKUP(C155,Overview!$B$30:$E$84,3,FALSE)),"")</f>
        <v>Kazakhstan</v>
      </c>
      <c r="F155" s="108" t="s">
        <v>580</v>
      </c>
      <c r="G155" s="109" t="s">
        <v>520</v>
      </c>
      <c r="H155" s="110">
        <v>2</v>
      </c>
      <c r="I155" s="108" t="s">
        <v>576</v>
      </c>
      <c r="J155" s="108" t="s">
        <v>343</v>
      </c>
      <c r="K155" s="110">
        <v>2</v>
      </c>
      <c r="L155" s="111">
        <f>IF(O155="Error",0,ROUND(ROUND(H155,0)*(VLOOKUP(J155,Rates!$J$5:$K$10,2,FALSE)),2))</f>
        <v>1640</v>
      </c>
      <c r="M155" s="112">
        <f t="shared" si="10"/>
        <v>480</v>
      </c>
      <c r="N155" s="113">
        <f t="shared" si="9"/>
        <v>2120</v>
      </c>
      <c r="O155" s="102" t="str">
        <f>IF(OR(COUNTIF(Rates!$J$13:$J$17,B155)=0,COUNTIF(Overview!$B$30:$B$84,C155)=0,D155="",E155="",F155="",COUNTIF(Rates!$Y$4:$Z$4,G155)=0,ISNUMBER(H155)=FALSE,I155="",COUNTIF(Rates!$J$5:$J$10,J155)=0,ISNUMBER(K155)=FALSE,IF(OR(IF(AND(G155="Staff",K155&gt;365),1,0)=1,IF(AND(G155="Student",K155&gt;60),1,0)=1),1,0)=1,IF(ISNUMBER(H155)=TRUE,H155=INT(H155*1)/1=FALSE),IF(ISNUMBER(K155)=TRUE,K155=INT(K155*1)/1=FALSE)),"Error","")</f>
        <v/>
      </c>
    </row>
    <row r="156" spans="2:15" s="103" customFormat="1" x14ac:dyDescent="0.25">
      <c r="B156" s="60" t="s">
        <v>369</v>
      </c>
      <c r="C156" s="94" t="s">
        <v>127</v>
      </c>
      <c r="D156" s="104" t="str">
        <f>IFERROR(IF(VLOOKUP(C156,Overview!$B$30:$E$84,2,FALSE)=0,"",VLOOKUP(C156,Overview!$B$30:$E$84,2,FALSE)),"")</f>
        <v>Kazakhstan National Technical University</v>
      </c>
      <c r="E156" s="104" t="str">
        <f>IFERROR(IF(OR(VLOOKUP(C156,Overview!$B$30:$E$84,4,FALSE)="Country not found",VLOOKUP(C156,Overview!$B$30:$E$84,3,FALSE)=0),"",VLOOKUP(C156,Overview!$B$30:$E$84,3,FALSE)),"")</f>
        <v>Kazakhstan</v>
      </c>
      <c r="F156" s="108" t="s">
        <v>580</v>
      </c>
      <c r="G156" s="109" t="s">
        <v>520</v>
      </c>
      <c r="H156" s="110">
        <v>2</v>
      </c>
      <c r="I156" s="108" t="s">
        <v>576</v>
      </c>
      <c r="J156" s="108" t="s">
        <v>343</v>
      </c>
      <c r="K156" s="110">
        <v>2</v>
      </c>
      <c r="L156" s="111">
        <f>IF(O156="Error",0,ROUND(ROUND(H156,0)*(VLOOKUP(J156,Rates!$J$5:$K$10,2,FALSE)),2))</f>
        <v>1640</v>
      </c>
      <c r="M156" s="112">
        <f t="shared" si="10"/>
        <v>480</v>
      </c>
      <c r="N156" s="113">
        <f t="shared" si="9"/>
        <v>2120</v>
      </c>
      <c r="O156" s="102" t="str">
        <f>IF(OR(COUNTIF(Rates!$J$13:$J$17,B156)=0,COUNTIF(Overview!$B$30:$B$84,C156)=0,D156="",E156="",F156="",COUNTIF(Rates!$Y$4:$Z$4,G156)=0,ISNUMBER(H156)=FALSE,I156="",COUNTIF(Rates!$J$5:$J$10,J156)=0,ISNUMBER(K156)=FALSE,IF(OR(IF(AND(G156="Staff",K156&gt;365),1,0)=1,IF(AND(G156="Student",K156&gt;60),1,0)=1),1,0)=1,IF(ISNUMBER(H156)=TRUE,H156=INT(H156*1)/1=FALSE),IF(ISNUMBER(K156)=TRUE,K156=INT(K156*1)/1=FALSE)),"Error","")</f>
        <v/>
      </c>
    </row>
    <row r="157" spans="2:15" s="103" customFormat="1" x14ac:dyDescent="0.25">
      <c r="B157" s="60" t="s">
        <v>369</v>
      </c>
      <c r="C157" s="94" t="s">
        <v>128</v>
      </c>
      <c r="D157" s="104" t="str">
        <f>IFERROR(IF(VLOOKUP(C157,Overview!$B$30:$E$84,2,FALSE)=0,"",VLOOKUP(C157,Overview!$B$30:$E$84,2,FALSE)),"")</f>
        <v xml:space="preserve">Zhezkazgan Baikonurov University </v>
      </c>
      <c r="E157" s="104" t="str">
        <f>IFERROR(IF(OR(VLOOKUP(C157,Overview!$B$30:$E$84,4,FALSE)="Country not found",VLOOKUP(C157,Overview!$B$30:$E$84,3,FALSE)=0),"",VLOOKUP(C157,Overview!$B$30:$E$84,3,FALSE)),"")</f>
        <v>Kazakhstan</v>
      </c>
      <c r="F157" s="108" t="s">
        <v>600</v>
      </c>
      <c r="G157" s="109" t="s">
        <v>520</v>
      </c>
      <c r="H157" s="110">
        <v>2</v>
      </c>
      <c r="I157" s="108" t="s">
        <v>576</v>
      </c>
      <c r="J157" s="108" t="s">
        <v>343</v>
      </c>
      <c r="K157" s="110">
        <v>2</v>
      </c>
      <c r="L157" s="111">
        <f>IF(O157="Error",0,ROUND(ROUND(H157,0)*(VLOOKUP(J157,Rates!$J$5:$K$10,2,FALSE)),2))</f>
        <v>1640</v>
      </c>
      <c r="M157" s="112">
        <f t="shared" si="10"/>
        <v>480</v>
      </c>
      <c r="N157" s="113">
        <f t="shared" si="9"/>
        <v>2120</v>
      </c>
      <c r="O157" s="102" t="str">
        <f>IF(OR(COUNTIF(Rates!$J$13:$J$17,B157)=0,COUNTIF(Overview!$B$30:$B$84,C157)=0,D157="",E157="",F157="",COUNTIF(Rates!$Y$4:$Z$4,G157)=0,ISNUMBER(H157)=FALSE,I157="",COUNTIF(Rates!$J$5:$J$10,J157)=0,ISNUMBER(K157)=FALSE,IF(OR(IF(AND(G157="Staff",K157&gt;365),1,0)=1,IF(AND(G157="Student",K157&gt;60),1,0)=1),1,0)=1,IF(ISNUMBER(H157)=TRUE,H157=INT(H157*1)/1=FALSE),IF(ISNUMBER(K157)=TRUE,K157=INT(K157*1)/1=FALSE)),"Error","")</f>
        <v/>
      </c>
    </row>
    <row r="158" spans="2:15" s="103" customFormat="1" x14ac:dyDescent="0.25">
      <c r="B158" s="60" t="s">
        <v>369</v>
      </c>
      <c r="C158" s="94" t="s">
        <v>129</v>
      </c>
      <c r="D158" s="104" t="str">
        <f>IFERROR(IF(VLOOKUP(C158,Overview!$B$30:$E$84,2,FALSE)=0,"",VLOOKUP(C158,Overview!$B$30:$E$84,2,FALSE)),"")</f>
        <v xml:space="preserve">Altynsarin National Academy of Education </v>
      </c>
      <c r="E158" s="104" t="str">
        <f>IFERROR(IF(OR(VLOOKUP(C158,Overview!$B$30:$E$84,4,FALSE)="Country not found",VLOOKUP(C158,Overview!$B$30:$E$84,3,FALSE)=0),"",VLOOKUP(C158,Overview!$B$30:$E$84,3,FALSE)),"")</f>
        <v>Kazakhstan</v>
      </c>
      <c r="F158" s="108" t="s">
        <v>586</v>
      </c>
      <c r="G158" s="109" t="s">
        <v>520</v>
      </c>
      <c r="H158" s="110">
        <v>1</v>
      </c>
      <c r="I158" s="108" t="s">
        <v>576</v>
      </c>
      <c r="J158" s="108" t="s">
        <v>343</v>
      </c>
      <c r="K158" s="110">
        <v>2</v>
      </c>
      <c r="L158" s="111">
        <f>IF(O158="Error",0,ROUND(ROUND(H158,0)*(VLOOKUP(J158,Rates!$J$5:$K$10,2,FALSE)),2))</f>
        <v>820</v>
      </c>
      <c r="M158" s="112">
        <f t="shared" si="10"/>
        <v>240</v>
      </c>
      <c r="N158" s="113">
        <f t="shared" ref="N158:N230" si="11">L158+M158</f>
        <v>1060</v>
      </c>
      <c r="O158" s="102" t="str">
        <f>IF(OR(COUNTIF(Rates!$J$13:$J$17,B158)=0,COUNTIF(Overview!$B$30:$B$84,C158)=0,D158="",E158="",F158="",COUNTIF(Rates!$Y$4:$Z$4,G158)=0,ISNUMBER(H158)=FALSE,I158="",COUNTIF(Rates!$J$5:$J$10,J158)=0,ISNUMBER(K158)=FALSE,IF(OR(IF(AND(G158="Staff",K158&gt;365),1,0)=1,IF(AND(G158="Student",K158&gt;60),1,0)=1),1,0)=1,IF(ISNUMBER(H158)=TRUE,H158=INT(H158*1)/1=FALSE),IF(ISNUMBER(K158)=TRUE,K158=INT(K158*1)/1=FALSE)),"Error","")</f>
        <v/>
      </c>
    </row>
    <row r="159" spans="2:15" s="103" customFormat="1" x14ac:dyDescent="0.25">
      <c r="B159" s="60" t="s">
        <v>369</v>
      </c>
      <c r="C159" s="94" t="s">
        <v>130</v>
      </c>
      <c r="D159" s="104" t="str">
        <f>IFERROR(IF(VLOOKUP(C159,Overview!$B$30:$E$84,2,FALSE)=0,"",VLOOKUP(C159,Overview!$B$30:$E$84,2,FALSE)),"")</f>
        <v>Ministry of Education and Science of Kazakhstan</v>
      </c>
      <c r="E159" s="104" t="str">
        <f>IFERROR(IF(OR(VLOOKUP(C159,Overview!$B$30:$E$84,4,FALSE)="Country not found",VLOOKUP(C159,Overview!$B$30:$E$84,3,FALSE)=0),"",VLOOKUP(C159,Overview!$B$30:$E$84,3,FALSE)),"")</f>
        <v>Kazakhstan</v>
      </c>
      <c r="F159" s="108" t="s">
        <v>586</v>
      </c>
      <c r="G159" s="109" t="s">
        <v>520</v>
      </c>
      <c r="H159" s="110">
        <v>1</v>
      </c>
      <c r="I159" s="108" t="s">
        <v>576</v>
      </c>
      <c r="J159" s="108" t="s">
        <v>343</v>
      </c>
      <c r="K159" s="110">
        <v>2</v>
      </c>
      <c r="L159" s="111">
        <f>IF(O159="Error",0,ROUND(ROUND(H159,0)*(VLOOKUP(J159,Rates!$J$5:$K$10,2,FALSE)),2))</f>
        <v>820</v>
      </c>
      <c r="M159" s="112">
        <f t="shared" si="10"/>
        <v>240</v>
      </c>
      <c r="N159" s="113">
        <f t="shared" si="11"/>
        <v>1060</v>
      </c>
      <c r="O159" s="102" t="str">
        <f>IF(OR(COUNTIF(Rates!$J$13:$J$17,B159)=0,COUNTIF(Overview!$B$30:$B$84,C159)=0,D159="",E159="",F159="",COUNTIF(Rates!$Y$4:$Z$4,G159)=0,ISNUMBER(H159)=FALSE,I159="",COUNTIF(Rates!$J$5:$J$10,J159)=0,ISNUMBER(K159)=FALSE,IF(OR(IF(AND(G159="Staff",K159&gt;365),1,0)=1,IF(AND(G159="Student",K159&gt;60),1,0)=1),1,0)=1,IF(ISNUMBER(H159)=TRUE,H159=INT(H159*1)/1=FALSE),IF(ISNUMBER(K159)=TRUE,K159=INT(K159*1)/1=FALSE)),"Error","")</f>
        <v/>
      </c>
    </row>
    <row r="160" spans="2:15" s="103" customFormat="1" x14ac:dyDescent="0.25">
      <c r="B160" s="60" t="s">
        <v>368</v>
      </c>
      <c r="C160" s="94" t="s">
        <v>15</v>
      </c>
      <c r="D160" s="104" t="str">
        <f>IFERROR(IF(VLOOKUP(C160,Overview!$B$30:$E$84,2,FALSE)=0,"",VLOOKUP(C160,Overview!$B$30:$E$84,2,FALSE)),"")</f>
        <v>University of Patras</v>
      </c>
      <c r="E160" s="104" t="str">
        <f>IFERROR(IF(OR(VLOOKUP(C160,Overview!$B$30:$E$84,4,FALSE)="Country not found",VLOOKUP(C160,Overview!$B$30:$E$84,3,FALSE)=0),"",VLOOKUP(C160,Overview!$B$30:$E$84,3,FALSE)),"")</f>
        <v>Greece</v>
      </c>
      <c r="F160" s="108" t="s">
        <v>576</v>
      </c>
      <c r="G160" s="109" t="s">
        <v>520</v>
      </c>
      <c r="H160" s="110">
        <v>2</v>
      </c>
      <c r="I160" s="108" t="s">
        <v>587</v>
      </c>
      <c r="J160" s="108" t="s">
        <v>339</v>
      </c>
      <c r="K160" s="110">
        <v>3</v>
      </c>
      <c r="L160" s="111">
        <f>IF(O160="Error",0,ROUND(ROUND(H160,0)*(VLOOKUP(J160,Rates!$J$5:$K$10,2,FALSE)),2))</f>
        <v>720</v>
      </c>
      <c r="M160" s="112">
        <f t="shared" si="10"/>
        <v>720</v>
      </c>
      <c r="N160" s="113">
        <f t="shared" si="11"/>
        <v>1440</v>
      </c>
      <c r="O160" s="102" t="str">
        <f>IF(OR(COUNTIF(Rates!$J$13:$J$17,B160)=0,COUNTIF(Overview!$B$30:$B$84,C160)=0,D160="",E160="",F160="",COUNTIF(Rates!$Y$4:$Z$4,G160)=0,ISNUMBER(H160)=FALSE,I160="",COUNTIF(Rates!$J$5:$J$10,J160)=0,ISNUMBER(K160)=FALSE,IF(OR(IF(AND(G160="Staff",K160&gt;365),1,0)=1,IF(AND(G160="Student",K160&gt;60),1,0)=1),1,0)=1,IF(ISNUMBER(H160)=TRUE,H160=INT(H160*1)/1=FALSE),IF(ISNUMBER(K160)=TRUE,K160=INT(K160*1)/1=FALSE)),"Error","")</f>
        <v/>
      </c>
    </row>
    <row r="161" spans="2:15" s="103" customFormat="1" x14ac:dyDescent="0.25">
      <c r="B161" s="60" t="s">
        <v>368</v>
      </c>
      <c r="C161" s="94" t="s">
        <v>16</v>
      </c>
      <c r="D161" s="104" t="str">
        <f>IFERROR(IF(VLOOKUP(C161,Overview!$B$30:$E$84,2,FALSE)=0,"",VLOOKUP(C161,Overview!$B$30:$E$84,2,FALSE)),"")</f>
        <v>Bath Spa University</v>
      </c>
      <c r="E161" s="104" t="str">
        <f>IFERROR(IF(OR(VLOOKUP(C161,Overview!$B$30:$E$84,4,FALSE)="Country not found",VLOOKUP(C161,Overview!$B$30:$E$84,3,FALSE)=0),"",VLOOKUP(C161,Overview!$B$30:$E$84,3,FALSE)),"")</f>
        <v>United Kingdom</v>
      </c>
      <c r="F161" s="108" t="s">
        <v>597</v>
      </c>
      <c r="G161" s="109" t="s">
        <v>520</v>
      </c>
      <c r="H161" s="110">
        <v>2</v>
      </c>
      <c r="I161" s="108" t="s">
        <v>587</v>
      </c>
      <c r="J161" s="108" t="s">
        <v>338</v>
      </c>
      <c r="K161" s="110">
        <v>3</v>
      </c>
      <c r="L161" s="111">
        <f>IF(O161="Error",0,ROUND(ROUND(H161,0)*(VLOOKUP(J161,Rates!$J$5:$K$10,2,FALSE)),2))</f>
        <v>550</v>
      </c>
      <c r="M161" s="112">
        <f t="shared" si="10"/>
        <v>720</v>
      </c>
      <c r="N161" s="113">
        <f t="shared" si="11"/>
        <v>1270</v>
      </c>
      <c r="O161" s="102" t="str">
        <f>IF(OR(COUNTIF(Rates!$J$13:$J$17,B161)=0,COUNTIF(Overview!$B$30:$B$84,C161)=0,D161="",E161="",F161="",COUNTIF(Rates!$Y$4:$Z$4,G161)=0,ISNUMBER(H161)=FALSE,I161="",COUNTIF(Rates!$J$5:$J$10,J161)=0,ISNUMBER(K161)=FALSE,IF(OR(IF(AND(G161="Staff",K161&gt;365),1,0)=1,IF(AND(G161="Student",K161&gt;60),1,0)=1),1,0)=1,IF(ISNUMBER(H161)=TRUE,H161=INT(H161*1)/1=FALSE),IF(ISNUMBER(K161)=TRUE,K161=INT(K161*1)/1=FALSE)),"Error","")</f>
        <v/>
      </c>
    </row>
    <row r="162" spans="2:15" s="103" customFormat="1" x14ac:dyDescent="0.25">
      <c r="B162" s="60" t="s">
        <v>368</v>
      </c>
      <c r="C162" s="94" t="s">
        <v>17</v>
      </c>
      <c r="D162" s="104" t="str">
        <f>IFERROR(IF(VLOOKUP(C162,Overview!$B$30:$E$84,2,FALSE)=0,"",VLOOKUP(C162,Overview!$B$30:$E$84,2,FALSE)),"")</f>
        <v>Wroclaw Technical University</v>
      </c>
      <c r="E162" s="104" t="str">
        <f>IFERROR(IF(OR(VLOOKUP(C162,Overview!$B$30:$E$84,4,FALSE)="Country not found",VLOOKUP(C162,Overview!$B$30:$E$84,3,FALSE)=0),"",VLOOKUP(C162,Overview!$B$30:$E$84,3,FALSE)),"")</f>
        <v>Poland</v>
      </c>
      <c r="F162" s="108" t="s">
        <v>577</v>
      </c>
      <c r="G162" s="109" t="s">
        <v>520</v>
      </c>
      <c r="H162" s="110">
        <v>2</v>
      </c>
      <c r="I162" s="108" t="s">
        <v>587</v>
      </c>
      <c r="J162" s="108" t="s">
        <v>338</v>
      </c>
      <c r="K162" s="110">
        <v>3</v>
      </c>
      <c r="L162" s="111">
        <f>IF(O162="Error",0,ROUND(ROUND(H162,0)*(VLOOKUP(J162,Rates!$J$5:$K$10,2,FALSE)),2))</f>
        <v>550</v>
      </c>
      <c r="M162" s="112">
        <f t="shared" si="10"/>
        <v>720</v>
      </c>
      <c r="N162" s="113">
        <f t="shared" si="11"/>
        <v>1270</v>
      </c>
      <c r="O162" s="102" t="str">
        <f>IF(OR(COUNTIF(Rates!$J$13:$J$17,B162)=0,COUNTIF(Overview!$B$30:$B$84,C162)=0,D162="",E162="",F162="",COUNTIF(Rates!$Y$4:$Z$4,G162)=0,ISNUMBER(H162)=FALSE,I162="",COUNTIF(Rates!$J$5:$J$10,J162)=0,ISNUMBER(K162)=FALSE,IF(OR(IF(AND(G162="Staff",K162&gt;365),1,0)=1,IF(AND(G162="Student",K162&gt;60),1,0)=1),1,0)=1,IF(ISNUMBER(H162)=TRUE,H162=INT(H162*1)/1=FALSE),IF(ISNUMBER(K162)=TRUE,K162=INT(K162*1)/1=FALSE)),"Error","")</f>
        <v/>
      </c>
    </row>
    <row r="163" spans="2:15" s="103" customFormat="1" x14ac:dyDescent="0.25">
      <c r="B163" s="60" t="s">
        <v>368</v>
      </c>
      <c r="C163" s="94" t="s">
        <v>18</v>
      </c>
      <c r="D163" s="104" t="str">
        <f>IFERROR(IF(VLOOKUP(C163,Overview!$B$30:$E$84,2,FALSE)=0,"",VLOOKUP(C163,Overview!$B$30:$E$84,2,FALSE)),"")</f>
        <v>Koblenz-Landau University</v>
      </c>
      <c r="E163" s="104" t="str">
        <f>IFERROR(IF(OR(VLOOKUP(C163,Overview!$B$30:$E$84,4,FALSE)="Country not found",VLOOKUP(C163,Overview!$B$30:$E$84,3,FALSE)=0),"",VLOOKUP(C163,Overview!$B$30:$E$84,3,FALSE)),"")</f>
        <v>Germany</v>
      </c>
      <c r="F163" s="108" t="s">
        <v>578</v>
      </c>
      <c r="G163" s="109" t="s">
        <v>520</v>
      </c>
      <c r="H163" s="110">
        <v>2</v>
      </c>
      <c r="I163" s="108" t="s">
        <v>587</v>
      </c>
      <c r="J163" s="108" t="s">
        <v>337</v>
      </c>
      <c r="K163" s="110">
        <v>3</v>
      </c>
      <c r="L163" s="111">
        <f>IF(O163="Error",0,ROUND(ROUND(H163,0)*(VLOOKUP(J163,Rates!$J$5:$K$10,2,FALSE)),2))</f>
        <v>360</v>
      </c>
      <c r="M163" s="112">
        <f t="shared" si="10"/>
        <v>720</v>
      </c>
      <c r="N163" s="113">
        <f t="shared" si="11"/>
        <v>1080</v>
      </c>
      <c r="O163" s="102" t="str">
        <f>IF(OR(COUNTIF(Rates!$J$13:$J$17,B163)=0,COUNTIF(Overview!$B$30:$B$84,C163)=0,D163="",E163="",F163="",COUNTIF(Rates!$Y$4:$Z$4,G163)=0,ISNUMBER(H163)=FALSE,I163="",COUNTIF(Rates!$J$5:$J$10,J163)=0,ISNUMBER(K163)=FALSE,IF(OR(IF(AND(G163="Staff",K163&gt;365),1,0)=1,IF(AND(G163="Student",K163&gt;60),1,0)=1),1,0)=1,IF(ISNUMBER(H163)=TRUE,H163=INT(H163*1)/1=FALSE),IF(ISNUMBER(K163)=TRUE,K163=INT(K163*1)/1=FALSE)),"Error","")</f>
        <v/>
      </c>
    </row>
    <row r="164" spans="2:15" s="103" customFormat="1" x14ac:dyDescent="0.25">
      <c r="B164" s="60" t="s">
        <v>368</v>
      </c>
      <c r="C164" s="94" t="s">
        <v>20</v>
      </c>
      <c r="D164" s="104" t="str">
        <f>IFERROR(IF(VLOOKUP(C164,Overview!$B$30:$E$84,2,FALSE)=0,"",VLOOKUP(C164,Overview!$B$30:$E$84,2,FALSE)),"")</f>
        <v>Tashkent State Technical University</v>
      </c>
      <c r="E164" s="104" t="str">
        <f>IFERROR(IF(OR(VLOOKUP(C164,Overview!$B$30:$E$84,4,FALSE)="Country not found",VLOOKUP(C164,Overview!$B$30:$E$84,3,FALSE)=0),"",VLOOKUP(C164,Overview!$B$30:$E$84,3,FALSE)),"")</f>
        <v>Uzbekistan</v>
      </c>
      <c r="F164" s="108" t="s">
        <v>579</v>
      </c>
      <c r="G164" s="109" t="s">
        <v>520</v>
      </c>
      <c r="H164" s="110">
        <v>2</v>
      </c>
      <c r="I164" s="108" t="s">
        <v>587</v>
      </c>
      <c r="J164" s="108" t="s">
        <v>343</v>
      </c>
      <c r="K164" s="110">
        <v>3</v>
      </c>
      <c r="L164" s="111">
        <f>IF(O164="Error",0,ROUND(ROUND(H164,0)*(VLOOKUP(J164,Rates!$J$5:$K$10,2,FALSE)),2))</f>
        <v>1640</v>
      </c>
      <c r="M164" s="112">
        <f t="shared" si="10"/>
        <v>720</v>
      </c>
      <c r="N164" s="113">
        <f t="shared" si="11"/>
        <v>2360</v>
      </c>
      <c r="O164" s="102" t="str">
        <f>IF(OR(COUNTIF(Rates!$J$13:$J$17,B164)=0,COUNTIF(Overview!$B$30:$B$84,C164)=0,D164="",E164="",F164="",COUNTIF(Rates!$Y$4:$Z$4,G164)=0,ISNUMBER(H164)=FALSE,I164="",COUNTIF(Rates!$J$5:$J$10,J164)=0,ISNUMBER(K164)=FALSE,IF(OR(IF(AND(G164="Staff",K164&gt;365),1,0)=1,IF(AND(G164="Student",K164&gt;60),1,0)=1),1,0)=1,IF(ISNUMBER(H164)=TRUE,H164=INT(H164*1)/1=FALSE),IF(ISNUMBER(K164)=TRUE,K164=INT(K164*1)/1=FALSE)),"Error","")</f>
        <v/>
      </c>
    </row>
    <row r="165" spans="2:15" s="103" customFormat="1" x14ac:dyDescent="0.25">
      <c r="B165" s="60" t="s">
        <v>368</v>
      </c>
      <c r="C165" s="94" t="s">
        <v>21</v>
      </c>
      <c r="D165" s="104" t="str">
        <f>IFERROR(IF(VLOOKUP(C165,Overview!$B$30:$E$84,2,FALSE)=0,"",VLOOKUP(C165,Overview!$B$30:$E$84,2,FALSE)),"")</f>
        <v>National University of Uzbekistan</v>
      </c>
      <c r="E165" s="104" t="str">
        <f>IFERROR(IF(OR(VLOOKUP(C165,Overview!$B$30:$E$84,4,FALSE)="Country not found",VLOOKUP(C165,Overview!$B$30:$E$84,3,FALSE)=0),"",VLOOKUP(C165,Overview!$B$30:$E$84,3,FALSE)),"")</f>
        <v>Uzbekistan</v>
      </c>
      <c r="F165" s="108" t="s">
        <v>579</v>
      </c>
      <c r="G165" s="109" t="s">
        <v>520</v>
      </c>
      <c r="H165" s="110">
        <v>2</v>
      </c>
      <c r="I165" s="108" t="s">
        <v>587</v>
      </c>
      <c r="J165" s="108" t="s">
        <v>343</v>
      </c>
      <c r="K165" s="110">
        <v>3</v>
      </c>
      <c r="L165" s="111">
        <f>IF(O165="Error",0,ROUND(ROUND(H165,0)*(VLOOKUP(J165,Rates!$J$5:$K$10,2,FALSE)),2))</f>
        <v>1640</v>
      </c>
      <c r="M165" s="112">
        <f t="shared" si="10"/>
        <v>720</v>
      </c>
      <c r="N165" s="113">
        <f t="shared" si="11"/>
        <v>2360</v>
      </c>
      <c r="O165" s="102" t="str">
        <f>IF(OR(COUNTIF(Rates!$J$13:$J$17,B165)=0,COUNTIF(Overview!$B$30:$B$84,C165)=0,D165="",E165="",F165="",COUNTIF(Rates!$Y$4:$Z$4,G165)=0,ISNUMBER(H165)=FALSE,I165="",COUNTIF(Rates!$J$5:$J$10,J165)=0,ISNUMBER(K165)=FALSE,IF(OR(IF(AND(G165="Staff",K165&gt;365),1,0)=1,IF(AND(G165="Student",K165&gt;60),1,0)=1),1,0)=1,IF(ISNUMBER(H165)=TRUE,H165=INT(H165*1)/1=FALSE),IF(ISNUMBER(K165)=TRUE,K165=INT(K165*1)/1=FALSE)),"Error","")</f>
        <v/>
      </c>
    </row>
    <row r="166" spans="2:15" s="103" customFormat="1" x14ac:dyDescent="0.25">
      <c r="B166" s="60" t="s">
        <v>368</v>
      </c>
      <c r="C166" s="94" t="s">
        <v>22</v>
      </c>
      <c r="D166" s="104" t="str">
        <f>IFERROR(IF(VLOOKUP(C166,Overview!$B$30:$E$84,2,FALSE)=0,"",VLOOKUP(C166,Overview!$B$30:$E$84,2,FALSE)),"")</f>
        <v>Enterprise “Business Drilling”</v>
      </c>
      <c r="E166" s="104" t="str">
        <f>IFERROR(IF(OR(VLOOKUP(C166,Overview!$B$30:$E$84,4,FALSE)="Country not found",VLOOKUP(C166,Overview!$B$30:$E$84,3,FALSE)=0),"",VLOOKUP(C166,Overview!$B$30:$E$84,3,FALSE)),"")</f>
        <v>Uzbekistan</v>
      </c>
      <c r="F166" s="108" t="s">
        <v>579</v>
      </c>
      <c r="G166" s="109" t="s">
        <v>520</v>
      </c>
      <c r="H166" s="110">
        <v>2</v>
      </c>
      <c r="I166" s="108" t="s">
        <v>587</v>
      </c>
      <c r="J166" s="108" t="s">
        <v>343</v>
      </c>
      <c r="K166" s="110">
        <v>3</v>
      </c>
      <c r="L166" s="111">
        <f>IF(O166="Error",0,ROUND(ROUND(H166,0)*(VLOOKUP(J166,Rates!$J$5:$K$10,2,FALSE)),2))</f>
        <v>1640</v>
      </c>
      <c r="M166" s="112">
        <f t="shared" si="10"/>
        <v>720</v>
      </c>
      <c r="N166" s="113">
        <f t="shared" si="11"/>
        <v>2360</v>
      </c>
      <c r="O166" s="102" t="str">
        <f>IF(OR(COUNTIF(Rates!$J$13:$J$17,B166)=0,COUNTIF(Overview!$B$30:$B$84,C166)=0,D166="",E166="",F166="",COUNTIF(Rates!$Y$4:$Z$4,G166)=0,ISNUMBER(H166)=FALSE,I166="",COUNTIF(Rates!$J$5:$J$10,J166)=0,ISNUMBER(K166)=FALSE,IF(OR(IF(AND(G166="Staff",K166&gt;365),1,0)=1,IF(AND(G166="Student",K166&gt;60),1,0)=1),1,0)=1,IF(ISNUMBER(H166)=TRUE,H166=INT(H166*1)/1=FALSE),IF(ISNUMBER(K166)=TRUE,K166=INT(K166*1)/1=FALSE)),"Error","")</f>
        <v/>
      </c>
    </row>
    <row r="167" spans="2:15" s="103" customFormat="1" x14ac:dyDescent="0.25">
      <c r="B167" s="60" t="s">
        <v>368</v>
      </c>
      <c r="C167" s="94" t="s">
        <v>23</v>
      </c>
      <c r="D167" s="104" t="str">
        <f>IFERROR(IF(VLOOKUP(C167,Overview!$B$30:$E$84,2,FALSE)=0,"",VLOOKUP(C167,Overview!$B$30:$E$84,2,FALSE)),"")</f>
        <v>Ministry of Education of Uzbekistan</v>
      </c>
      <c r="E167" s="104" t="str">
        <f>IFERROR(IF(OR(VLOOKUP(C167,Overview!$B$30:$E$84,4,FALSE)="Country not found",VLOOKUP(C167,Overview!$B$30:$E$84,3,FALSE)=0),"",VLOOKUP(C167,Overview!$B$30:$E$84,3,FALSE)),"")</f>
        <v>Uzbekistan</v>
      </c>
      <c r="F167" s="108" t="s">
        <v>579</v>
      </c>
      <c r="G167" s="109" t="s">
        <v>520</v>
      </c>
      <c r="H167" s="110">
        <v>2</v>
      </c>
      <c r="I167" s="108" t="s">
        <v>587</v>
      </c>
      <c r="J167" s="108" t="s">
        <v>343</v>
      </c>
      <c r="K167" s="110">
        <v>3</v>
      </c>
      <c r="L167" s="111">
        <f>IF(O167="Error",0,ROUND(ROUND(H167,0)*(VLOOKUP(J167,Rates!$J$5:$K$10,2,FALSE)),2))</f>
        <v>1640</v>
      </c>
      <c r="M167" s="112">
        <f t="shared" si="10"/>
        <v>720</v>
      </c>
      <c r="N167" s="113">
        <f t="shared" si="11"/>
        <v>2360</v>
      </c>
      <c r="O167" s="102" t="str">
        <f>IF(OR(COUNTIF(Rates!$J$13:$J$17,B167)=0,COUNTIF(Overview!$B$30:$B$84,C167)=0,D167="",E167="",F167="",COUNTIF(Rates!$Y$4:$Z$4,G167)=0,ISNUMBER(H167)=FALSE,I167="",COUNTIF(Rates!$J$5:$J$10,J167)=0,ISNUMBER(K167)=FALSE,IF(OR(IF(AND(G167="Staff",K167&gt;365),1,0)=1,IF(AND(G167="Student",K167&gt;60),1,0)=1),1,0)=1,IF(ISNUMBER(H167)=TRUE,H167=INT(H167*1)/1=FALSE),IF(ISNUMBER(K167)=TRUE,K167=INT(K167*1)/1=FALSE)),"Error","")</f>
        <v/>
      </c>
    </row>
    <row r="168" spans="2:15" s="103" customFormat="1" x14ac:dyDescent="0.25">
      <c r="B168" s="60" t="s">
        <v>368</v>
      </c>
      <c r="C168" s="94" t="s">
        <v>24</v>
      </c>
      <c r="D168" s="104" t="str">
        <f>IFERROR(IF(VLOOKUP(C168,Overview!$B$30:$E$84,2,FALSE)=0,"",VLOOKUP(C168,Overview!$B$30:$E$84,2,FALSE)),"")</f>
        <v>Kyrgyz State Technical University</v>
      </c>
      <c r="E168" s="104" t="str">
        <f>IFERROR(IF(OR(VLOOKUP(C168,Overview!$B$30:$E$84,4,FALSE)="Country not found",VLOOKUP(C168,Overview!$B$30:$E$84,3,FALSE)=0),"",VLOOKUP(C168,Overview!$B$30:$E$84,3,FALSE)),"")</f>
        <v>Kyrgyzstan</v>
      </c>
      <c r="F168" s="108" t="s">
        <v>584</v>
      </c>
      <c r="G168" s="109" t="s">
        <v>520</v>
      </c>
      <c r="H168" s="110">
        <v>2</v>
      </c>
      <c r="I168" s="108" t="s">
        <v>587</v>
      </c>
      <c r="J168" s="108" t="s">
        <v>343</v>
      </c>
      <c r="K168" s="110">
        <v>3</v>
      </c>
      <c r="L168" s="111">
        <f>IF(O168="Error",0,ROUND(ROUND(H168,0)*(VLOOKUP(J168,Rates!$J$5:$K$10,2,FALSE)),2))</f>
        <v>1640</v>
      </c>
      <c r="M168" s="112">
        <f t="shared" si="10"/>
        <v>720</v>
      </c>
      <c r="N168" s="113">
        <f t="shared" si="11"/>
        <v>2360</v>
      </c>
      <c r="O168" s="102" t="str">
        <f>IF(OR(COUNTIF(Rates!$J$13:$J$17,B168)=0,COUNTIF(Overview!$B$30:$B$84,C168)=0,D168="",E168="",F168="",COUNTIF(Rates!$Y$4:$Z$4,G168)=0,ISNUMBER(H168)=FALSE,I168="",COUNTIF(Rates!$J$5:$J$10,J168)=0,ISNUMBER(K168)=FALSE,IF(OR(IF(AND(G168="Staff",K168&gt;365),1,0)=1,IF(AND(G168="Student",K168&gt;60),1,0)=1),1,0)=1,IF(ISNUMBER(H168)=TRUE,H168=INT(H168*1)/1=FALSE),IF(ISNUMBER(K168)=TRUE,K168=INT(K168*1)/1=FALSE)),"Error","")</f>
        <v/>
      </c>
    </row>
    <row r="169" spans="2:15" s="103" customFormat="1" x14ac:dyDescent="0.25">
      <c r="B169" s="60" t="s">
        <v>368</v>
      </c>
      <c r="C169" s="94" t="s">
        <v>25</v>
      </c>
      <c r="D169" s="104" t="str">
        <f>IFERROR(IF(VLOOKUP(C169,Overview!$B$30:$E$84,2,FALSE)=0,"",VLOOKUP(C169,Overview!$B$30:$E$84,2,FALSE)),"")</f>
        <v>Bishkek Academy of Finance and Economics</v>
      </c>
      <c r="E169" s="104" t="str">
        <f>IFERROR(IF(OR(VLOOKUP(C169,Overview!$B$30:$E$84,4,FALSE)="Country not found",VLOOKUP(C169,Overview!$B$30:$E$84,3,FALSE)=0),"",VLOOKUP(C169,Overview!$B$30:$E$84,3,FALSE)),"")</f>
        <v>Kyrgyzstan</v>
      </c>
      <c r="F169" s="108" t="s">
        <v>584</v>
      </c>
      <c r="G169" s="109" t="s">
        <v>520</v>
      </c>
      <c r="H169" s="110">
        <v>2</v>
      </c>
      <c r="I169" s="108" t="s">
        <v>587</v>
      </c>
      <c r="J169" s="108" t="s">
        <v>343</v>
      </c>
      <c r="K169" s="110">
        <v>3</v>
      </c>
      <c r="L169" s="111">
        <f>IF(O169="Error",0,ROUND(ROUND(H169,0)*(VLOOKUP(J169,Rates!$J$5:$K$10,2,FALSE)),2))</f>
        <v>1640</v>
      </c>
      <c r="M169" s="112">
        <f t="shared" si="10"/>
        <v>720</v>
      </c>
      <c r="N169" s="113">
        <f t="shared" si="11"/>
        <v>2360</v>
      </c>
      <c r="O169" s="102" t="str">
        <f>IF(OR(COUNTIF(Rates!$J$13:$J$17,B169)=0,COUNTIF(Overview!$B$30:$B$84,C169)=0,D169="",E169="",F169="",COUNTIF(Rates!$Y$4:$Z$4,G169)=0,ISNUMBER(H169)=FALSE,I169="",COUNTIF(Rates!$J$5:$J$10,J169)=0,ISNUMBER(K169)=FALSE,IF(OR(IF(AND(G169="Staff",K169&gt;365),1,0)=1,IF(AND(G169="Student",K169&gt;60),1,0)=1),1,0)=1,IF(ISNUMBER(H169)=TRUE,H169=INT(H169*1)/1=FALSE),IF(ISNUMBER(K169)=TRUE,K169=INT(K169*1)/1=FALSE)),"Error","")</f>
        <v/>
      </c>
    </row>
    <row r="170" spans="2:15" s="103" customFormat="1" x14ac:dyDescent="0.25">
      <c r="B170" s="60" t="s">
        <v>368</v>
      </c>
      <c r="C170" s="94" t="s">
        <v>26</v>
      </c>
      <c r="D170" s="104" t="str">
        <f>IFERROR(IF(VLOOKUP(C170,Overview!$B$30:$E$84,2,FALSE)=0,"",VLOOKUP(C170,Overview!$B$30:$E$84,2,FALSE)),"")</f>
        <v>Osh Technological University</v>
      </c>
      <c r="E170" s="104" t="str">
        <f>IFERROR(IF(OR(VLOOKUP(C170,Overview!$B$30:$E$84,4,FALSE)="Country not found",VLOOKUP(C170,Overview!$B$30:$E$84,3,FALSE)=0),"",VLOOKUP(C170,Overview!$B$30:$E$84,3,FALSE)),"")</f>
        <v>Kyrgyzstan</v>
      </c>
      <c r="F170" s="108" t="s">
        <v>583</v>
      </c>
      <c r="G170" s="109" t="s">
        <v>520</v>
      </c>
      <c r="H170" s="110">
        <v>2</v>
      </c>
      <c r="I170" s="108" t="s">
        <v>587</v>
      </c>
      <c r="J170" s="108" t="s">
        <v>343</v>
      </c>
      <c r="K170" s="110">
        <v>3</v>
      </c>
      <c r="L170" s="111">
        <f>IF(O170="Error",0,ROUND(ROUND(H170,0)*(VLOOKUP(J170,Rates!$J$5:$K$10,2,FALSE)),2))</f>
        <v>1640</v>
      </c>
      <c r="M170" s="112">
        <f t="shared" si="10"/>
        <v>720</v>
      </c>
      <c r="N170" s="113">
        <f t="shared" si="11"/>
        <v>2360</v>
      </c>
      <c r="O170" s="102" t="str">
        <f>IF(OR(COUNTIF(Rates!$J$13:$J$17,B170)=0,COUNTIF(Overview!$B$30:$B$84,C170)=0,D170="",E170="",F170="",COUNTIF(Rates!$Y$4:$Z$4,G170)=0,ISNUMBER(H170)=FALSE,I170="",COUNTIF(Rates!$J$5:$J$10,J170)=0,ISNUMBER(K170)=FALSE,IF(OR(IF(AND(G170="Staff",K170&gt;365),1,0)=1,IF(AND(G170="Student",K170&gt;60),1,0)=1),1,0)=1,IF(ISNUMBER(H170)=TRUE,H170=INT(H170*1)/1=FALSE),IF(ISNUMBER(K170)=TRUE,K170=INT(K170*1)/1=FALSE)),"Error","")</f>
        <v/>
      </c>
    </row>
    <row r="171" spans="2:15" s="103" customFormat="1" x14ac:dyDescent="0.25">
      <c r="B171" s="60" t="s">
        <v>368</v>
      </c>
      <c r="C171" s="94" t="s">
        <v>346</v>
      </c>
      <c r="D171" s="104" t="str">
        <f>IFERROR(IF(VLOOKUP(C171,Overview!$B$30:$E$84,2,FALSE)=0,"",VLOOKUP(C171,Overview!$B$30:$E$84,2,FALSE)),"")</f>
        <v>Bishkek Business Club</v>
      </c>
      <c r="E171" s="104" t="str">
        <f>IFERROR(IF(OR(VLOOKUP(C171,Overview!$B$30:$E$84,4,FALSE)="Country not found",VLOOKUP(C171,Overview!$B$30:$E$84,3,FALSE)=0),"",VLOOKUP(C171,Overview!$B$30:$E$84,3,FALSE)),"")</f>
        <v>Kyrgyzstan</v>
      </c>
      <c r="F171" s="108" t="s">
        <v>584</v>
      </c>
      <c r="G171" s="109" t="s">
        <v>520</v>
      </c>
      <c r="H171" s="110">
        <v>2</v>
      </c>
      <c r="I171" s="108" t="s">
        <v>587</v>
      </c>
      <c r="J171" s="108" t="s">
        <v>343</v>
      </c>
      <c r="K171" s="110">
        <v>3</v>
      </c>
      <c r="L171" s="111">
        <f>IF(O171="Error",0,ROUND(ROUND(H171,0)*(VLOOKUP(J171,Rates!$J$5:$K$10,2,FALSE)),2))</f>
        <v>1640</v>
      </c>
      <c r="M171" s="112">
        <f t="shared" si="10"/>
        <v>720</v>
      </c>
      <c r="N171" s="113">
        <f t="shared" si="11"/>
        <v>2360</v>
      </c>
      <c r="O171" s="102" t="str">
        <f>IF(OR(COUNTIF(Rates!$J$13:$J$17,B171)=0,COUNTIF(Overview!$B$30:$B$84,C171)=0,D171="",E171="",F171="",COUNTIF(Rates!$Y$4:$Z$4,G171)=0,ISNUMBER(H171)=FALSE,I171="",COUNTIF(Rates!$J$5:$J$10,J171)=0,ISNUMBER(K171)=FALSE,IF(OR(IF(AND(G171="Staff",K171&gt;365),1,0)=1,IF(AND(G171="Student",K171&gt;60),1,0)=1),1,0)=1,IF(ISNUMBER(H171)=TRUE,H171=INT(H171*1)/1=FALSE),IF(ISNUMBER(K171)=TRUE,K171=INT(K171*1)/1=FALSE)),"Error","")</f>
        <v/>
      </c>
    </row>
    <row r="172" spans="2:15" s="103" customFormat="1" x14ac:dyDescent="0.25">
      <c r="B172" s="60" t="s">
        <v>368</v>
      </c>
      <c r="C172" s="94" t="s">
        <v>27</v>
      </c>
      <c r="D172" s="104" t="str">
        <f>IFERROR(IF(VLOOKUP(C172,Overview!$B$30:$E$84,2,FALSE)=0,"",VLOOKUP(C172,Overview!$B$30:$E$84,2,FALSE)),"")</f>
        <v>Ministry of Education of Kyrgyzstan</v>
      </c>
      <c r="E172" s="104" t="str">
        <f>IFERROR(IF(OR(VLOOKUP(C172,Overview!$B$30:$E$84,4,FALSE)="Country not found",VLOOKUP(C172,Overview!$B$30:$E$84,3,FALSE)=0),"",VLOOKUP(C172,Overview!$B$30:$E$84,3,FALSE)),"")</f>
        <v>Kyrgyzstan</v>
      </c>
      <c r="F172" s="108" t="s">
        <v>584</v>
      </c>
      <c r="G172" s="109" t="s">
        <v>520</v>
      </c>
      <c r="H172" s="110">
        <v>2</v>
      </c>
      <c r="I172" s="108" t="s">
        <v>587</v>
      </c>
      <c r="J172" s="108" t="s">
        <v>343</v>
      </c>
      <c r="K172" s="110">
        <v>3</v>
      </c>
      <c r="L172" s="111">
        <f>IF(O172="Error",0,ROUND(ROUND(H172,0)*(VLOOKUP(J172,Rates!$J$5:$K$10,2,FALSE)),2))</f>
        <v>1640</v>
      </c>
      <c r="M172" s="112">
        <f t="shared" si="10"/>
        <v>720</v>
      </c>
      <c r="N172" s="113">
        <f t="shared" si="11"/>
        <v>2360</v>
      </c>
      <c r="O172" s="102" t="str">
        <f>IF(OR(COUNTIF(Rates!$J$13:$J$17,B172)=0,COUNTIF(Overview!$B$30:$B$84,C172)=0,D172="",E172="",F172="",COUNTIF(Rates!$Y$4:$Z$4,G172)=0,ISNUMBER(H172)=FALSE,I172="",COUNTIF(Rates!$J$5:$J$10,J172)=0,ISNUMBER(K172)=FALSE,IF(OR(IF(AND(G172="Staff",K172&gt;365),1,0)=1,IF(AND(G172="Student",K172&gt;60),1,0)=1),1,0)=1,IF(ISNUMBER(H172)=TRUE,H172=INT(H172*1)/1=FALSE),IF(ISNUMBER(K172)=TRUE,K172=INT(K172*1)/1=FALSE)),"Error","")</f>
        <v/>
      </c>
    </row>
    <row r="173" spans="2:15" s="103" customFormat="1" x14ac:dyDescent="0.25">
      <c r="B173" s="60" t="s">
        <v>368</v>
      </c>
      <c r="C173" s="94" t="s">
        <v>28</v>
      </c>
      <c r="D173" s="104" t="str">
        <f>IFERROR(IF(VLOOKUP(C173,Overview!$B$30:$E$84,2,FALSE)=0,"",VLOOKUP(C173,Overview!$B$30:$E$84,2,FALSE)),"")</f>
        <v>Khujand State University</v>
      </c>
      <c r="E173" s="104" t="str">
        <f>IFERROR(IF(OR(VLOOKUP(C173,Overview!$B$30:$E$84,4,FALSE)="Country not found",VLOOKUP(C173,Overview!$B$30:$E$84,3,FALSE)=0),"",VLOOKUP(C173,Overview!$B$30:$E$84,3,FALSE)),"")</f>
        <v>Tajikistan</v>
      </c>
      <c r="F173" s="108" t="s">
        <v>582</v>
      </c>
      <c r="G173" s="109" t="s">
        <v>520</v>
      </c>
      <c r="H173" s="110">
        <v>2</v>
      </c>
      <c r="I173" s="108" t="s">
        <v>587</v>
      </c>
      <c r="J173" s="108" t="s">
        <v>343</v>
      </c>
      <c r="K173" s="110">
        <v>3</v>
      </c>
      <c r="L173" s="111">
        <f>IF(O173="Error",0,ROUND(ROUND(H173,0)*(VLOOKUP(J173,Rates!$J$5:$K$10,2,FALSE)),2))</f>
        <v>1640</v>
      </c>
      <c r="M173" s="112">
        <f t="shared" si="10"/>
        <v>720</v>
      </c>
      <c r="N173" s="113">
        <f t="shared" si="11"/>
        <v>2360</v>
      </c>
      <c r="O173" s="102" t="str">
        <f>IF(OR(COUNTIF(Rates!$J$13:$J$17,B173)=0,COUNTIF(Overview!$B$30:$B$84,C173)=0,D173="",E173="",F173="",COUNTIF(Rates!$Y$4:$Z$4,G173)=0,ISNUMBER(H173)=FALSE,I173="",COUNTIF(Rates!$J$5:$J$10,J173)=0,ISNUMBER(K173)=FALSE,IF(OR(IF(AND(G173="Staff",K173&gt;365),1,0)=1,IF(AND(G173="Student",K173&gt;60),1,0)=1),1,0)=1,IF(ISNUMBER(H173)=TRUE,H173=INT(H173*1)/1=FALSE),IF(ISNUMBER(K173)=TRUE,K173=INT(K173*1)/1=FALSE)),"Error","")</f>
        <v/>
      </c>
    </row>
    <row r="174" spans="2:15" s="103" customFormat="1" x14ac:dyDescent="0.25">
      <c r="B174" s="60" t="s">
        <v>368</v>
      </c>
      <c r="C174" s="94" t="s">
        <v>29</v>
      </c>
      <c r="D174" s="104" t="str">
        <f>IFERROR(IF(VLOOKUP(C174,Overview!$B$30:$E$84,2,FALSE)=0,"",VLOOKUP(C174,Overview!$B$30:$E$84,2,FALSE)),"")</f>
        <v>Khorog State University</v>
      </c>
      <c r="E174" s="104" t="str">
        <f>IFERROR(IF(OR(VLOOKUP(C174,Overview!$B$30:$E$84,4,FALSE)="Country not found",VLOOKUP(C174,Overview!$B$30:$E$84,3,FALSE)=0),"",VLOOKUP(C174,Overview!$B$30:$E$84,3,FALSE)),"")</f>
        <v>Tajikistan</v>
      </c>
      <c r="F174" s="108" t="s">
        <v>581</v>
      </c>
      <c r="G174" s="109" t="s">
        <v>520</v>
      </c>
      <c r="H174" s="110">
        <v>2</v>
      </c>
      <c r="I174" s="108" t="s">
        <v>587</v>
      </c>
      <c r="J174" s="108" t="s">
        <v>343</v>
      </c>
      <c r="K174" s="110">
        <v>3</v>
      </c>
      <c r="L174" s="111">
        <f>IF(O174="Error",0,ROUND(ROUND(H174,0)*(VLOOKUP(J174,Rates!$J$5:$K$10,2,FALSE)),2))</f>
        <v>1640</v>
      </c>
      <c r="M174" s="112">
        <f t="shared" si="10"/>
        <v>720</v>
      </c>
      <c r="N174" s="113">
        <f t="shared" si="11"/>
        <v>2360</v>
      </c>
      <c r="O174" s="102" t="str">
        <f>IF(OR(COUNTIF(Rates!$J$13:$J$17,B174)=0,COUNTIF(Overview!$B$30:$B$84,C174)=0,D174="",E174="",F174="",COUNTIF(Rates!$Y$4:$Z$4,G174)=0,ISNUMBER(H174)=FALSE,I174="",COUNTIF(Rates!$J$5:$J$10,J174)=0,ISNUMBER(K174)=FALSE,IF(OR(IF(AND(G174="Staff",K174&gt;365),1,0)=1,IF(AND(G174="Student",K174&gt;60),1,0)=1),1,0)=1,IF(ISNUMBER(H174)=TRUE,H174=INT(H174*1)/1=FALSE),IF(ISNUMBER(K174)=TRUE,K174=INT(K174*1)/1=FALSE)),"Error","")</f>
        <v/>
      </c>
    </row>
    <row r="175" spans="2:15" s="103" customFormat="1" x14ac:dyDescent="0.25">
      <c r="B175" s="60" t="s">
        <v>368</v>
      </c>
      <c r="C175" s="94" t="s">
        <v>30</v>
      </c>
      <c r="D175" s="104" t="str">
        <f>IFERROR(IF(VLOOKUP(C175,Overview!$B$30:$E$84,2,FALSE)=0,"",VLOOKUP(C175,Overview!$B$30:$E$84,2,FALSE)),"")</f>
        <v>Tajik Pedagogical University</v>
      </c>
      <c r="E175" s="104" t="str">
        <f>IFERROR(IF(OR(VLOOKUP(C175,Overview!$B$30:$E$84,4,FALSE)="Country not found",VLOOKUP(C175,Overview!$B$30:$E$84,3,FALSE)=0),"",VLOOKUP(C175,Overview!$B$30:$E$84,3,FALSE)),"")</f>
        <v>Tajikistan</v>
      </c>
      <c r="F175" s="108" t="s">
        <v>585</v>
      </c>
      <c r="G175" s="109" t="s">
        <v>520</v>
      </c>
      <c r="H175" s="110">
        <v>2</v>
      </c>
      <c r="I175" s="108" t="s">
        <v>587</v>
      </c>
      <c r="J175" s="108" t="s">
        <v>343</v>
      </c>
      <c r="K175" s="110">
        <v>3</v>
      </c>
      <c r="L175" s="111">
        <f>IF(O175="Error",0,ROUND(ROUND(H175,0)*(VLOOKUP(J175,Rates!$J$5:$K$10,2,FALSE)),2))</f>
        <v>1640</v>
      </c>
      <c r="M175" s="112">
        <f t="shared" si="10"/>
        <v>720</v>
      </c>
      <c r="N175" s="113">
        <f t="shared" si="11"/>
        <v>2360</v>
      </c>
      <c r="O175" s="102" t="str">
        <f>IF(OR(COUNTIF(Rates!$J$13:$J$17,B175)=0,COUNTIF(Overview!$B$30:$B$84,C175)=0,D175="",E175="",F175="",COUNTIF(Rates!$Y$4:$Z$4,G175)=0,ISNUMBER(H175)=FALSE,I175="",COUNTIF(Rates!$J$5:$J$10,J175)=0,ISNUMBER(K175)=FALSE,IF(OR(IF(AND(G175="Staff",K175&gt;365),1,0)=1,IF(AND(G175="Student",K175&gt;60),1,0)=1),1,0)=1,IF(ISNUMBER(H175)=TRUE,H175=INT(H175*1)/1=FALSE),IF(ISNUMBER(K175)=TRUE,K175=INT(K175*1)/1=FALSE)),"Error","")</f>
        <v/>
      </c>
    </row>
    <row r="176" spans="2:15" s="103" customFormat="1" x14ac:dyDescent="0.25">
      <c r="B176" s="60" t="s">
        <v>368</v>
      </c>
      <c r="C176" s="94" t="s">
        <v>31</v>
      </c>
      <c r="D176" s="104" t="str">
        <f>IFERROR(IF(VLOOKUP(C176,Overview!$B$30:$E$84,2,FALSE)=0,"",VLOOKUP(C176,Overview!$B$30:$E$84,2,FALSE)),"")</f>
        <v>Center of development and support of VET education</v>
      </c>
      <c r="E176" s="104" t="str">
        <f>IFERROR(IF(OR(VLOOKUP(C176,Overview!$B$30:$E$84,4,FALSE)="Country not found",VLOOKUP(C176,Overview!$B$30:$E$84,3,FALSE)=0),"",VLOOKUP(C176,Overview!$B$30:$E$84,3,FALSE)),"")</f>
        <v>Tajikistan</v>
      </c>
      <c r="F176" s="108" t="s">
        <v>582</v>
      </c>
      <c r="G176" s="109" t="s">
        <v>520</v>
      </c>
      <c r="H176" s="110">
        <v>2</v>
      </c>
      <c r="I176" s="108" t="s">
        <v>587</v>
      </c>
      <c r="J176" s="108" t="s">
        <v>343</v>
      </c>
      <c r="K176" s="110">
        <v>3</v>
      </c>
      <c r="L176" s="111">
        <f>IF(O176="Error",0,ROUND(ROUND(H176,0)*(VLOOKUP(J176,Rates!$J$5:$K$10,2,FALSE)),2))</f>
        <v>1640</v>
      </c>
      <c r="M176" s="112">
        <f t="shared" si="10"/>
        <v>720</v>
      </c>
      <c r="N176" s="113">
        <f t="shared" si="11"/>
        <v>2360</v>
      </c>
      <c r="O176" s="102" t="str">
        <f>IF(OR(COUNTIF(Rates!$J$13:$J$17,B176)=0,COUNTIF(Overview!$B$30:$B$84,C176)=0,D176="",E176="",F176="",COUNTIF(Rates!$Y$4:$Z$4,G176)=0,ISNUMBER(H176)=FALSE,I176="",COUNTIF(Rates!$J$5:$J$10,J176)=0,ISNUMBER(K176)=FALSE,IF(OR(IF(AND(G176="Staff",K176&gt;365),1,0)=1,IF(AND(G176="Student",K176&gt;60),1,0)=1),1,0)=1,IF(ISNUMBER(H176)=TRUE,H176=INT(H176*1)/1=FALSE),IF(ISNUMBER(K176)=TRUE,K176=INT(K176*1)/1=FALSE)),"Error","")</f>
        <v/>
      </c>
    </row>
    <row r="177" spans="2:15" s="103" customFormat="1" x14ac:dyDescent="0.25">
      <c r="B177" s="60" t="s">
        <v>368</v>
      </c>
      <c r="C177" s="94" t="s">
        <v>32</v>
      </c>
      <c r="D177" s="104" t="str">
        <f>IFERROR(IF(VLOOKUP(C177,Overview!$B$30:$E$84,2,FALSE)=0,"",VLOOKUP(C177,Overview!$B$30:$E$84,2,FALSE)),"")</f>
        <v>Ministry of Education of Tajikistan</v>
      </c>
      <c r="E177" s="104" t="str">
        <f>IFERROR(IF(OR(VLOOKUP(C177,Overview!$B$30:$E$84,4,FALSE)="Country not found",VLOOKUP(C177,Overview!$B$30:$E$84,3,FALSE)=0),"",VLOOKUP(C177,Overview!$B$30:$E$84,3,FALSE)),"")</f>
        <v>Tajikistan</v>
      </c>
      <c r="F177" s="108" t="s">
        <v>585</v>
      </c>
      <c r="G177" s="109" t="s">
        <v>520</v>
      </c>
      <c r="H177" s="110">
        <v>2</v>
      </c>
      <c r="I177" s="108" t="s">
        <v>587</v>
      </c>
      <c r="J177" s="108" t="s">
        <v>343</v>
      </c>
      <c r="K177" s="110">
        <v>3</v>
      </c>
      <c r="L177" s="111">
        <f>IF(O177="Error",0,ROUND(ROUND(H177,0)*(VLOOKUP(J177,Rates!$J$5:$K$10,2,FALSE)),2))</f>
        <v>1640</v>
      </c>
      <c r="M177" s="112">
        <f t="shared" si="10"/>
        <v>720</v>
      </c>
      <c r="N177" s="113">
        <f t="shared" si="11"/>
        <v>2360</v>
      </c>
      <c r="O177" s="102" t="str">
        <f>IF(OR(COUNTIF(Rates!$J$13:$J$17,B177)=0,COUNTIF(Overview!$B$30:$B$84,C177)=0,D177="",E177="",F177="",COUNTIF(Rates!$Y$4:$Z$4,G177)=0,ISNUMBER(H177)=FALSE,I177="",COUNTIF(Rates!$J$5:$J$10,J177)=0,ISNUMBER(K177)=FALSE,IF(OR(IF(AND(G177="Staff",K177&gt;365),1,0)=1,IF(AND(G177="Student",K177&gt;60),1,0)=1),1,0)=1,IF(ISNUMBER(H177)=TRUE,H177=INT(H177*1)/1=FALSE),IF(ISNUMBER(K177)=TRUE,K177=INT(K177*1)/1=FALSE)),"Error","")</f>
        <v/>
      </c>
    </row>
    <row r="178" spans="2:15" s="103" customFormat="1" x14ac:dyDescent="0.25">
      <c r="B178" s="60" t="s">
        <v>368</v>
      </c>
      <c r="C178" s="94" t="s">
        <v>33</v>
      </c>
      <c r="D178" s="104" t="str">
        <f>IFERROR(IF(VLOOKUP(C178,Overview!$B$30:$E$84,2,FALSE)=0,"",VLOOKUP(C178,Overview!$B$30:$E$84,2,FALSE)),"")</f>
        <v>KIMEP University, JSC</v>
      </c>
      <c r="E178" s="104" t="str">
        <f>IFERROR(IF(OR(VLOOKUP(C178,Overview!$B$30:$E$84,4,FALSE)="Country not found",VLOOKUP(C178,Overview!$B$30:$E$84,3,FALSE)=0),"",VLOOKUP(C178,Overview!$B$30:$E$84,3,FALSE)),"")</f>
        <v>Kazakhstan</v>
      </c>
      <c r="F178" s="108" t="s">
        <v>580</v>
      </c>
      <c r="G178" s="109" t="s">
        <v>520</v>
      </c>
      <c r="H178" s="110">
        <v>2</v>
      </c>
      <c r="I178" s="108" t="s">
        <v>587</v>
      </c>
      <c r="J178" s="108" t="s">
        <v>343</v>
      </c>
      <c r="K178" s="110">
        <v>3</v>
      </c>
      <c r="L178" s="111">
        <f>IF(O178="Error",0,ROUND(ROUND(H178,0)*(VLOOKUP(J178,Rates!$J$5:$K$10,2,FALSE)),2))</f>
        <v>1640</v>
      </c>
      <c r="M178" s="112">
        <f t="shared" si="10"/>
        <v>720</v>
      </c>
      <c r="N178" s="113">
        <f t="shared" si="11"/>
        <v>2360</v>
      </c>
      <c r="O178" s="102" t="str">
        <f>IF(OR(COUNTIF(Rates!$J$13:$J$17,B178)=0,COUNTIF(Overview!$B$30:$B$84,C178)=0,D178="",E178="",F178="",COUNTIF(Rates!$Y$4:$Z$4,G178)=0,ISNUMBER(H178)=FALSE,I178="",COUNTIF(Rates!$J$5:$J$10,J178)=0,ISNUMBER(K178)=FALSE,IF(OR(IF(AND(G178="Staff",K178&gt;365),1,0)=1,IF(AND(G178="Student",K178&gt;60),1,0)=1),1,0)=1,IF(ISNUMBER(H178)=TRUE,H178=INT(H178*1)/1=FALSE),IF(ISNUMBER(K178)=TRUE,K178=INT(K178*1)/1=FALSE)),"Error","")</f>
        <v/>
      </c>
    </row>
    <row r="179" spans="2:15" s="103" customFormat="1" x14ac:dyDescent="0.25">
      <c r="B179" s="60" t="s">
        <v>368</v>
      </c>
      <c r="C179" s="94" t="s">
        <v>126</v>
      </c>
      <c r="D179" s="104" t="str">
        <f>IFERROR(IF(VLOOKUP(C179,Overview!$B$30:$E$84,2,FALSE)=0,"",VLOOKUP(C179,Overview!$B$30:$E$84,2,FALSE)),"")</f>
        <v>Al-Farabi Kazakhstan National University</v>
      </c>
      <c r="E179" s="104" t="str">
        <f>IFERROR(IF(OR(VLOOKUP(C179,Overview!$B$30:$E$84,4,FALSE)="Country not found",VLOOKUP(C179,Overview!$B$30:$E$84,3,FALSE)=0),"",VLOOKUP(C179,Overview!$B$30:$E$84,3,FALSE)),"")</f>
        <v>Kazakhstan</v>
      </c>
      <c r="F179" s="108" t="s">
        <v>580</v>
      </c>
      <c r="G179" s="109" t="s">
        <v>520</v>
      </c>
      <c r="H179" s="110">
        <v>2</v>
      </c>
      <c r="I179" s="108" t="s">
        <v>587</v>
      </c>
      <c r="J179" s="108" t="s">
        <v>343</v>
      </c>
      <c r="K179" s="110">
        <v>3</v>
      </c>
      <c r="L179" s="111">
        <f>IF(O179="Error",0,ROUND(ROUND(H179,0)*(VLOOKUP(J179,Rates!$J$5:$K$10,2,FALSE)),2))</f>
        <v>1640</v>
      </c>
      <c r="M179" s="112">
        <f t="shared" si="10"/>
        <v>720</v>
      </c>
      <c r="N179" s="113">
        <f t="shared" si="11"/>
        <v>2360</v>
      </c>
      <c r="O179" s="102" t="str">
        <f>IF(OR(COUNTIF(Rates!$J$13:$J$17,B179)=0,COUNTIF(Overview!$B$30:$B$84,C179)=0,D179="",E179="",F179="",COUNTIF(Rates!$Y$4:$Z$4,G179)=0,ISNUMBER(H179)=FALSE,I179="",COUNTIF(Rates!$J$5:$J$10,J179)=0,ISNUMBER(K179)=FALSE,IF(OR(IF(AND(G179="Staff",K179&gt;365),1,0)=1,IF(AND(G179="Student",K179&gt;60),1,0)=1),1,0)=1,IF(ISNUMBER(H179)=TRUE,H179=INT(H179*1)/1=FALSE),IF(ISNUMBER(K179)=TRUE,K179=INT(K179*1)/1=FALSE)),"Error","")</f>
        <v/>
      </c>
    </row>
    <row r="180" spans="2:15" s="103" customFormat="1" x14ac:dyDescent="0.25">
      <c r="B180" s="60" t="s">
        <v>368</v>
      </c>
      <c r="C180" s="94" t="s">
        <v>127</v>
      </c>
      <c r="D180" s="104" t="str">
        <f>IFERROR(IF(VLOOKUP(C180,Overview!$B$30:$E$84,2,FALSE)=0,"",VLOOKUP(C180,Overview!$B$30:$E$84,2,FALSE)),"")</f>
        <v>Kazakhstan National Technical University</v>
      </c>
      <c r="E180" s="104" t="str">
        <f>IFERROR(IF(OR(VLOOKUP(C180,Overview!$B$30:$E$84,4,FALSE)="Country not found",VLOOKUP(C180,Overview!$B$30:$E$84,3,FALSE)=0),"",VLOOKUP(C180,Overview!$B$30:$E$84,3,FALSE)),"")</f>
        <v>Kazakhstan</v>
      </c>
      <c r="F180" s="108" t="s">
        <v>580</v>
      </c>
      <c r="G180" s="109" t="s">
        <v>520</v>
      </c>
      <c r="H180" s="110">
        <v>2</v>
      </c>
      <c r="I180" s="108" t="s">
        <v>587</v>
      </c>
      <c r="J180" s="108" t="s">
        <v>343</v>
      </c>
      <c r="K180" s="110">
        <v>3</v>
      </c>
      <c r="L180" s="111">
        <f>IF(O180="Error",0,ROUND(ROUND(H180,0)*(VLOOKUP(J180,Rates!$J$5:$K$10,2,FALSE)),2))</f>
        <v>1640</v>
      </c>
      <c r="M180" s="112">
        <f t="shared" si="10"/>
        <v>720</v>
      </c>
      <c r="N180" s="113">
        <f t="shared" si="11"/>
        <v>2360</v>
      </c>
      <c r="O180" s="102" t="str">
        <f>IF(OR(COUNTIF(Rates!$J$13:$J$17,B180)=0,COUNTIF(Overview!$B$30:$B$84,C180)=0,D180="",E180="",F180="",COUNTIF(Rates!$Y$4:$Z$4,G180)=0,ISNUMBER(H180)=FALSE,I180="",COUNTIF(Rates!$J$5:$J$10,J180)=0,ISNUMBER(K180)=FALSE,IF(OR(IF(AND(G180="Staff",K180&gt;365),1,0)=1,IF(AND(G180="Student",K180&gt;60),1,0)=1),1,0)=1,IF(ISNUMBER(H180)=TRUE,H180=INT(H180*1)/1=FALSE),IF(ISNUMBER(K180)=TRUE,K180=INT(K180*1)/1=FALSE)),"Error","")</f>
        <v/>
      </c>
    </row>
    <row r="181" spans="2:15" s="103" customFormat="1" x14ac:dyDescent="0.25">
      <c r="B181" s="60" t="s">
        <v>368</v>
      </c>
      <c r="C181" s="94" t="s">
        <v>128</v>
      </c>
      <c r="D181" s="104" t="str">
        <f>IFERROR(IF(VLOOKUP(C181,Overview!$B$30:$E$84,2,FALSE)=0,"",VLOOKUP(C181,Overview!$B$30:$E$84,2,FALSE)),"")</f>
        <v xml:space="preserve">Zhezkazgan Baikonurov University </v>
      </c>
      <c r="E181" s="104" t="str">
        <f>IFERROR(IF(OR(VLOOKUP(C181,Overview!$B$30:$E$84,4,FALSE)="Country not found",VLOOKUP(C181,Overview!$B$30:$E$84,3,FALSE)=0),"",VLOOKUP(C181,Overview!$B$30:$E$84,3,FALSE)),"")</f>
        <v>Kazakhstan</v>
      </c>
      <c r="F181" s="108" t="s">
        <v>600</v>
      </c>
      <c r="G181" s="109" t="s">
        <v>520</v>
      </c>
      <c r="H181" s="110">
        <v>2</v>
      </c>
      <c r="I181" s="108" t="s">
        <v>587</v>
      </c>
      <c r="J181" s="108" t="s">
        <v>343</v>
      </c>
      <c r="K181" s="110">
        <v>3</v>
      </c>
      <c r="L181" s="111">
        <f>IF(O181="Error",0,ROUND(ROUND(H181,0)*(VLOOKUP(J181,Rates!$J$5:$K$10,2,FALSE)),2))</f>
        <v>1640</v>
      </c>
      <c r="M181" s="112">
        <f t="shared" si="10"/>
        <v>720</v>
      </c>
      <c r="N181" s="113">
        <f t="shared" si="11"/>
        <v>2360</v>
      </c>
      <c r="O181" s="102" t="str">
        <f>IF(OR(COUNTIF(Rates!$J$13:$J$17,B181)=0,COUNTIF(Overview!$B$30:$B$84,C181)=0,D181="",E181="",F181="",COUNTIF(Rates!$Y$4:$Z$4,G181)=0,ISNUMBER(H181)=FALSE,I181="",COUNTIF(Rates!$J$5:$J$10,J181)=0,ISNUMBER(K181)=FALSE,IF(OR(IF(AND(G181="Staff",K181&gt;365),1,0)=1,IF(AND(G181="Student",K181&gt;60),1,0)=1),1,0)=1,IF(ISNUMBER(H181)=TRUE,H181=INT(H181*1)/1=FALSE),IF(ISNUMBER(K181)=TRUE,K181=INT(K181*1)/1=FALSE)),"Error","")</f>
        <v/>
      </c>
    </row>
    <row r="182" spans="2:15" s="103" customFormat="1" x14ac:dyDescent="0.25">
      <c r="B182" s="60" t="s">
        <v>368</v>
      </c>
      <c r="C182" s="94" t="s">
        <v>129</v>
      </c>
      <c r="D182" s="104" t="str">
        <f>IFERROR(IF(VLOOKUP(C182,Overview!$B$30:$E$84,2,FALSE)=0,"",VLOOKUP(C182,Overview!$B$30:$E$84,2,FALSE)),"")</f>
        <v xml:space="preserve">Altynsarin National Academy of Education </v>
      </c>
      <c r="E182" s="104" t="str">
        <f>IFERROR(IF(OR(VLOOKUP(C182,Overview!$B$30:$E$84,4,FALSE)="Country not found",VLOOKUP(C182,Overview!$B$30:$E$84,3,FALSE)=0),"",VLOOKUP(C182,Overview!$B$30:$E$84,3,FALSE)),"")</f>
        <v>Kazakhstan</v>
      </c>
      <c r="F182" s="108" t="s">
        <v>586</v>
      </c>
      <c r="G182" s="109" t="s">
        <v>520</v>
      </c>
      <c r="H182" s="110">
        <v>2</v>
      </c>
      <c r="I182" s="108" t="s">
        <v>587</v>
      </c>
      <c r="J182" s="108" t="s">
        <v>343</v>
      </c>
      <c r="K182" s="110">
        <v>3</v>
      </c>
      <c r="L182" s="111">
        <f>IF(O182="Error",0,ROUND(ROUND(H182,0)*(VLOOKUP(J182,Rates!$J$5:$K$10,2,FALSE)),2))</f>
        <v>1640</v>
      </c>
      <c r="M182" s="112">
        <f t="shared" si="10"/>
        <v>720</v>
      </c>
      <c r="N182" s="113">
        <f t="shared" si="11"/>
        <v>2360</v>
      </c>
      <c r="O182" s="102" t="str">
        <f>IF(OR(COUNTIF(Rates!$J$13:$J$17,B182)=0,COUNTIF(Overview!$B$30:$B$84,C182)=0,D182="",E182="",F182="",COUNTIF(Rates!$Y$4:$Z$4,G182)=0,ISNUMBER(H182)=FALSE,I182="",COUNTIF(Rates!$J$5:$J$10,J182)=0,ISNUMBER(K182)=FALSE,IF(OR(IF(AND(G182="Staff",K182&gt;365),1,0)=1,IF(AND(G182="Student",K182&gt;60),1,0)=1),1,0)=1,IF(ISNUMBER(H182)=TRUE,H182=INT(H182*1)/1=FALSE),IF(ISNUMBER(K182)=TRUE,K182=INT(K182*1)/1=FALSE)),"Error","")</f>
        <v/>
      </c>
    </row>
    <row r="183" spans="2:15" s="103" customFormat="1" x14ac:dyDescent="0.25">
      <c r="B183" s="60" t="s">
        <v>368</v>
      </c>
      <c r="C183" s="94" t="s">
        <v>130</v>
      </c>
      <c r="D183" s="104" t="str">
        <f>IFERROR(IF(VLOOKUP(C183,Overview!$B$30:$E$84,2,FALSE)=0,"",VLOOKUP(C183,Overview!$B$30:$E$84,2,FALSE)),"")</f>
        <v>Ministry of Education and Science of Kazakhstan</v>
      </c>
      <c r="E183" s="104" t="str">
        <f>IFERROR(IF(OR(VLOOKUP(C183,Overview!$B$30:$E$84,4,FALSE)="Country not found",VLOOKUP(C183,Overview!$B$30:$E$84,3,FALSE)=0),"",VLOOKUP(C183,Overview!$B$30:$E$84,3,FALSE)),"")</f>
        <v>Kazakhstan</v>
      </c>
      <c r="F183" s="108" t="s">
        <v>586</v>
      </c>
      <c r="G183" s="109" t="s">
        <v>520</v>
      </c>
      <c r="H183" s="110">
        <v>2</v>
      </c>
      <c r="I183" s="108" t="s">
        <v>587</v>
      </c>
      <c r="J183" s="108" t="s">
        <v>343</v>
      </c>
      <c r="K183" s="110">
        <v>3</v>
      </c>
      <c r="L183" s="111">
        <f>IF(O183="Error",0,ROUND(ROUND(H183,0)*(VLOOKUP(J183,Rates!$J$5:$K$10,2,FALSE)),2))</f>
        <v>1640</v>
      </c>
      <c r="M183" s="112">
        <f t="shared" si="10"/>
        <v>720</v>
      </c>
      <c r="N183" s="113">
        <f t="shared" si="11"/>
        <v>2360</v>
      </c>
      <c r="O183" s="102" t="str">
        <f>IF(OR(COUNTIF(Rates!$J$13:$J$17,B183)=0,COUNTIF(Overview!$B$30:$B$84,C183)=0,D183="",E183="",F183="",COUNTIF(Rates!$Y$4:$Z$4,G183)=0,ISNUMBER(H183)=FALSE,I183="",COUNTIF(Rates!$J$5:$J$10,J183)=0,ISNUMBER(K183)=FALSE,IF(OR(IF(AND(G183="Staff",K183&gt;365),1,0)=1,IF(AND(G183="Student",K183&gt;60),1,0)=1),1,0)=1,IF(ISNUMBER(H183)=TRUE,H183=INT(H183*1)/1=FALSE),IF(ISNUMBER(K183)=TRUE,K183=INT(K183*1)/1=FALSE)),"Error","")</f>
        <v/>
      </c>
    </row>
    <row r="184" spans="2:15" s="103" customFormat="1" x14ac:dyDescent="0.25">
      <c r="B184" s="60" t="s">
        <v>368</v>
      </c>
      <c r="C184" s="94" t="s">
        <v>15</v>
      </c>
      <c r="D184" s="104" t="str">
        <f>IFERROR(IF(VLOOKUP(C184,Overview!$B$30:$E$84,2,FALSE)=0,"",VLOOKUP(C184,Overview!$B$30:$E$84,2,FALSE)),"")</f>
        <v>University of Patras</v>
      </c>
      <c r="E184" s="104" t="str">
        <f>IFERROR(IF(OR(VLOOKUP(C184,Overview!$B$30:$E$84,4,FALSE)="Country not found",VLOOKUP(C184,Overview!$B$30:$E$84,3,FALSE)=0),"",VLOOKUP(C184,Overview!$B$30:$E$84,3,FALSE)),"")</f>
        <v>Greece</v>
      </c>
      <c r="F184" s="108" t="s">
        <v>576</v>
      </c>
      <c r="G184" s="109" t="s">
        <v>520</v>
      </c>
      <c r="H184" s="110">
        <v>2</v>
      </c>
      <c r="I184" s="108" t="s">
        <v>578</v>
      </c>
      <c r="J184" s="108" t="s">
        <v>338</v>
      </c>
      <c r="K184" s="110">
        <v>3</v>
      </c>
      <c r="L184" s="111">
        <f>IF(O184="Error",0,ROUND(ROUND(H184,0)*(VLOOKUP(J184,Rates!$J$5:$K$10,2,FALSE)),2))</f>
        <v>550</v>
      </c>
      <c r="M184" s="112">
        <f t="shared" si="10"/>
        <v>720</v>
      </c>
      <c r="N184" s="113">
        <f t="shared" si="11"/>
        <v>1270</v>
      </c>
      <c r="O184" s="102" t="str">
        <f>IF(OR(COUNTIF(Rates!$J$13:$J$17,B184)=0,COUNTIF(Overview!$B$30:$B$84,C184)=0,D184="",E184="",F184="",COUNTIF(Rates!$Y$4:$Z$4,G184)=0,ISNUMBER(H184)=FALSE,I184="",COUNTIF(Rates!$J$5:$J$10,J184)=0,ISNUMBER(K184)=FALSE,IF(OR(IF(AND(G184="Staff",K184&gt;365),1,0)=1,IF(AND(G184="Student",K184&gt;60),1,0)=1),1,0)=1,IF(ISNUMBER(H184)=TRUE,H184=INT(H184*1)/1=FALSE),IF(ISNUMBER(K184)=TRUE,K184=INT(K184*1)/1=FALSE)),"Error","")</f>
        <v/>
      </c>
    </row>
    <row r="185" spans="2:15" s="103" customFormat="1" x14ac:dyDescent="0.25">
      <c r="B185" s="60" t="s">
        <v>368</v>
      </c>
      <c r="C185" s="94" t="s">
        <v>16</v>
      </c>
      <c r="D185" s="104" t="str">
        <f>IFERROR(IF(VLOOKUP(C185,Overview!$B$30:$E$84,2,FALSE)=0,"",VLOOKUP(C185,Overview!$B$30:$E$84,2,FALSE)),"")</f>
        <v>Bath Spa University</v>
      </c>
      <c r="E185" s="104" t="str">
        <f>IFERROR(IF(OR(VLOOKUP(C185,Overview!$B$30:$E$84,4,FALSE)="Country not found",VLOOKUP(C185,Overview!$B$30:$E$84,3,FALSE)=0),"",VLOOKUP(C185,Overview!$B$30:$E$84,3,FALSE)),"")</f>
        <v>United Kingdom</v>
      </c>
      <c r="F185" s="108" t="s">
        <v>597</v>
      </c>
      <c r="G185" s="109" t="s">
        <v>520</v>
      </c>
      <c r="H185" s="110">
        <v>2</v>
      </c>
      <c r="I185" s="108" t="s">
        <v>578</v>
      </c>
      <c r="J185" s="108" t="s">
        <v>338</v>
      </c>
      <c r="K185" s="110">
        <v>3</v>
      </c>
      <c r="L185" s="111">
        <f>IF(O185="Error",0,ROUND(ROUND(H185,0)*(VLOOKUP(J185,Rates!$J$5:$K$10,2,FALSE)),2))</f>
        <v>550</v>
      </c>
      <c r="M185" s="112">
        <f t="shared" si="10"/>
        <v>720</v>
      </c>
      <c r="N185" s="113">
        <f t="shared" si="11"/>
        <v>1270</v>
      </c>
      <c r="O185" s="102" t="str">
        <f>IF(OR(COUNTIF(Rates!$J$13:$J$17,B185)=0,COUNTIF(Overview!$B$30:$B$84,C185)=0,D185="",E185="",F185="",COUNTIF(Rates!$Y$4:$Z$4,G185)=0,ISNUMBER(H185)=FALSE,I185="",COUNTIF(Rates!$J$5:$J$10,J185)=0,ISNUMBER(K185)=FALSE,IF(OR(IF(AND(G185="Staff",K185&gt;365),1,0)=1,IF(AND(G185="Student",K185&gt;60),1,0)=1),1,0)=1,IF(ISNUMBER(H185)=TRUE,H185=INT(H185*1)/1=FALSE),IF(ISNUMBER(K185)=TRUE,K185=INT(K185*1)/1=FALSE)),"Error","")</f>
        <v/>
      </c>
    </row>
    <row r="186" spans="2:15" s="103" customFormat="1" x14ac:dyDescent="0.25">
      <c r="B186" s="60" t="s">
        <v>368</v>
      </c>
      <c r="C186" s="94" t="s">
        <v>17</v>
      </c>
      <c r="D186" s="104" t="str">
        <f>IFERROR(IF(VLOOKUP(C186,Overview!$B$30:$E$84,2,FALSE)=0,"",VLOOKUP(C186,Overview!$B$30:$E$84,2,FALSE)),"")</f>
        <v>Wroclaw Technical University</v>
      </c>
      <c r="E186" s="104" t="str">
        <f>IFERROR(IF(OR(VLOOKUP(C186,Overview!$B$30:$E$84,4,FALSE)="Country not found",VLOOKUP(C186,Overview!$B$30:$E$84,3,FALSE)=0),"",VLOOKUP(C186,Overview!$B$30:$E$84,3,FALSE)),"")</f>
        <v>Poland</v>
      </c>
      <c r="F186" s="108" t="s">
        <v>577</v>
      </c>
      <c r="G186" s="109" t="s">
        <v>520</v>
      </c>
      <c r="H186" s="110">
        <v>2</v>
      </c>
      <c r="I186" s="108" t="s">
        <v>578</v>
      </c>
      <c r="J186" s="108" t="s">
        <v>338</v>
      </c>
      <c r="K186" s="110">
        <v>3</v>
      </c>
      <c r="L186" s="111">
        <f>IF(O186="Error",0,ROUND(ROUND(H186,0)*(VLOOKUP(J186,Rates!$J$5:$K$10,2,FALSE)),2))</f>
        <v>550</v>
      </c>
      <c r="M186" s="112">
        <f t="shared" si="10"/>
        <v>720</v>
      </c>
      <c r="N186" s="113">
        <f t="shared" si="11"/>
        <v>1270</v>
      </c>
      <c r="O186" s="102" t="str">
        <f>IF(OR(COUNTIF(Rates!$J$13:$J$17,B186)=0,COUNTIF(Overview!$B$30:$B$84,C186)=0,D186="",E186="",F186="",COUNTIF(Rates!$Y$4:$Z$4,G186)=0,ISNUMBER(H186)=FALSE,I186="",COUNTIF(Rates!$J$5:$J$10,J186)=0,ISNUMBER(K186)=FALSE,IF(OR(IF(AND(G186="Staff",K186&gt;365),1,0)=1,IF(AND(G186="Student",K186&gt;60),1,0)=1),1,0)=1,IF(ISNUMBER(H186)=TRUE,H186=INT(H186*1)/1=FALSE),IF(ISNUMBER(K186)=TRUE,K186=INT(K186*1)/1=FALSE)),"Error","")</f>
        <v/>
      </c>
    </row>
    <row r="187" spans="2:15" s="103" customFormat="1" x14ac:dyDescent="0.25">
      <c r="B187" s="60" t="s">
        <v>368</v>
      </c>
      <c r="C187" s="94" t="s">
        <v>19</v>
      </c>
      <c r="D187" s="104" t="str">
        <f>IFERROR(IF(VLOOKUP(C187,Overview!$B$30:$E$84,2,FALSE)=0,"",VLOOKUP(C187,Overview!$B$30:$E$84,2,FALSE)),"")</f>
        <v>The Network University</v>
      </c>
      <c r="E187" s="104" t="str">
        <f>IFERROR(IF(OR(VLOOKUP(C187,Overview!$B$30:$E$84,4,FALSE)="Country not found",VLOOKUP(C187,Overview!$B$30:$E$84,3,FALSE)=0),"",VLOOKUP(C187,Overview!$B$30:$E$84,3,FALSE)),"")</f>
        <v>Netherlands</v>
      </c>
      <c r="F187" s="108" t="s">
        <v>587</v>
      </c>
      <c r="G187" s="109" t="s">
        <v>520</v>
      </c>
      <c r="H187" s="110">
        <v>2</v>
      </c>
      <c r="I187" s="108" t="s">
        <v>578</v>
      </c>
      <c r="J187" s="108" t="s">
        <v>337</v>
      </c>
      <c r="K187" s="110">
        <v>3</v>
      </c>
      <c r="L187" s="111">
        <f>IF(O187="Error",0,ROUND(ROUND(H187,0)*(VLOOKUP(J187,Rates!$J$5:$K$10,2,FALSE)),2))</f>
        <v>360</v>
      </c>
      <c r="M187" s="112">
        <f t="shared" si="10"/>
        <v>720</v>
      </c>
      <c r="N187" s="113">
        <f t="shared" si="11"/>
        <v>1080</v>
      </c>
      <c r="O187" s="102" t="str">
        <f>IF(OR(COUNTIF(Rates!$J$13:$J$17,B187)=0,COUNTIF(Overview!$B$30:$B$84,C187)=0,D187="",E187="",F187="",COUNTIF(Rates!$Y$4:$Z$4,G187)=0,ISNUMBER(H187)=FALSE,I187="",COUNTIF(Rates!$J$5:$J$10,J187)=0,ISNUMBER(K187)=FALSE,IF(OR(IF(AND(G187="Staff",K187&gt;365),1,0)=1,IF(AND(G187="Student",K187&gt;60),1,0)=1),1,0)=1,IF(ISNUMBER(H187)=TRUE,H187=INT(H187*1)/1=FALSE),IF(ISNUMBER(K187)=TRUE,K187=INT(K187*1)/1=FALSE)),"Error","")</f>
        <v/>
      </c>
    </row>
    <row r="188" spans="2:15" s="103" customFormat="1" x14ac:dyDescent="0.25">
      <c r="B188" s="60" t="s">
        <v>368</v>
      </c>
      <c r="C188" s="94" t="s">
        <v>20</v>
      </c>
      <c r="D188" s="104" t="str">
        <f>IFERROR(IF(VLOOKUP(C188,Overview!$B$30:$E$84,2,FALSE)=0,"",VLOOKUP(C188,Overview!$B$30:$E$84,2,FALSE)),"")</f>
        <v>Tashkent State Technical University</v>
      </c>
      <c r="E188" s="104" t="str">
        <f>IFERROR(IF(OR(VLOOKUP(C188,Overview!$B$30:$E$84,4,FALSE)="Country not found",VLOOKUP(C188,Overview!$B$30:$E$84,3,FALSE)=0),"",VLOOKUP(C188,Overview!$B$30:$E$84,3,FALSE)),"")</f>
        <v>Uzbekistan</v>
      </c>
      <c r="F188" s="108" t="s">
        <v>579</v>
      </c>
      <c r="G188" s="109" t="s">
        <v>520</v>
      </c>
      <c r="H188" s="110">
        <v>2</v>
      </c>
      <c r="I188" s="108" t="s">
        <v>578</v>
      </c>
      <c r="J188" s="108" t="s">
        <v>343</v>
      </c>
      <c r="K188" s="110">
        <v>3</v>
      </c>
      <c r="L188" s="111">
        <f>IF(O188="Error",0,ROUND(ROUND(H188,0)*(VLOOKUP(J188,Rates!$J$5:$K$10,2,FALSE)),2))</f>
        <v>1640</v>
      </c>
      <c r="M188" s="112">
        <f t="shared" si="10"/>
        <v>720</v>
      </c>
      <c r="N188" s="113">
        <f t="shared" si="11"/>
        <v>2360</v>
      </c>
      <c r="O188" s="102" t="str">
        <f>IF(OR(COUNTIF(Rates!$J$13:$J$17,B188)=0,COUNTIF(Overview!$B$30:$B$84,C188)=0,D188="",E188="",F188="",COUNTIF(Rates!$Y$4:$Z$4,G188)=0,ISNUMBER(H188)=FALSE,I188="",COUNTIF(Rates!$J$5:$J$10,J188)=0,ISNUMBER(K188)=FALSE,IF(OR(IF(AND(G188="Staff",K188&gt;365),1,0)=1,IF(AND(G188="Student",K188&gt;60),1,0)=1),1,0)=1,IF(ISNUMBER(H188)=TRUE,H188=INT(H188*1)/1=FALSE),IF(ISNUMBER(K188)=TRUE,K188=INT(K188*1)/1=FALSE)),"Error","")</f>
        <v/>
      </c>
    </row>
    <row r="189" spans="2:15" s="103" customFormat="1" x14ac:dyDescent="0.25">
      <c r="B189" s="60" t="s">
        <v>368</v>
      </c>
      <c r="C189" s="94" t="s">
        <v>21</v>
      </c>
      <c r="D189" s="104" t="str">
        <f>IFERROR(IF(VLOOKUP(C189,Overview!$B$30:$E$84,2,FALSE)=0,"",VLOOKUP(C189,Overview!$B$30:$E$84,2,FALSE)),"")</f>
        <v>National University of Uzbekistan</v>
      </c>
      <c r="E189" s="104" t="str">
        <f>IFERROR(IF(OR(VLOOKUP(C189,Overview!$B$30:$E$84,4,FALSE)="Country not found",VLOOKUP(C189,Overview!$B$30:$E$84,3,FALSE)=0),"",VLOOKUP(C189,Overview!$B$30:$E$84,3,FALSE)),"")</f>
        <v>Uzbekistan</v>
      </c>
      <c r="F189" s="108" t="s">
        <v>579</v>
      </c>
      <c r="G189" s="109" t="s">
        <v>520</v>
      </c>
      <c r="H189" s="110">
        <v>2</v>
      </c>
      <c r="I189" s="108" t="s">
        <v>578</v>
      </c>
      <c r="J189" s="108" t="s">
        <v>343</v>
      </c>
      <c r="K189" s="110">
        <v>3</v>
      </c>
      <c r="L189" s="111">
        <f>IF(O189="Error",0,ROUND(ROUND(H189,0)*(VLOOKUP(J189,Rates!$J$5:$K$10,2,FALSE)),2))</f>
        <v>1640</v>
      </c>
      <c r="M189" s="112">
        <f t="shared" si="10"/>
        <v>720</v>
      </c>
      <c r="N189" s="113">
        <f t="shared" si="11"/>
        <v>2360</v>
      </c>
      <c r="O189" s="102" t="str">
        <f>IF(OR(COUNTIF(Rates!$J$13:$J$17,B189)=0,COUNTIF(Overview!$B$30:$B$84,C189)=0,D189="",E189="",F189="",COUNTIF(Rates!$Y$4:$Z$4,G189)=0,ISNUMBER(H189)=FALSE,I189="",COUNTIF(Rates!$J$5:$J$10,J189)=0,ISNUMBER(K189)=FALSE,IF(OR(IF(AND(G189="Staff",K189&gt;365),1,0)=1,IF(AND(G189="Student",K189&gt;60),1,0)=1),1,0)=1,IF(ISNUMBER(H189)=TRUE,H189=INT(H189*1)/1=FALSE),IF(ISNUMBER(K189)=TRUE,K189=INT(K189*1)/1=FALSE)),"Error","")</f>
        <v/>
      </c>
    </row>
    <row r="190" spans="2:15" s="103" customFormat="1" x14ac:dyDescent="0.25">
      <c r="B190" s="60" t="s">
        <v>368</v>
      </c>
      <c r="C190" s="94" t="s">
        <v>22</v>
      </c>
      <c r="D190" s="104" t="str">
        <f>IFERROR(IF(VLOOKUP(C190,Overview!$B$30:$E$84,2,FALSE)=0,"",VLOOKUP(C190,Overview!$B$30:$E$84,2,FALSE)),"")</f>
        <v>Enterprise “Business Drilling”</v>
      </c>
      <c r="E190" s="104" t="str">
        <f>IFERROR(IF(OR(VLOOKUP(C190,Overview!$B$30:$E$84,4,FALSE)="Country not found",VLOOKUP(C190,Overview!$B$30:$E$84,3,FALSE)=0),"",VLOOKUP(C190,Overview!$B$30:$E$84,3,FALSE)),"")</f>
        <v>Uzbekistan</v>
      </c>
      <c r="F190" s="108" t="s">
        <v>579</v>
      </c>
      <c r="G190" s="109" t="s">
        <v>520</v>
      </c>
      <c r="H190" s="110">
        <v>2</v>
      </c>
      <c r="I190" s="108" t="s">
        <v>578</v>
      </c>
      <c r="J190" s="108" t="s">
        <v>343</v>
      </c>
      <c r="K190" s="110">
        <v>3</v>
      </c>
      <c r="L190" s="111">
        <f>IF(O190="Error",0,ROUND(ROUND(H190,0)*(VLOOKUP(J190,Rates!$J$5:$K$10,2,FALSE)),2))</f>
        <v>1640</v>
      </c>
      <c r="M190" s="112">
        <f t="shared" si="10"/>
        <v>720</v>
      </c>
      <c r="N190" s="113">
        <f t="shared" si="11"/>
        <v>2360</v>
      </c>
      <c r="O190" s="102" t="str">
        <f>IF(OR(COUNTIF(Rates!$J$13:$J$17,B190)=0,COUNTIF(Overview!$B$30:$B$84,C190)=0,D190="",E190="",F190="",COUNTIF(Rates!$Y$4:$Z$4,G190)=0,ISNUMBER(H190)=FALSE,I190="",COUNTIF(Rates!$J$5:$J$10,J190)=0,ISNUMBER(K190)=FALSE,IF(OR(IF(AND(G190="Staff",K190&gt;365),1,0)=1,IF(AND(G190="Student",K190&gt;60),1,0)=1),1,0)=1,IF(ISNUMBER(H190)=TRUE,H190=INT(H190*1)/1=FALSE),IF(ISNUMBER(K190)=TRUE,K190=INT(K190*1)/1=FALSE)),"Error","")</f>
        <v/>
      </c>
    </row>
    <row r="191" spans="2:15" s="103" customFormat="1" x14ac:dyDescent="0.25">
      <c r="B191" s="60" t="s">
        <v>368</v>
      </c>
      <c r="C191" s="94" t="s">
        <v>23</v>
      </c>
      <c r="D191" s="104" t="str">
        <f>IFERROR(IF(VLOOKUP(C191,Overview!$B$30:$E$84,2,FALSE)=0,"",VLOOKUP(C191,Overview!$B$30:$E$84,2,FALSE)),"")</f>
        <v>Ministry of Education of Uzbekistan</v>
      </c>
      <c r="E191" s="104" t="str">
        <f>IFERROR(IF(OR(VLOOKUP(C191,Overview!$B$30:$E$84,4,FALSE)="Country not found",VLOOKUP(C191,Overview!$B$30:$E$84,3,FALSE)=0),"",VLOOKUP(C191,Overview!$B$30:$E$84,3,FALSE)),"")</f>
        <v>Uzbekistan</v>
      </c>
      <c r="F191" s="108" t="s">
        <v>579</v>
      </c>
      <c r="G191" s="109" t="s">
        <v>520</v>
      </c>
      <c r="H191" s="110">
        <v>2</v>
      </c>
      <c r="I191" s="108" t="s">
        <v>578</v>
      </c>
      <c r="J191" s="108" t="s">
        <v>343</v>
      </c>
      <c r="K191" s="110">
        <v>3</v>
      </c>
      <c r="L191" s="111">
        <f>IF(O191="Error",0,ROUND(ROUND(H191,0)*(VLOOKUP(J191,Rates!$J$5:$K$10,2,FALSE)),2))</f>
        <v>1640</v>
      </c>
      <c r="M191" s="112">
        <f t="shared" si="10"/>
        <v>720</v>
      </c>
      <c r="N191" s="113">
        <f t="shared" si="11"/>
        <v>2360</v>
      </c>
      <c r="O191" s="102" t="str">
        <f>IF(OR(COUNTIF(Rates!$J$13:$J$17,B191)=0,COUNTIF(Overview!$B$30:$B$84,C191)=0,D191="",E191="",F191="",COUNTIF(Rates!$Y$4:$Z$4,G191)=0,ISNUMBER(H191)=FALSE,I191="",COUNTIF(Rates!$J$5:$J$10,J191)=0,ISNUMBER(K191)=FALSE,IF(OR(IF(AND(G191="Staff",K191&gt;365),1,0)=1,IF(AND(G191="Student",K191&gt;60),1,0)=1),1,0)=1,IF(ISNUMBER(H191)=TRUE,H191=INT(H191*1)/1=FALSE),IF(ISNUMBER(K191)=TRUE,K191=INT(K191*1)/1=FALSE)),"Error","")</f>
        <v/>
      </c>
    </row>
    <row r="192" spans="2:15" s="103" customFormat="1" x14ac:dyDescent="0.25">
      <c r="B192" s="60" t="s">
        <v>368</v>
      </c>
      <c r="C192" s="94" t="s">
        <v>24</v>
      </c>
      <c r="D192" s="104" t="str">
        <f>IFERROR(IF(VLOOKUP(C192,Overview!$B$30:$E$84,2,FALSE)=0,"",VLOOKUP(C192,Overview!$B$30:$E$84,2,FALSE)),"")</f>
        <v>Kyrgyz State Technical University</v>
      </c>
      <c r="E192" s="104" t="str">
        <f>IFERROR(IF(OR(VLOOKUP(C192,Overview!$B$30:$E$84,4,FALSE)="Country not found",VLOOKUP(C192,Overview!$B$30:$E$84,3,FALSE)=0),"",VLOOKUP(C192,Overview!$B$30:$E$84,3,FALSE)),"")</f>
        <v>Kyrgyzstan</v>
      </c>
      <c r="F192" s="108" t="s">
        <v>584</v>
      </c>
      <c r="G192" s="109" t="s">
        <v>520</v>
      </c>
      <c r="H192" s="110">
        <v>2</v>
      </c>
      <c r="I192" s="108" t="s">
        <v>578</v>
      </c>
      <c r="J192" s="108" t="s">
        <v>343</v>
      </c>
      <c r="K192" s="110">
        <v>3</v>
      </c>
      <c r="L192" s="111">
        <f>IF(O192="Error",0,ROUND(ROUND(H192,0)*(VLOOKUP(J192,Rates!$J$5:$K$10,2,FALSE)),2))</f>
        <v>1640</v>
      </c>
      <c r="M192" s="112">
        <f t="shared" si="10"/>
        <v>720</v>
      </c>
      <c r="N192" s="113">
        <f t="shared" si="11"/>
        <v>2360</v>
      </c>
      <c r="O192" s="102" t="str">
        <f>IF(OR(COUNTIF(Rates!$J$13:$J$17,B192)=0,COUNTIF(Overview!$B$30:$B$84,C192)=0,D192="",E192="",F192="",COUNTIF(Rates!$Y$4:$Z$4,G192)=0,ISNUMBER(H192)=FALSE,I192="",COUNTIF(Rates!$J$5:$J$10,J192)=0,ISNUMBER(K192)=FALSE,IF(OR(IF(AND(G192="Staff",K192&gt;365),1,0)=1,IF(AND(G192="Student",K192&gt;60),1,0)=1),1,0)=1,IF(ISNUMBER(H192)=TRUE,H192=INT(H192*1)/1=FALSE),IF(ISNUMBER(K192)=TRUE,K192=INT(K192*1)/1=FALSE)),"Error","")</f>
        <v/>
      </c>
    </row>
    <row r="193" spans="2:15" s="103" customFormat="1" x14ac:dyDescent="0.25">
      <c r="B193" s="60" t="s">
        <v>368</v>
      </c>
      <c r="C193" s="94" t="s">
        <v>25</v>
      </c>
      <c r="D193" s="104" t="str">
        <f>IFERROR(IF(VLOOKUP(C193,Overview!$B$30:$E$84,2,FALSE)=0,"",VLOOKUP(C193,Overview!$B$30:$E$84,2,FALSE)),"")</f>
        <v>Bishkek Academy of Finance and Economics</v>
      </c>
      <c r="E193" s="104" t="str">
        <f>IFERROR(IF(OR(VLOOKUP(C193,Overview!$B$30:$E$84,4,FALSE)="Country not found",VLOOKUP(C193,Overview!$B$30:$E$84,3,FALSE)=0),"",VLOOKUP(C193,Overview!$B$30:$E$84,3,FALSE)),"")</f>
        <v>Kyrgyzstan</v>
      </c>
      <c r="F193" s="108" t="s">
        <v>584</v>
      </c>
      <c r="G193" s="109" t="s">
        <v>520</v>
      </c>
      <c r="H193" s="110">
        <v>2</v>
      </c>
      <c r="I193" s="108" t="s">
        <v>578</v>
      </c>
      <c r="J193" s="108" t="s">
        <v>343</v>
      </c>
      <c r="K193" s="110">
        <v>3</v>
      </c>
      <c r="L193" s="111">
        <f>IF(O193="Error",0,ROUND(ROUND(H193,0)*(VLOOKUP(J193,Rates!$J$5:$K$10,2,FALSE)),2))</f>
        <v>1640</v>
      </c>
      <c r="M193" s="112">
        <f t="shared" si="10"/>
        <v>720</v>
      </c>
      <c r="N193" s="113">
        <f t="shared" si="11"/>
        <v>2360</v>
      </c>
      <c r="O193" s="102" t="str">
        <f>IF(OR(COUNTIF(Rates!$J$13:$J$17,B193)=0,COUNTIF(Overview!$B$30:$B$84,C193)=0,D193="",E193="",F193="",COUNTIF(Rates!$Y$4:$Z$4,G193)=0,ISNUMBER(H193)=FALSE,I193="",COUNTIF(Rates!$J$5:$J$10,J193)=0,ISNUMBER(K193)=FALSE,IF(OR(IF(AND(G193="Staff",K193&gt;365),1,0)=1,IF(AND(G193="Student",K193&gt;60),1,0)=1),1,0)=1,IF(ISNUMBER(H193)=TRUE,H193=INT(H193*1)/1=FALSE),IF(ISNUMBER(K193)=TRUE,K193=INT(K193*1)/1=FALSE)),"Error","")</f>
        <v/>
      </c>
    </row>
    <row r="194" spans="2:15" s="103" customFormat="1" x14ac:dyDescent="0.25">
      <c r="B194" s="60" t="s">
        <v>368</v>
      </c>
      <c r="C194" s="94" t="s">
        <v>26</v>
      </c>
      <c r="D194" s="104" t="str">
        <f>IFERROR(IF(VLOOKUP(C194,Overview!$B$30:$E$84,2,FALSE)=0,"",VLOOKUP(C194,Overview!$B$30:$E$84,2,FALSE)),"")</f>
        <v>Osh Technological University</v>
      </c>
      <c r="E194" s="104" t="str">
        <f>IFERROR(IF(OR(VLOOKUP(C194,Overview!$B$30:$E$84,4,FALSE)="Country not found",VLOOKUP(C194,Overview!$B$30:$E$84,3,FALSE)=0),"",VLOOKUP(C194,Overview!$B$30:$E$84,3,FALSE)),"")</f>
        <v>Kyrgyzstan</v>
      </c>
      <c r="F194" s="108" t="s">
        <v>583</v>
      </c>
      <c r="G194" s="109" t="s">
        <v>520</v>
      </c>
      <c r="H194" s="110">
        <v>2</v>
      </c>
      <c r="I194" s="108" t="s">
        <v>578</v>
      </c>
      <c r="J194" s="108" t="s">
        <v>343</v>
      </c>
      <c r="K194" s="110">
        <v>3</v>
      </c>
      <c r="L194" s="111">
        <f>IF(O194="Error",0,ROUND(ROUND(H194,0)*(VLOOKUP(J194,Rates!$J$5:$K$10,2,FALSE)),2))</f>
        <v>1640</v>
      </c>
      <c r="M194" s="112">
        <f t="shared" si="10"/>
        <v>720</v>
      </c>
      <c r="N194" s="113">
        <f t="shared" si="11"/>
        <v>2360</v>
      </c>
      <c r="O194" s="102" t="str">
        <f>IF(OR(COUNTIF(Rates!$J$13:$J$17,B194)=0,COUNTIF(Overview!$B$30:$B$84,C194)=0,D194="",E194="",F194="",COUNTIF(Rates!$Y$4:$Z$4,G194)=0,ISNUMBER(H194)=FALSE,I194="",COUNTIF(Rates!$J$5:$J$10,J194)=0,ISNUMBER(K194)=FALSE,IF(OR(IF(AND(G194="Staff",K194&gt;365),1,0)=1,IF(AND(G194="Student",K194&gt;60),1,0)=1),1,0)=1,IF(ISNUMBER(H194)=TRUE,H194=INT(H194*1)/1=FALSE),IF(ISNUMBER(K194)=TRUE,K194=INT(K194*1)/1=FALSE)),"Error","")</f>
        <v/>
      </c>
    </row>
    <row r="195" spans="2:15" s="103" customFormat="1" x14ac:dyDescent="0.25">
      <c r="B195" s="60" t="s">
        <v>368</v>
      </c>
      <c r="C195" s="94" t="s">
        <v>346</v>
      </c>
      <c r="D195" s="104" t="str">
        <f>IFERROR(IF(VLOOKUP(C195,Overview!$B$30:$E$84,2,FALSE)=0,"",VLOOKUP(C195,Overview!$B$30:$E$84,2,FALSE)),"")</f>
        <v>Bishkek Business Club</v>
      </c>
      <c r="E195" s="104" t="str">
        <f>IFERROR(IF(OR(VLOOKUP(C195,Overview!$B$30:$E$84,4,FALSE)="Country not found",VLOOKUP(C195,Overview!$B$30:$E$84,3,FALSE)=0),"",VLOOKUP(C195,Overview!$B$30:$E$84,3,FALSE)),"")</f>
        <v>Kyrgyzstan</v>
      </c>
      <c r="F195" s="108" t="s">
        <v>584</v>
      </c>
      <c r="G195" s="109" t="s">
        <v>520</v>
      </c>
      <c r="H195" s="110">
        <v>2</v>
      </c>
      <c r="I195" s="108" t="s">
        <v>578</v>
      </c>
      <c r="J195" s="108" t="s">
        <v>343</v>
      </c>
      <c r="K195" s="110">
        <v>3</v>
      </c>
      <c r="L195" s="111">
        <f>IF(O195="Error",0,ROUND(ROUND(H195,0)*(VLOOKUP(J195,Rates!$J$5:$K$10,2,FALSE)),2))</f>
        <v>1640</v>
      </c>
      <c r="M195" s="112">
        <f t="shared" si="10"/>
        <v>720</v>
      </c>
      <c r="N195" s="113">
        <f t="shared" si="11"/>
        <v>2360</v>
      </c>
      <c r="O195" s="102" t="str">
        <f>IF(OR(COUNTIF(Rates!$J$13:$J$17,B195)=0,COUNTIF(Overview!$B$30:$B$84,C195)=0,D195="",E195="",F195="",COUNTIF(Rates!$Y$4:$Z$4,G195)=0,ISNUMBER(H195)=FALSE,I195="",COUNTIF(Rates!$J$5:$J$10,J195)=0,ISNUMBER(K195)=FALSE,IF(OR(IF(AND(G195="Staff",K195&gt;365),1,0)=1,IF(AND(G195="Student",K195&gt;60),1,0)=1),1,0)=1,IF(ISNUMBER(H195)=TRUE,H195=INT(H195*1)/1=FALSE),IF(ISNUMBER(K195)=TRUE,K195=INT(K195*1)/1=FALSE)),"Error","")</f>
        <v/>
      </c>
    </row>
    <row r="196" spans="2:15" s="103" customFormat="1" x14ac:dyDescent="0.25">
      <c r="B196" s="60" t="s">
        <v>368</v>
      </c>
      <c r="C196" s="94" t="s">
        <v>27</v>
      </c>
      <c r="D196" s="104" t="str">
        <f>IFERROR(IF(VLOOKUP(C196,Overview!$B$30:$E$84,2,FALSE)=0,"",VLOOKUP(C196,Overview!$B$30:$E$84,2,FALSE)),"")</f>
        <v>Ministry of Education of Kyrgyzstan</v>
      </c>
      <c r="E196" s="104" t="str">
        <f>IFERROR(IF(OR(VLOOKUP(C196,Overview!$B$30:$E$84,4,FALSE)="Country not found",VLOOKUP(C196,Overview!$B$30:$E$84,3,FALSE)=0),"",VLOOKUP(C196,Overview!$B$30:$E$84,3,FALSE)),"")</f>
        <v>Kyrgyzstan</v>
      </c>
      <c r="F196" s="108" t="s">
        <v>584</v>
      </c>
      <c r="G196" s="109" t="s">
        <v>520</v>
      </c>
      <c r="H196" s="110">
        <v>2</v>
      </c>
      <c r="I196" s="108" t="s">
        <v>578</v>
      </c>
      <c r="J196" s="108" t="s">
        <v>343</v>
      </c>
      <c r="K196" s="110">
        <v>3</v>
      </c>
      <c r="L196" s="111">
        <f>IF(O196="Error",0,ROUND(ROUND(H196,0)*(VLOOKUP(J196,Rates!$J$5:$K$10,2,FALSE)),2))</f>
        <v>1640</v>
      </c>
      <c r="M196" s="112">
        <f t="shared" si="10"/>
        <v>720</v>
      </c>
      <c r="N196" s="113">
        <f t="shared" si="11"/>
        <v>2360</v>
      </c>
      <c r="O196" s="102" t="str">
        <f>IF(OR(COUNTIF(Rates!$J$13:$J$17,B196)=0,COUNTIF(Overview!$B$30:$B$84,C196)=0,D196="",E196="",F196="",COUNTIF(Rates!$Y$4:$Z$4,G196)=0,ISNUMBER(H196)=FALSE,I196="",COUNTIF(Rates!$J$5:$J$10,J196)=0,ISNUMBER(K196)=FALSE,IF(OR(IF(AND(G196="Staff",K196&gt;365),1,0)=1,IF(AND(G196="Student",K196&gt;60),1,0)=1),1,0)=1,IF(ISNUMBER(H196)=TRUE,H196=INT(H196*1)/1=FALSE),IF(ISNUMBER(K196)=TRUE,K196=INT(K196*1)/1=FALSE)),"Error","")</f>
        <v/>
      </c>
    </row>
    <row r="197" spans="2:15" s="103" customFormat="1" x14ac:dyDescent="0.25">
      <c r="B197" s="60" t="s">
        <v>368</v>
      </c>
      <c r="C197" s="94" t="s">
        <v>28</v>
      </c>
      <c r="D197" s="104" t="str">
        <f>IFERROR(IF(VLOOKUP(C197,Overview!$B$30:$E$84,2,FALSE)=0,"",VLOOKUP(C197,Overview!$B$30:$E$84,2,FALSE)),"")</f>
        <v>Khujand State University</v>
      </c>
      <c r="E197" s="104" t="str">
        <f>IFERROR(IF(OR(VLOOKUP(C197,Overview!$B$30:$E$84,4,FALSE)="Country not found",VLOOKUP(C197,Overview!$B$30:$E$84,3,FALSE)=0),"",VLOOKUP(C197,Overview!$B$30:$E$84,3,FALSE)),"")</f>
        <v>Tajikistan</v>
      </c>
      <c r="F197" s="108" t="s">
        <v>582</v>
      </c>
      <c r="G197" s="109" t="s">
        <v>520</v>
      </c>
      <c r="H197" s="110">
        <v>2</v>
      </c>
      <c r="I197" s="108" t="s">
        <v>578</v>
      </c>
      <c r="J197" s="108" t="s">
        <v>343</v>
      </c>
      <c r="K197" s="110">
        <v>3</v>
      </c>
      <c r="L197" s="111">
        <f>IF(O197="Error",0,ROUND(ROUND(H197,0)*(VLOOKUP(J197,Rates!$J$5:$K$10,2,FALSE)),2))</f>
        <v>1640</v>
      </c>
      <c r="M197" s="112">
        <f t="shared" si="10"/>
        <v>720</v>
      </c>
      <c r="N197" s="113">
        <f t="shared" si="11"/>
        <v>2360</v>
      </c>
      <c r="O197" s="102" t="str">
        <f>IF(OR(COUNTIF(Rates!$J$13:$J$17,B197)=0,COUNTIF(Overview!$B$30:$B$84,C197)=0,D197="",E197="",F197="",COUNTIF(Rates!$Y$4:$Z$4,G197)=0,ISNUMBER(H197)=FALSE,I197="",COUNTIF(Rates!$J$5:$J$10,J197)=0,ISNUMBER(K197)=FALSE,IF(OR(IF(AND(G197="Staff",K197&gt;365),1,0)=1,IF(AND(G197="Student",K197&gt;60),1,0)=1),1,0)=1,IF(ISNUMBER(H197)=TRUE,H197=INT(H197*1)/1=FALSE),IF(ISNUMBER(K197)=TRUE,K197=INT(K197*1)/1=FALSE)),"Error","")</f>
        <v/>
      </c>
    </row>
    <row r="198" spans="2:15" s="103" customFormat="1" x14ac:dyDescent="0.25">
      <c r="B198" s="60" t="s">
        <v>368</v>
      </c>
      <c r="C198" s="94" t="s">
        <v>29</v>
      </c>
      <c r="D198" s="104" t="str">
        <f>IFERROR(IF(VLOOKUP(C198,Overview!$B$30:$E$84,2,FALSE)=0,"",VLOOKUP(C198,Overview!$B$30:$E$84,2,FALSE)),"")</f>
        <v>Khorog State University</v>
      </c>
      <c r="E198" s="104" t="str">
        <f>IFERROR(IF(OR(VLOOKUP(C198,Overview!$B$30:$E$84,4,FALSE)="Country not found",VLOOKUP(C198,Overview!$B$30:$E$84,3,FALSE)=0),"",VLOOKUP(C198,Overview!$B$30:$E$84,3,FALSE)),"")</f>
        <v>Tajikistan</v>
      </c>
      <c r="F198" s="108" t="s">
        <v>581</v>
      </c>
      <c r="G198" s="109" t="s">
        <v>520</v>
      </c>
      <c r="H198" s="110">
        <v>2</v>
      </c>
      <c r="I198" s="108" t="s">
        <v>578</v>
      </c>
      <c r="J198" s="108" t="s">
        <v>343</v>
      </c>
      <c r="K198" s="110">
        <v>3</v>
      </c>
      <c r="L198" s="111">
        <f>IF(O198="Error",0,ROUND(ROUND(H198,0)*(VLOOKUP(J198,Rates!$J$5:$K$10,2,FALSE)),2))</f>
        <v>1640</v>
      </c>
      <c r="M198" s="112">
        <f t="shared" si="10"/>
        <v>720</v>
      </c>
      <c r="N198" s="113">
        <f t="shared" si="11"/>
        <v>2360</v>
      </c>
      <c r="O198" s="102" t="str">
        <f>IF(OR(COUNTIF(Rates!$J$13:$J$17,B198)=0,COUNTIF(Overview!$B$30:$B$84,C198)=0,D198="",E198="",F198="",COUNTIF(Rates!$Y$4:$Z$4,G198)=0,ISNUMBER(H198)=FALSE,I198="",COUNTIF(Rates!$J$5:$J$10,J198)=0,ISNUMBER(K198)=FALSE,IF(OR(IF(AND(G198="Staff",K198&gt;365),1,0)=1,IF(AND(G198="Student",K198&gt;60),1,0)=1),1,0)=1,IF(ISNUMBER(H198)=TRUE,H198=INT(H198*1)/1=FALSE),IF(ISNUMBER(K198)=TRUE,K198=INT(K198*1)/1=FALSE)),"Error","")</f>
        <v/>
      </c>
    </row>
    <row r="199" spans="2:15" s="103" customFormat="1" x14ac:dyDescent="0.25">
      <c r="B199" s="60" t="s">
        <v>368</v>
      </c>
      <c r="C199" s="94" t="s">
        <v>30</v>
      </c>
      <c r="D199" s="104" t="str">
        <f>IFERROR(IF(VLOOKUP(C199,Overview!$B$30:$E$84,2,FALSE)=0,"",VLOOKUP(C199,Overview!$B$30:$E$84,2,FALSE)),"")</f>
        <v>Tajik Pedagogical University</v>
      </c>
      <c r="E199" s="104" t="str">
        <f>IFERROR(IF(OR(VLOOKUP(C199,Overview!$B$30:$E$84,4,FALSE)="Country not found",VLOOKUP(C199,Overview!$B$30:$E$84,3,FALSE)=0),"",VLOOKUP(C199,Overview!$B$30:$E$84,3,FALSE)),"")</f>
        <v>Tajikistan</v>
      </c>
      <c r="F199" s="108" t="s">
        <v>585</v>
      </c>
      <c r="G199" s="109" t="s">
        <v>520</v>
      </c>
      <c r="H199" s="110">
        <v>2</v>
      </c>
      <c r="I199" s="108" t="s">
        <v>578</v>
      </c>
      <c r="J199" s="108" t="s">
        <v>343</v>
      </c>
      <c r="K199" s="110">
        <v>3</v>
      </c>
      <c r="L199" s="111">
        <f>IF(O199="Error",0,ROUND(ROUND(H199,0)*(VLOOKUP(J199,Rates!$J$5:$K$10,2,FALSE)),2))</f>
        <v>1640</v>
      </c>
      <c r="M199" s="112">
        <f t="shared" si="10"/>
        <v>720</v>
      </c>
      <c r="N199" s="113">
        <f t="shared" si="11"/>
        <v>2360</v>
      </c>
      <c r="O199" s="102" t="str">
        <f>IF(OR(COUNTIF(Rates!$J$13:$J$17,B199)=0,COUNTIF(Overview!$B$30:$B$84,C199)=0,D199="",E199="",F199="",COUNTIF(Rates!$Y$4:$Z$4,G199)=0,ISNUMBER(H199)=FALSE,I199="",COUNTIF(Rates!$J$5:$J$10,J199)=0,ISNUMBER(K199)=FALSE,IF(OR(IF(AND(G199="Staff",K199&gt;365),1,0)=1,IF(AND(G199="Student",K199&gt;60),1,0)=1),1,0)=1,IF(ISNUMBER(H199)=TRUE,H199=INT(H199*1)/1=FALSE),IF(ISNUMBER(K199)=TRUE,K199=INT(K199*1)/1=FALSE)),"Error","")</f>
        <v/>
      </c>
    </row>
    <row r="200" spans="2:15" s="103" customFormat="1" x14ac:dyDescent="0.25">
      <c r="B200" s="60" t="s">
        <v>368</v>
      </c>
      <c r="C200" s="94" t="s">
        <v>31</v>
      </c>
      <c r="D200" s="104" t="str">
        <f>IFERROR(IF(VLOOKUP(C200,Overview!$B$30:$E$84,2,FALSE)=0,"",VLOOKUP(C200,Overview!$B$30:$E$84,2,FALSE)),"")</f>
        <v>Center of development and support of VET education</v>
      </c>
      <c r="E200" s="104" t="str">
        <f>IFERROR(IF(OR(VLOOKUP(C200,Overview!$B$30:$E$84,4,FALSE)="Country not found",VLOOKUP(C200,Overview!$B$30:$E$84,3,FALSE)=0),"",VLOOKUP(C200,Overview!$B$30:$E$84,3,FALSE)),"")</f>
        <v>Tajikistan</v>
      </c>
      <c r="F200" s="108" t="s">
        <v>582</v>
      </c>
      <c r="G200" s="109" t="s">
        <v>520</v>
      </c>
      <c r="H200" s="110">
        <v>2</v>
      </c>
      <c r="I200" s="108" t="s">
        <v>578</v>
      </c>
      <c r="J200" s="108" t="s">
        <v>343</v>
      </c>
      <c r="K200" s="110">
        <v>3</v>
      </c>
      <c r="L200" s="111">
        <f>IF(O200="Error",0,ROUND(ROUND(H200,0)*(VLOOKUP(J200,Rates!$J$5:$K$10,2,FALSE)),2))</f>
        <v>1640</v>
      </c>
      <c r="M200" s="112">
        <f t="shared" si="10"/>
        <v>720</v>
      </c>
      <c r="N200" s="113">
        <f t="shared" si="11"/>
        <v>2360</v>
      </c>
      <c r="O200" s="102" t="str">
        <f>IF(OR(COUNTIF(Rates!$J$13:$J$17,B200)=0,COUNTIF(Overview!$B$30:$B$84,C200)=0,D200="",E200="",F200="",COUNTIF(Rates!$Y$4:$Z$4,G200)=0,ISNUMBER(H200)=FALSE,I200="",COUNTIF(Rates!$J$5:$J$10,J200)=0,ISNUMBER(K200)=FALSE,IF(OR(IF(AND(G200="Staff",K200&gt;365),1,0)=1,IF(AND(G200="Student",K200&gt;60),1,0)=1),1,0)=1,IF(ISNUMBER(H200)=TRUE,H200=INT(H200*1)/1=FALSE),IF(ISNUMBER(K200)=TRUE,K200=INT(K200*1)/1=FALSE)),"Error","")</f>
        <v/>
      </c>
    </row>
    <row r="201" spans="2:15" s="103" customFormat="1" x14ac:dyDescent="0.25">
      <c r="B201" s="60" t="s">
        <v>368</v>
      </c>
      <c r="C201" s="94" t="s">
        <v>32</v>
      </c>
      <c r="D201" s="104" t="str">
        <f>IFERROR(IF(VLOOKUP(C201,Overview!$B$30:$E$84,2,FALSE)=0,"",VLOOKUP(C201,Overview!$B$30:$E$84,2,FALSE)),"")</f>
        <v>Ministry of Education of Tajikistan</v>
      </c>
      <c r="E201" s="104" t="str">
        <f>IFERROR(IF(OR(VLOOKUP(C201,Overview!$B$30:$E$84,4,FALSE)="Country not found",VLOOKUP(C201,Overview!$B$30:$E$84,3,FALSE)=0),"",VLOOKUP(C201,Overview!$B$30:$E$84,3,FALSE)),"")</f>
        <v>Tajikistan</v>
      </c>
      <c r="F201" s="108" t="s">
        <v>585</v>
      </c>
      <c r="G201" s="109" t="s">
        <v>520</v>
      </c>
      <c r="H201" s="110">
        <v>2</v>
      </c>
      <c r="I201" s="108" t="s">
        <v>578</v>
      </c>
      <c r="J201" s="108" t="s">
        <v>343</v>
      </c>
      <c r="K201" s="110">
        <v>3</v>
      </c>
      <c r="L201" s="111">
        <f>IF(O201="Error",0,ROUND(ROUND(H201,0)*(VLOOKUP(J201,Rates!$J$5:$K$10,2,FALSE)),2))</f>
        <v>1640</v>
      </c>
      <c r="M201" s="112">
        <f t="shared" si="10"/>
        <v>720</v>
      </c>
      <c r="N201" s="113">
        <f t="shared" si="11"/>
        <v>2360</v>
      </c>
      <c r="O201" s="102" t="str">
        <f>IF(OR(COUNTIF(Rates!$J$13:$J$17,B201)=0,COUNTIF(Overview!$B$30:$B$84,C201)=0,D201="",E201="",F201="",COUNTIF(Rates!$Y$4:$Z$4,G201)=0,ISNUMBER(H201)=FALSE,I201="",COUNTIF(Rates!$J$5:$J$10,J201)=0,ISNUMBER(K201)=FALSE,IF(OR(IF(AND(G201="Staff",K201&gt;365),1,0)=1,IF(AND(G201="Student",K201&gt;60),1,0)=1),1,0)=1,IF(ISNUMBER(H201)=TRUE,H201=INT(H201*1)/1=FALSE),IF(ISNUMBER(K201)=TRUE,K201=INT(K201*1)/1=FALSE)),"Error","")</f>
        <v/>
      </c>
    </row>
    <row r="202" spans="2:15" s="103" customFormat="1" x14ac:dyDescent="0.25">
      <c r="B202" s="60" t="s">
        <v>368</v>
      </c>
      <c r="C202" s="94" t="s">
        <v>33</v>
      </c>
      <c r="D202" s="104" t="str">
        <f>IFERROR(IF(VLOOKUP(C202,Overview!$B$30:$E$84,2,FALSE)=0,"",VLOOKUP(C202,Overview!$B$30:$E$84,2,FALSE)),"")</f>
        <v>KIMEP University, JSC</v>
      </c>
      <c r="E202" s="104" t="str">
        <f>IFERROR(IF(OR(VLOOKUP(C202,Overview!$B$30:$E$84,4,FALSE)="Country not found",VLOOKUP(C202,Overview!$B$30:$E$84,3,FALSE)=0),"",VLOOKUP(C202,Overview!$B$30:$E$84,3,FALSE)),"")</f>
        <v>Kazakhstan</v>
      </c>
      <c r="F202" s="108" t="s">
        <v>580</v>
      </c>
      <c r="G202" s="109" t="s">
        <v>520</v>
      </c>
      <c r="H202" s="110">
        <v>2</v>
      </c>
      <c r="I202" s="108" t="s">
        <v>578</v>
      </c>
      <c r="J202" s="108" t="s">
        <v>343</v>
      </c>
      <c r="K202" s="110">
        <v>3</v>
      </c>
      <c r="L202" s="111">
        <f>IF(O202="Error",0,ROUND(ROUND(H202,0)*(VLOOKUP(J202,Rates!$J$5:$K$10,2,FALSE)),2))</f>
        <v>1640</v>
      </c>
      <c r="M202" s="112">
        <f t="shared" si="10"/>
        <v>720</v>
      </c>
      <c r="N202" s="113">
        <f t="shared" si="11"/>
        <v>2360</v>
      </c>
      <c r="O202" s="102" t="str">
        <f>IF(OR(COUNTIF(Rates!$J$13:$J$17,B202)=0,COUNTIF(Overview!$B$30:$B$84,C202)=0,D202="",E202="",F202="",COUNTIF(Rates!$Y$4:$Z$4,G202)=0,ISNUMBER(H202)=FALSE,I202="",COUNTIF(Rates!$J$5:$J$10,J202)=0,ISNUMBER(K202)=FALSE,IF(OR(IF(AND(G202="Staff",K202&gt;365),1,0)=1,IF(AND(G202="Student",K202&gt;60),1,0)=1),1,0)=1,IF(ISNUMBER(H202)=TRUE,H202=INT(H202*1)/1=FALSE),IF(ISNUMBER(K202)=TRUE,K202=INT(K202*1)/1=FALSE)),"Error","")</f>
        <v/>
      </c>
    </row>
    <row r="203" spans="2:15" s="103" customFormat="1" x14ac:dyDescent="0.25">
      <c r="B203" s="60" t="s">
        <v>368</v>
      </c>
      <c r="C203" s="94" t="s">
        <v>126</v>
      </c>
      <c r="D203" s="104" t="str">
        <f>IFERROR(IF(VLOOKUP(C203,Overview!$B$30:$E$84,2,FALSE)=0,"",VLOOKUP(C203,Overview!$B$30:$E$84,2,FALSE)),"")</f>
        <v>Al-Farabi Kazakhstan National University</v>
      </c>
      <c r="E203" s="104" t="str">
        <f>IFERROR(IF(OR(VLOOKUP(C203,Overview!$B$30:$E$84,4,FALSE)="Country not found",VLOOKUP(C203,Overview!$B$30:$E$84,3,FALSE)=0),"",VLOOKUP(C203,Overview!$B$30:$E$84,3,FALSE)),"")</f>
        <v>Kazakhstan</v>
      </c>
      <c r="F203" s="108" t="s">
        <v>580</v>
      </c>
      <c r="G203" s="109" t="s">
        <v>520</v>
      </c>
      <c r="H203" s="110">
        <v>2</v>
      </c>
      <c r="I203" s="108" t="s">
        <v>578</v>
      </c>
      <c r="J203" s="108" t="s">
        <v>343</v>
      </c>
      <c r="K203" s="110">
        <v>3</v>
      </c>
      <c r="L203" s="111">
        <f>IF(O203="Error",0,ROUND(ROUND(H203,0)*(VLOOKUP(J203,Rates!$J$5:$K$10,2,FALSE)),2))</f>
        <v>1640</v>
      </c>
      <c r="M203" s="112">
        <f t="shared" si="10"/>
        <v>720</v>
      </c>
      <c r="N203" s="113">
        <f t="shared" si="11"/>
        <v>2360</v>
      </c>
      <c r="O203" s="102" t="str">
        <f>IF(OR(COUNTIF(Rates!$J$13:$J$17,B203)=0,COUNTIF(Overview!$B$30:$B$84,C203)=0,D203="",E203="",F203="",COUNTIF(Rates!$Y$4:$Z$4,G203)=0,ISNUMBER(H203)=FALSE,I203="",COUNTIF(Rates!$J$5:$J$10,J203)=0,ISNUMBER(K203)=FALSE,IF(OR(IF(AND(G203="Staff",K203&gt;365),1,0)=1,IF(AND(G203="Student",K203&gt;60),1,0)=1),1,0)=1,IF(ISNUMBER(H203)=TRUE,H203=INT(H203*1)/1=FALSE),IF(ISNUMBER(K203)=TRUE,K203=INT(K203*1)/1=FALSE)),"Error","")</f>
        <v/>
      </c>
    </row>
    <row r="204" spans="2:15" s="103" customFormat="1" x14ac:dyDescent="0.25">
      <c r="B204" s="60" t="s">
        <v>368</v>
      </c>
      <c r="C204" s="94" t="s">
        <v>127</v>
      </c>
      <c r="D204" s="104" t="str">
        <f>IFERROR(IF(VLOOKUP(C204,Overview!$B$30:$E$84,2,FALSE)=0,"",VLOOKUP(C204,Overview!$B$30:$E$84,2,FALSE)),"")</f>
        <v>Kazakhstan National Technical University</v>
      </c>
      <c r="E204" s="104" t="str">
        <f>IFERROR(IF(OR(VLOOKUP(C204,Overview!$B$30:$E$84,4,FALSE)="Country not found",VLOOKUP(C204,Overview!$B$30:$E$84,3,FALSE)=0),"",VLOOKUP(C204,Overview!$B$30:$E$84,3,FALSE)),"")</f>
        <v>Kazakhstan</v>
      </c>
      <c r="F204" s="108" t="s">
        <v>580</v>
      </c>
      <c r="G204" s="109" t="s">
        <v>520</v>
      </c>
      <c r="H204" s="110">
        <v>2</v>
      </c>
      <c r="I204" s="108" t="s">
        <v>578</v>
      </c>
      <c r="J204" s="108" t="s">
        <v>343</v>
      </c>
      <c r="K204" s="110">
        <v>3</v>
      </c>
      <c r="L204" s="111">
        <f>IF(O204="Error",0,ROUND(ROUND(H204,0)*(VLOOKUP(J204,Rates!$J$5:$K$10,2,FALSE)),2))</f>
        <v>1640</v>
      </c>
      <c r="M204" s="112">
        <f t="shared" si="10"/>
        <v>720</v>
      </c>
      <c r="N204" s="113">
        <f t="shared" si="11"/>
        <v>2360</v>
      </c>
      <c r="O204" s="102" t="str">
        <f>IF(OR(COUNTIF(Rates!$J$13:$J$17,B204)=0,COUNTIF(Overview!$B$30:$B$84,C204)=0,D204="",E204="",F204="",COUNTIF(Rates!$Y$4:$Z$4,G204)=0,ISNUMBER(H204)=FALSE,I204="",COUNTIF(Rates!$J$5:$J$10,J204)=0,ISNUMBER(K204)=FALSE,IF(OR(IF(AND(G204="Staff",K204&gt;365),1,0)=1,IF(AND(G204="Student",K204&gt;60),1,0)=1),1,0)=1,IF(ISNUMBER(H204)=TRUE,H204=INT(H204*1)/1=FALSE),IF(ISNUMBER(K204)=TRUE,K204=INT(K204*1)/1=FALSE)),"Error","")</f>
        <v/>
      </c>
    </row>
    <row r="205" spans="2:15" s="103" customFormat="1" x14ac:dyDescent="0.25">
      <c r="B205" s="60" t="s">
        <v>368</v>
      </c>
      <c r="C205" s="94" t="s">
        <v>128</v>
      </c>
      <c r="D205" s="104" t="str">
        <f>IFERROR(IF(VLOOKUP(C205,Overview!$B$30:$E$84,2,FALSE)=0,"",VLOOKUP(C205,Overview!$B$30:$E$84,2,FALSE)),"")</f>
        <v xml:space="preserve">Zhezkazgan Baikonurov University </v>
      </c>
      <c r="E205" s="104" t="str">
        <f>IFERROR(IF(OR(VLOOKUP(C205,Overview!$B$30:$E$84,4,FALSE)="Country not found",VLOOKUP(C205,Overview!$B$30:$E$84,3,FALSE)=0),"",VLOOKUP(C205,Overview!$B$30:$E$84,3,FALSE)),"")</f>
        <v>Kazakhstan</v>
      </c>
      <c r="F205" s="108" t="s">
        <v>600</v>
      </c>
      <c r="G205" s="109" t="s">
        <v>520</v>
      </c>
      <c r="H205" s="110">
        <v>2</v>
      </c>
      <c r="I205" s="108" t="s">
        <v>578</v>
      </c>
      <c r="J205" s="108" t="s">
        <v>343</v>
      </c>
      <c r="K205" s="110">
        <v>3</v>
      </c>
      <c r="L205" s="111">
        <f>IF(O205="Error",0,ROUND(ROUND(H205,0)*(VLOOKUP(J205,Rates!$J$5:$K$10,2,FALSE)),2))</f>
        <v>1640</v>
      </c>
      <c r="M205" s="112">
        <f t="shared" si="10"/>
        <v>720</v>
      </c>
      <c r="N205" s="113">
        <f t="shared" si="11"/>
        <v>2360</v>
      </c>
      <c r="O205" s="102" t="str">
        <f>IF(OR(COUNTIF(Rates!$J$13:$J$17,B205)=0,COUNTIF(Overview!$B$30:$B$84,C205)=0,D205="",E205="",F205="",COUNTIF(Rates!$Y$4:$Z$4,G205)=0,ISNUMBER(H205)=FALSE,I205="",COUNTIF(Rates!$J$5:$J$10,J205)=0,ISNUMBER(K205)=FALSE,IF(OR(IF(AND(G205="Staff",K205&gt;365),1,0)=1,IF(AND(G205="Student",K205&gt;60),1,0)=1),1,0)=1,IF(ISNUMBER(H205)=TRUE,H205=INT(H205*1)/1=FALSE),IF(ISNUMBER(K205)=TRUE,K205=INT(K205*1)/1=FALSE)),"Error","")</f>
        <v/>
      </c>
    </row>
    <row r="206" spans="2:15" s="103" customFormat="1" x14ac:dyDescent="0.25">
      <c r="B206" s="60" t="s">
        <v>368</v>
      </c>
      <c r="C206" s="94" t="s">
        <v>129</v>
      </c>
      <c r="D206" s="104" t="str">
        <f>IFERROR(IF(VLOOKUP(C206,Overview!$B$30:$E$84,2,FALSE)=0,"",VLOOKUP(C206,Overview!$B$30:$E$84,2,FALSE)),"")</f>
        <v xml:space="preserve">Altynsarin National Academy of Education </v>
      </c>
      <c r="E206" s="104" t="str">
        <f>IFERROR(IF(OR(VLOOKUP(C206,Overview!$B$30:$E$84,4,FALSE)="Country not found",VLOOKUP(C206,Overview!$B$30:$E$84,3,FALSE)=0),"",VLOOKUP(C206,Overview!$B$30:$E$84,3,FALSE)),"")</f>
        <v>Kazakhstan</v>
      </c>
      <c r="F206" s="108" t="s">
        <v>586</v>
      </c>
      <c r="G206" s="109" t="s">
        <v>520</v>
      </c>
      <c r="H206" s="110">
        <v>2</v>
      </c>
      <c r="I206" s="108" t="s">
        <v>578</v>
      </c>
      <c r="J206" s="108" t="s">
        <v>343</v>
      </c>
      <c r="K206" s="110">
        <v>3</v>
      </c>
      <c r="L206" s="111">
        <f>IF(O206="Error",0,ROUND(ROUND(H206,0)*(VLOOKUP(J206,Rates!$J$5:$K$10,2,FALSE)),2))</f>
        <v>1640</v>
      </c>
      <c r="M206" s="112">
        <f t="shared" si="10"/>
        <v>720</v>
      </c>
      <c r="N206" s="113">
        <f t="shared" si="11"/>
        <v>2360</v>
      </c>
      <c r="O206" s="102" t="str">
        <f>IF(OR(COUNTIF(Rates!$J$13:$J$17,B206)=0,COUNTIF(Overview!$B$30:$B$84,C206)=0,D206="",E206="",F206="",COUNTIF(Rates!$Y$4:$Z$4,G206)=0,ISNUMBER(H206)=FALSE,I206="",COUNTIF(Rates!$J$5:$J$10,J206)=0,ISNUMBER(K206)=FALSE,IF(OR(IF(AND(G206="Staff",K206&gt;365),1,0)=1,IF(AND(G206="Student",K206&gt;60),1,0)=1),1,0)=1,IF(ISNUMBER(H206)=TRUE,H206=INT(H206*1)/1=FALSE),IF(ISNUMBER(K206)=TRUE,K206=INT(K206*1)/1=FALSE)),"Error","")</f>
        <v/>
      </c>
    </row>
    <row r="207" spans="2:15" s="103" customFormat="1" x14ac:dyDescent="0.25">
      <c r="B207" s="60" t="s">
        <v>368</v>
      </c>
      <c r="C207" s="94" t="s">
        <v>130</v>
      </c>
      <c r="D207" s="104" t="str">
        <f>IFERROR(IF(VLOOKUP(C207,Overview!$B$30:$E$84,2,FALSE)=0,"",VLOOKUP(C207,Overview!$B$30:$E$84,2,FALSE)),"")</f>
        <v>Ministry of Education and Science of Kazakhstan</v>
      </c>
      <c r="E207" s="104" t="str">
        <f>IFERROR(IF(OR(VLOOKUP(C207,Overview!$B$30:$E$84,4,FALSE)="Country not found",VLOOKUP(C207,Overview!$B$30:$E$84,3,FALSE)=0),"",VLOOKUP(C207,Overview!$B$30:$E$84,3,FALSE)),"")</f>
        <v>Kazakhstan</v>
      </c>
      <c r="F207" s="108" t="s">
        <v>586</v>
      </c>
      <c r="G207" s="109" t="s">
        <v>520</v>
      </c>
      <c r="H207" s="110">
        <v>2</v>
      </c>
      <c r="I207" s="108" t="s">
        <v>578</v>
      </c>
      <c r="J207" s="108" t="s">
        <v>343</v>
      </c>
      <c r="K207" s="110">
        <v>3</v>
      </c>
      <c r="L207" s="111">
        <f>IF(O207="Error",0,ROUND(ROUND(H207,0)*(VLOOKUP(J207,Rates!$J$5:$K$10,2,FALSE)),2))</f>
        <v>1640</v>
      </c>
      <c r="M207" s="112">
        <f t="shared" si="10"/>
        <v>720</v>
      </c>
      <c r="N207" s="113">
        <f t="shared" si="11"/>
        <v>2360</v>
      </c>
      <c r="O207" s="102" t="str">
        <f>IF(OR(COUNTIF(Rates!$J$13:$J$17,B207)=0,COUNTIF(Overview!$B$30:$B$84,C207)=0,D207="",E207="",F207="",COUNTIF(Rates!$Y$4:$Z$4,G207)=0,ISNUMBER(H207)=FALSE,I207="",COUNTIF(Rates!$J$5:$J$10,J207)=0,ISNUMBER(K207)=FALSE,IF(OR(IF(AND(G207="Staff",K207&gt;365),1,0)=1,IF(AND(G207="Student",K207&gt;60),1,0)=1),1,0)=1,IF(ISNUMBER(H207)=TRUE,H207=INT(H207*1)/1=FALSE),IF(ISNUMBER(K207)=TRUE,K207=INT(K207*1)/1=FALSE)),"Error","")</f>
        <v/>
      </c>
    </row>
    <row r="208" spans="2:15" s="103" customFormat="1" x14ac:dyDescent="0.25">
      <c r="B208" s="60" t="s">
        <v>368</v>
      </c>
      <c r="C208" s="94" t="s">
        <v>16</v>
      </c>
      <c r="D208" s="104" t="str">
        <f>IFERROR(IF(VLOOKUP(C208,Overview!$B$30:$E$84,2,FALSE)=0,"",VLOOKUP(C208,Overview!$B$30:$E$84,2,FALSE)),"")</f>
        <v>Bath Spa University</v>
      </c>
      <c r="E208" s="104" t="str">
        <f>IFERROR(IF(OR(VLOOKUP(C208,Overview!$B$30:$E$84,4,FALSE)="Country not found",VLOOKUP(C208,Overview!$B$30:$E$84,3,FALSE)=0),"",VLOOKUP(C208,Overview!$B$30:$E$84,3,FALSE)),"")</f>
        <v>United Kingdom</v>
      </c>
      <c r="F208" s="108" t="s">
        <v>597</v>
      </c>
      <c r="G208" s="109" t="s">
        <v>520</v>
      </c>
      <c r="H208" s="110">
        <v>2</v>
      </c>
      <c r="I208" s="108" t="s">
        <v>576</v>
      </c>
      <c r="J208" s="108" t="s">
        <v>338</v>
      </c>
      <c r="K208" s="110">
        <v>3</v>
      </c>
      <c r="L208" s="111">
        <f>IF(O208="Error",0,ROUND(ROUND(H208,0)*(VLOOKUP(J208,Rates!$J$5:$K$10,2,FALSE)),2))</f>
        <v>550</v>
      </c>
      <c r="M208" s="112">
        <f t="shared" si="10"/>
        <v>720</v>
      </c>
      <c r="N208" s="113">
        <f t="shared" si="11"/>
        <v>1270</v>
      </c>
      <c r="O208" s="102" t="str">
        <f>IF(OR(COUNTIF(Rates!$J$13:$J$17,B208)=0,COUNTIF(Overview!$B$30:$B$84,C208)=0,D208="",E208="",F208="",COUNTIF(Rates!$Y$4:$Z$4,G208)=0,ISNUMBER(H208)=FALSE,I208="",COUNTIF(Rates!$J$5:$J$10,J208)=0,ISNUMBER(K208)=FALSE,IF(OR(IF(AND(G208="Staff",K208&gt;365),1,0)=1,IF(AND(G208="Student",K208&gt;60),1,0)=1),1,0)=1,IF(ISNUMBER(H208)=TRUE,H208=INT(H208*1)/1=FALSE),IF(ISNUMBER(K208)=TRUE,K208=INT(K208*1)/1=FALSE)),"Error","")</f>
        <v/>
      </c>
    </row>
    <row r="209" spans="2:15" s="103" customFormat="1" x14ac:dyDescent="0.25">
      <c r="B209" s="60" t="s">
        <v>368</v>
      </c>
      <c r="C209" s="94" t="s">
        <v>17</v>
      </c>
      <c r="D209" s="104" t="str">
        <f>IFERROR(IF(VLOOKUP(C209,Overview!$B$30:$E$84,2,FALSE)=0,"",VLOOKUP(C209,Overview!$B$30:$E$84,2,FALSE)),"")</f>
        <v>Wroclaw Technical University</v>
      </c>
      <c r="E209" s="104" t="str">
        <f>IFERROR(IF(OR(VLOOKUP(C209,Overview!$B$30:$E$84,4,FALSE)="Country not found",VLOOKUP(C209,Overview!$B$30:$E$84,3,FALSE)=0),"",VLOOKUP(C209,Overview!$B$30:$E$84,3,FALSE)),"")</f>
        <v>Poland</v>
      </c>
      <c r="F209" s="108" t="s">
        <v>577</v>
      </c>
      <c r="G209" s="109" t="s">
        <v>520</v>
      </c>
      <c r="H209" s="110">
        <v>2</v>
      </c>
      <c r="I209" s="108" t="s">
        <v>576</v>
      </c>
      <c r="J209" s="108" t="s">
        <v>338</v>
      </c>
      <c r="K209" s="110">
        <v>3</v>
      </c>
      <c r="L209" s="111">
        <f>IF(O209="Error",0,ROUND(ROUND(H209,0)*(VLOOKUP(J209,Rates!$J$5:$K$10,2,FALSE)),2))</f>
        <v>550</v>
      </c>
      <c r="M209" s="112">
        <f t="shared" si="10"/>
        <v>720</v>
      </c>
      <c r="N209" s="113">
        <f t="shared" si="11"/>
        <v>1270</v>
      </c>
      <c r="O209" s="102" t="str">
        <f>IF(OR(COUNTIF(Rates!$J$13:$J$17,B209)=0,COUNTIF(Overview!$B$30:$B$84,C209)=0,D209="",E209="",F209="",COUNTIF(Rates!$Y$4:$Z$4,G209)=0,ISNUMBER(H209)=FALSE,I209="",COUNTIF(Rates!$J$5:$J$10,J209)=0,ISNUMBER(K209)=FALSE,IF(OR(IF(AND(G209="Staff",K209&gt;365),1,0)=1,IF(AND(G209="Student",K209&gt;60),1,0)=1),1,0)=1,IF(ISNUMBER(H209)=TRUE,H209=INT(H209*1)/1=FALSE),IF(ISNUMBER(K209)=TRUE,K209=INT(K209*1)/1=FALSE)),"Error","")</f>
        <v/>
      </c>
    </row>
    <row r="210" spans="2:15" s="103" customFormat="1" x14ac:dyDescent="0.25">
      <c r="B210" s="60" t="s">
        <v>368</v>
      </c>
      <c r="C210" s="94" t="s">
        <v>18</v>
      </c>
      <c r="D210" s="104" t="str">
        <f>IFERROR(IF(VLOOKUP(C210,Overview!$B$30:$E$84,2,FALSE)=0,"",VLOOKUP(C210,Overview!$B$30:$E$84,2,FALSE)),"")</f>
        <v>Koblenz-Landau University</v>
      </c>
      <c r="E210" s="104" t="str">
        <f>IFERROR(IF(OR(VLOOKUP(C210,Overview!$B$30:$E$84,4,FALSE)="Country not found",VLOOKUP(C210,Overview!$B$30:$E$84,3,FALSE)=0),"",VLOOKUP(C210,Overview!$B$30:$E$84,3,FALSE)),"")</f>
        <v>Germany</v>
      </c>
      <c r="F210" s="108" t="s">
        <v>578</v>
      </c>
      <c r="G210" s="109" t="s">
        <v>520</v>
      </c>
      <c r="H210" s="110">
        <v>2</v>
      </c>
      <c r="I210" s="108" t="s">
        <v>576</v>
      </c>
      <c r="J210" s="108" t="s">
        <v>338</v>
      </c>
      <c r="K210" s="110">
        <v>3</v>
      </c>
      <c r="L210" s="111">
        <f>IF(O210="Error",0,ROUND(ROUND(H210,0)*(VLOOKUP(J210,Rates!$J$5:$K$10,2,FALSE)),2))</f>
        <v>550</v>
      </c>
      <c r="M210" s="112">
        <f t="shared" ref="M210:M231" si="12">IF(O210="Error",0,ROUND(ROUND(H210,0)*INDEX(CostRates,MATCH(ROUND(K210,0),CostDays,0),MATCH(G210,CostCat,0)),2))</f>
        <v>720</v>
      </c>
      <c r="N210" s="113">
        <f t="shared" si="11"/>
        <v>1270</v>
      </c>
      <c r="O210" s="102" t="str">
        <f>IF(OR(COUNTIF(Rates!$J$13:$J$17,B210)=0,COUNTIF(Overview!$B$30:$B$84,C210)=0,D210="",E210="",F210="",COUNTIF(Rates!$Y$4:$Z$4,G210)=0,ISNUMBER(H210)=FALSE,I210="",COUNTIF(Rates!$J$5:$J$10,J210)=0,ISNUMBER(K210)=FALSE,IF(OR(IF(AND(G210="Staff",K210&gt;365),1,0)=1,IF(AND(G210="Student",K210&gt;60),1,0)=1),1,0)=1,IF(ISNUMBER(H210)=TRUE,H210=INT(H210*1)/1=FALSE),IF(ISNUMBER(K210)=TRUE,K210=INT(K210*1)/1=FALSE)),"Error","")</f>
        <v/>
      </c>
    </row>
    <row r="211" spans="2:15" s="103" customFormat="1" x14ac:dyDescent="0.25">
      <c r="B211" s="60" t="s">
        <v>368</v>
      </c>
      <c r="C211" s="94" t="s">
        <v>19</v>
      </c>
      <c r="D211" s="104" t="str">
        <f>IFERROR(IF(VLOOKUP(C211,Overview!$B$30:$E$84,2,FALSE)=0,"",VLOOKUP(C211,Overview!$B$30:$E$84,2,FALSE)),"")</f>
        <v>The Network University</v>
      </c>
      <c r="E211" s="104" t="str">
        <f>IFERROR(IF(OR(VLOOKUP(C211,Overview!$B$30:$E$84,4,FALSE)="Country not found",VLOOKUP(C211,Overview!$B$30:$E$84,3,FALSE)=0),"",VLOOKUP(C211,Overview!$B$30:$E$84,3,FALSE)),"")</f>
        <v>Netherlands</v>
      </c>
      <c r="F211" s="108" t="s">
        <v>587</v>
      </c>
      <c r="G211" s="109" t="s">
        <v>520</v>
      </c>
      <c r="H211" s="110">
        <v>2</v>
      </c>
      <c r="I211" s="108" t="s">
        <v>576</v>
      </c>
      <c r="J211" s="108" t="s">
        <v>339</v>
      </c>
      <c r="K211" s="110">
        <v>3</v>
      </c>
      <c r="L211" s="111">
        <f>IF(O211="Error",0,ROUND(ROUND(H211,0)*(VLOOKUP(J211,Rates!$J$5:$K$10,2,FALSE)),2))</f>
        <v>720</v>
      </c>
      <c r="M211" s="112">
        <f t="shared" si="12"/>
        <v>720</v>
      </c>
      <c r="N211" s="113">
        <f t="shared" si="11"/>
        <v>1440</v>
      </c>
      <c r="O211" s="102" t="str">
        <f>IF(OR(COUNTIF(Rates!$J$13:$J$17,B211)=0,COUNTIF(Overview!$B$30:$B$84,C211)=0,D211="",E211="",F211="",COUNTIF(Rates!$Y$4:$Z$4,G211)=0,ISNUMBER(H211)=FALSE,I211="",COUNTIF(Rates!$J$5:$J$10,J211)=0,ISNUMBER(K211)=FALSE,IF(OR(IF(AND(G211="Staff",K211&gt;365),1,0)=1,IF(AND(G211="Student",K211&gt;60),1,0)=1),1,0)=1,IF(ISNUMBER(H211)=TRUE,H211=INT(H211*1)/1=FALSE),IF(ISNUMBER(K211)=TRUE,K211=INT(K211*1)/1=FALSE)),"Error","")</f>
        <v/>
      </c>
    </row>
    <row r="212" spans="2:15" s="103" customFormat="1" x14ac:dyDescent="0.25">
      <c r="B212" s="60" t="s">
        <v>368</v>
      </c>
      <c r="C212" s="94" t="s">
        <v>20</v>
      </c>
      <c r="D212" s="104" t="str">
        <f>IFERROR(IF(VLOOKUP(C212,Overview!$B$30:$E$84,2,FALSE)=0,"",VLOOKUP(C212,Overview!$B$30:$E$84,2,FALSE)),"")</f>
        <v>Tashkent State Technical University</v>
      </c>
      <c r="E212" s="104" t="str">
        <f>IFERROR(IF(OR(VLOOKUP(C212,Overview!$B$30:$E$84,4,FALSE)="Country not found",VLOOKUP(C212,Overview!$B$30:$E$84,3,FALSE)=0),"",VLOOKUP(C212,Overview!$B$30:$E$84,3,FALSE)),"")</f>
        <v>Uzbekistan</v>
      </c>
      <c r="F212" s="108" t="s">
        <v>579</v>
      </c>
      <c r="G212" s="109" t="s">
        <v>520</v>
      </c>
      <c r="H212" s="110">
        <v>2</v>
      </c>
      <c r="I212" s="108" t="s">
        <v>576</v>
      </c>
      <c r="J212" s="108" t="s">
        <v>343</v>
      </c>
      <c r="K212" s="110">
        <v>3</v>
      </c>
      <c r="L212" s="111">
        <f>IF(O212="Error",0,ROUND(ROUND(H212,0)*(VLOOKUP(J212,Rates!$J$5:$K$10,2,FALSE)),2))</f>
        <v>1640</v>
      </c>
      <c r="M212" s="112">
        <f t="shared" si="12"/>
        <v>720</v>
      </c>
      <c r="N212" s="113">
        <f t="shared" si="11"/>
        <v>2360</v>
      </c>
      <c r="O212" s="102" t="str">
        <f>IF(OR(COUNTIF(Rates!$J$13:$J$17,B212)=0,COUNTIF(Overview!$B$30:$B$84,C212)=0,D212="",E212="",F212="",COUNTIF(Rates!$Y$4:$Z$4,G212)=0,ISNUMBER(H212)=FALSE,I212="",COUNTIF(Rates!$J$5:$J$10,J212)=0,ISNUMBER(K212)=FALSE,IF(OR(IF(AND(G212="Staff",K212&gt;365),1,0)=1,IF(AND(G212="Student",K212&gt;60),1,0)=1),1,0)=1,IF(ISNUMBER(H212)=TRUE,H212=INT(H212*1)/1=FALSE),IF(ISNUMBER(K212)=TRUE,K212=INT(K212*1)/1=FALSE)),"Error","")</f>
        <v/>
      </c>
    </row>
    <row r="213" spans="2:15" s="103" customFormat="1" x14ac:dyDescent="0.25">
      <c r="B213" s="60" t="s">
        <v>368</v>
      </c>
      <c r="C213" s="94" t="s">
        <v>21</v>
      </c>
      <c r="D213" s="104" t="str">
        <f>IFERROR(IF(VLOOKUP(C213,Overview!$B$30:$E$84,2,FALSE)=0,"",VLOOKUP(C213,Overview!$B$30:$E$84,2,FALSE)),"")</f>
        <v>National University of Uzbekistan</v>
      </c>
      <c r="E213" s="104" t="str">
        <f>IFERROR(IF(OR(VLOOKUP(C213,Overview!$B$30:$E$84,4,FALSE)="Country not found",VLOOKUP(C213,Overview!$B$30:$E$84,3,FALSE)=0),"",VLOOKUP(C213,Overview!$B$30:$E$84,3,FALSE)),"")</f>
        <v>Uzbekistan</v>
      </c>
      <c r="F213" s="108" t="s">
        <v>579</v>
      </c>
      <c r="G213" s="109" t="s">
        <v>520</v>
      </c>
      <c r="H213" s="110">
        <v>2</v>
      </c>
      <c r="I213" s="108" t="s">
        <v>576</v>
      </c>
      <c r="J213" s="108" t="s">
        <v>343</v>
      </c>
      <c r="K213" s="110">
        <v>3</v>
      </c>
      <c r="L213" s="111">
        <f>IF(O213="Error",0,ROUND(ROUND(H213,0)*(VLOOKUP(J213,Rates!$J$5:$K$10,2,FALSE)),2))</f>
        <v>1640</v>
      </c>
      <c r="M213" s="112">
        <f t="shared" si="12"/>
        <v>720</v>
      </c>
      <c r="N213" s="113">
        <f t="shared" si="11"/>
        <v>2360</v>
      </c>
      <c r="O213" s="102" t="str">
        <f>IF(OR(COUNTIF(Rates!$J$13:$J$17,B213)=0,COUNTIF(Overview!$B$30:$B$84,C213)=0,D213="",E213="",F213="",COUNTIF(Rates!$Y$4:$Z$4,G213)=0,ISNUMBER(H213)=FALSE,I213="",COUNTIF(Rates!$J$5:$J$10,J213)=0,ISNUMBER(K213)=FALSE,IF(OR(IF(AND(G213="Staff",K213&gt;365),1,0)=1,IF(AND(G213="Student",K213&gt;60),1,0)=1),1,0)=1,IF(ISNUMBER(H213)=TRUE,H213=INT(H213*1)/1=FALSE),IF(ISNUMBER(K213)=TRUE,K213=INT(K213*1)/1=FALSE)),"Error","")</f>
        <v/>
      </c>
    </row>
    <row r="214" spans="2:15" s="103" customFormat="1" x14ac:dyDescent="0.25">
      <c r="B214" s="60" t="s">
        <v>368</v>
      </c>
      <c r="C214" s="94" t="s">
        <v>22</v>
      </c>
      <c r="D214" s="104" t="str">
        <f>IFERROR(IF(VLOOKUP(C214,Overview!$B$30:$E$84,2,FALSE)=0,"",VLOOKUP(C214,Overview!$B$30:$E$84,2,FALSE)),"")</f>
        <v>Enterprise “Business Drilling”</v>
      </c>
      <c r="E214" s="104" t="str">
        <f>IFERROR(IF(OR(VLOOKUP(C214,Overview!$B$30:$E$84,4,FALSE)="Country not found",VLOOKUP(C214,Overview!$B$30:$E$84,3,FALSE)=0),"",VLOOKUP(C214,Overview!$B$30:$E$84,3,FALSE)),"")</f>
        <v>Uzbekistan</v>
      </c>
      <c r="F214" s="108" t="s">
        <v>579</v>
      </c>
      <c r="G214" s="109" t="s">
        <v>520</v>
      </c>
      <c r="H214" s="110">
        <v>2</v>
      </c>
      <c r="I214" s="108" t="s">
        <v>576</v>
      </c>
      <c r="J214" s="108" t="s">
        <v>343</v>
      </c>
      <c r="K214" s="110">
        <v>3</v>
      </c>
      <c r="L214" s="111">
        <f>IF(O214="Error",0,ROUND(ROUND(H214,0)*(VLOOKUP(J214,Rates!$J$5:$K$10,2,FALSE)),2))</f>
        <v>1640</v>
      </c>
      <c r="M214" s="112">
        <f t="shared" si="12"/>
        <v>720</v>
      </c>
      <c r="N214" s="113">
        <f t="shared" si="11"/>
        <v>2360</v>
      </c>
      <c r="O214" s="102" t="str">
        <f>IF(OR(COUNTIF(Rates!$J$13:$J$17,B214)=0,COUNTIF(Overview!$B$30:$B$84,C214)=0,D214="",E214="",F214="",COUNTIF(Rates!$Y$4:$Z$4,G214)=0,ISNUMBER(H214)=FALSE,I214="",COUNTIF(Rates!$J$5:$J$10,J214)=0,ISNUMBER(K214)=FALSE,IF(OR(IF(AND(G214="Staff",K214&gt;365),1,0)=1,IF(AND(G214="Student",K214&gt;60),1,0)=1),1,0)=1,IF(ISNUMBER(H214)=TRUE,H214=INT(H214*1)/1=FALSE),IF(ISNUMBER(K214)=TRUE,K214=INT(K214*1)/1=FALSE)),"Error","")</f>
        <v/>
      </c>
    </row>
    <row r="215" spans="2:15" s="103" customFormat="1" x14ac:dyDescent="0.25">
      <c r="B215" s="60" t="s">
        <v>368</v>
      </c>
      <c r="C215" s="94" t="s">
        <v>23</v>
      </c>
      <c r="D215" s="104" t="str">
        <f>IFERROR(IF(VLOOKUP(C215,Overview!$B$30:$E$84,2,FALSE)=0,"",VLOOKUP(C215,Overview!$B$30:$E$84,2,FALSE)),"")</f>
        <v>Ministry of Education of Uzbekistan</v>
      </c>
      <c r="E215" s="104" t="str">
        <f>IFERROR(IF(OR(VLOOKUP(C215,Overview!$B$30:$E$84,4,FALSE)="Country not found",VLOOKUP(C215,Overview!$B$30:$E$84,3,FALSE)=0),"",VLOOKUP(C215,Overview!$B$30:$E$84,3,FALSE)),"")</f>
        <v>Uzbekistan</v>
      </c>
      <c r="F215" s="108" t="s">
        <v>579</v>
      </c>
      <c r="G215" s="109" t="s">
        <v>520</v>
      </c>
      <c r="H215" s="110">
        <v>2</v>
      </c>
      <c r="I215" s="108" t="s">
        <v>576</v>
      </c>
      <c r="J215" s="108" t="s">
        <v>343</v>
      </c>
      <c r="K215" s="110">
        <v>3</v>
      </c>
      <c r="L215" s="111">
        <f>IF(O215="Error",0,ROUND(ROUND(H215,0)*(VLOOKUP(J215,Rates!$J$5:$K$10,2,FALSE)),2))</f>
        <v>1640</v>
      </c>
      <c r="M215" s="112">
        <f t="shared" si="12"/>
        <v>720</v>
      </c>
      <c r="N215" s="113">
        <f t="shared" si="11"/>
        <v>2360</v>
      </c>
      <c r="O215" s="102" t="str">
        <f>IF(OR(COUNTIF(Rates!$J$13:$J$17,B215)=0,COUNTIF(Overview!$B$30:$B$84,C215)=0,D215="",E215="",F215="",COUNTIF(Rates!$Y$4:$Z$4,G215)=0,ISNUMBER(H215)=FALSE,I215="",COUNTIF(Rates!$J$5:$J$10,J215)=0,ISNUMBER(K215)=FALSE,IF(OR(IF(AND(G215="Staff",K215&gt;365),1,0)=1,IF(AND(G215="Student",K215&gt;60),1,0)=1),1,0)=1,IF(ISNUMBER(H215)=TRUE,H215=INT(H215*1)/1=FALSE),IF(ISNUMBER(K215)=TRUE,K215=INT(K215*1)/1=FALSE)),"Error","")</f>
        <v/>
      </c>
    </row>
    <row r="216" spans="2:15" s="103" customFormat="1" x14ac:dyDescent="0.25">
      <c r="B216" s="60" t="s">
        <v>368</v>
      </c>
      <c r="C216" s="94" t="s">
        <v>24</v>
      </c>
      <c r="D216" s="104" t="str">
        <f>IFERROR(IF(VLOOKUP(C216,Overview!$B$30:$E$84,2,FALSE)=0,"",VLOOKUP(C216,Overview!$B$30:$E$84,2,FALSE)),"")</f>
        <v>Kyrgyz State Technical University</v>
      </c>
      <c r="E216" s="104" t="str">
        <f>IFERROR(IF(OR(VLOOKUP(C216,Overview!$B$30:$E$84,4,FALSE)="Country not found",VLOOKUP(C216,Overview!$B$30:$E$84,3,FALSE)=0),"",VLOOKUP(C216,Overview!$B$30:$E$84,3,FALSE)),"")</f>
        <v>Kyrgyzstan</v>
      </c>
      <c r="F216" s="108" t="s">
        <v>584</v>
      </c>
      <c r="G216" s="109" t="s">
        <v>520</v>
      </c>
      <c r="H216" s="110">
        <v>2</v>
      </c>
      <c r="I216" s="108" t="s">
        <v>576</v>
      </c>
      <c r="J216" s="108" t="s">
        <v>343</v>
      </c>
      <c r="K216" s="110">
        <v>3</v>
      </c>
      <c r="L216" s="111">
        <f>IF(O216="Error",0,ROUND(ROUND(H216,0)*(VLOOKUP(J216,Rates!$J$5:$K$10,2,FALSE)),2))</f>
        <v>1640</v>
      </c>
      <c r="M216" s="112">
        <f t="shared" si="12"/>
        <v>720</v>
      </c>
      <c r="N216" s="113">
        <f t="shared" si="11"/>
        <v>2360</v>
      </c>
      <c r="O216" s="102" t="str">
        <f>IF(OR(COUNTIF(Rates!$J$13:$J$17,B216)=0,COUNTIF(Overview!$B$30:$B$84,C216)=0,D216="",E216="",F216="",COUNTIF(Rates!$Y$4:$Z$4,G216)=0,ISNUMBER(H216)=FALSE,I216="",COUNTIF(Rates!$J$5:$J$10,J216)=0,ISNUMBER(K216)=FALSE,IF(OR(IF(AND(G216="Staff",K216&gt;365),1,0)=1,IF(AND(G216="Student",K216&gt;60),1,0)=1),1,0)=1,IF(ISNUMBER(H216)=TRUE,H216=INT(H216*1)/1=FALSE),IF(ISNUMBER(K216)=TRUE,K216=INT(K216*1)/1=FALSE)),"Error","")</f>
        <v/>
      </c>
    </row>
    <row r="217" spans="2:15" s="103" customFormat="1" x14ac:dyDescent="0.25">
      <c r="B217" s="60" t="s">
        <v>368</v>
      </c>
      <c r="C217" s="94" t="s">
        <v>25</v>
      </c>
      <c r="D217" s="104" t="str">
        <f>IFERROR(IF(VLOOKUP(C217,Overview!$B$30:$E$84,2,FALSE)=0,"",VLOOKUP(C217,Overview!$B$30:$E$84,2,FALSE)),"")</f>
        <v>Bishkek Academy of Finance and Economics</v>
      </c>
      <c r="E217" s="104" t="str">
        <f>IFERROR(IF(OR(VLOOKUP(C217,Overview!$B$30:$E$84,4,FALSE)="Country not found",VLOOKUP(C217,Overview!$B$30:$E$84,3,FALSE)=0),"",VLOOKUP(C217,Overview!$B$30:$E$84,3,FALSE)),"")</f>
        <v>Kyrgyzstan</v>
      </c>
      <c r="F217" s="108" t="s">
        <v>584</v>
      </c>
      <c r="G217" s="109" t="s">
        <v>520</v>
      </c>
      <c r="H217" s="110">
        <v>2</v>
      </c>
      <c r="I217" s="108" t="s">
        <v>576</v>
      </c>
      <c r="J217" s="108" t="s">
        <v>343</v>
      </c>
      <c r="K217" s="110">
        <v>3</v>
      </c>
      <c r="L217" s="111">
        <f>IF(O217="Error",0,ROUND(ROUND(H217,0)*(VLOOKUP(J217,Rates!$J$5:$K$10,2,FALSE)),2))</f>
        <v>1640</v>
      </c>
      <c r="M217" s="112">
        <f t="shared" si="12"/>
        <v>720</v>
      </c>
      <c r="N217" s="113">
        <f t="shared" si="11"/>
        <v>2360</v>
      </c>
      <c r="O217" s="102" t="str">
        <f>IF(OR(COUNTIF(Rates!$J$13:$J$17,B217)=0,COUNTIF(Overview!$B$30:$B$84,C217)=0,D217="",E217="",F217="",COUNTIF(Rates!$Y$4:$Z$4,G217)=0,ISNUMBER(H217)=FALSE,I217="",COUNTIF(Rates!$J$5:$J$10,J217)=0,ISNUMBER(K217)=FALSE,IF(OR(IF(AND(G217="Staff",K217&gt;365),1,0)=1,IF(AND(G217="Student",K217&gt;60),1,0)=1),1,0)=1,IF(ISNUMBER(H217)=TRUE,H217=INT(H217*1)/1=FALSE),IF(ISNUMBER(K217)=TRUE,K217=INT(K217*1)/1=FALSE)),"Error","")</f>
        <v/>
      </c>
    </row>
    <row r="218" spans="2:15" s="103" customFormat="1" x14ac:dyDescent="0.25">
      <c r="B218" s="60" t="s">
        <v>368</v>
      </c>
      <c r="C218" s="94" t="s">
        <v>26</v>
      </c>
      <c r="D218" s="104" t="str">
        <f>IFERROR(IF(VLOOKUP(C218,Overview!$B$30:$E$84,2,FALSE)=0,"",VLOOKUP(C218,Overview!$B$30:$E$84,2,FALSE)),"")</f>
        <v>Osh Technological University</v>
      </c>
      <c r="E218" s="104" t="str">
        <f>IFERROR(IF(OR(VLOOKUP(C218,Overview!$B$30:$E$84,4,FALSE)="Country not found",VLOOKUP(C218,Overview!$B$30:$E$84,3,FALSE)=0),"",VLOOKUP(C218,Overview!$B$30:$E$84,3,FALSE)),"")</f>
        <v>Kyrgyzstan</v>
      </c>
      <c r="F218" s="108" t="s">
        <v>583</v>
      </c>
      <c r="G218" s="109" t="s">
        <v>520</v>
      </c>
      <c r="H218" s="110">
        <v>2</v>
      </c>
      <c r="I218" s="108" t="s">
        <v>576</v>
      </c>
      <c r="J218" s="108" t="s">
        <v>343</v>
      </c>
      <c r="K218" s="110">
        <v>3</v>
      </c>
      <c r="L218" s="111">
        <f>IF(O218="Error",0,ROUND(ROUND(H218,0)*(VLOOKUP(J218,Rates!$J$5:$K$10,2,FALSE)),2))</f>
        <v>1640</v>
      </c>
      <c r="M218" s="112">
        <f t="shared" si="12"/>
        <v>720</v>
      </c>
      <c r="N218" s="113">
        <f t="shared" si="11"/>
        <v>2360</v>
      </c>
      <c r="O218" s="102" t="str">
        <f>IF(OR(COUNTIF(Rates!$J$13:$J$17,B218)=0,COUNTIF(Overview!$B$30:$B$84,C218)=0,D218="",E218="",F218="",COUNTIF(Rates!$Y$4:$Z$4,G218)=0,ISNUMBER(H218)=FALSE,I218="",COUNTIF(Rates!$J$5:$J$10,J218)=0,ISNUMBER(K218)=FALSE,IF(OR(IF(AND(G218="Staff",K218&gt;365),1,0)=1,IF(AND(G218="Student",K218&gt;60),1,0)=1),1,0)=1,IF(ISNUMBER(H218)=TRUE,H218=INT(H218*1)/1=FALSE),IF(ISNUMBER(K218)=TRUE,K218=INT(K218*1)/1=FALSE)),"Error","")</f>
        <v/>
      </c>
    </row>
    <row r="219" spans="2:15" s="103" customFormat="1" x14ac:dyDescent="0.25">
      <c r="B219" s="60" t="s">
        <v>368</v>
      </c>
      <c r="C219" s="94" t="s">
        <v>346</v>
      </c>
      <c r="D219" s="104" t="str">
        <f>IFERROR(IF(VLOOKUP(C219,Overview!$B$30:$E$84,2,FALSE)=0,"",VLOOKUP(C219,Overview!$B$30:$E$84,2,FALSE)),"")</f>
        <v>Bishkek Business Club</v>
      </c>
      <c r="E219" s="104" t="str">
        <f>IFERROR(IF(OR(VLOOKUP(C219,Overview!$B$30:$E$84,4,FALSE)="Country not found",VLOOKUP(C219,Overview!$B$30:$E$84,3,FALSE)=0),"",VLOOKUP(C219,Overview!$B$30:$E$84,3,FALSE)),"")</f>
        <v>Kyrgyzstan</v>
      </c>
      <c r="F219" s="108" t="s">
        <v>584</v>
      </c>
      <c r="G219" s="109" t="s">
        <v>520</v>
      </c>
      <c r="H219" s="110">
        <v>2</v>
      </c>
      <c r="I219" s="108" t="s">
        <v>576</v>
      </c>
      <c r="J219" s="108" t="s">
        <v>343</v>
      </c>
      <c r="K219" s="110">
        <v>3</v>
      </c>
      <c r="L219" s="111">
        <f>IF(O219="Error",0,ROUND(ROUND(H219,0)*(VLOOKUP(J219,Rates!$J$5:$K$10,2,FALSE)),2))</f>
        <v>1640</v>
      </c>
      <c r="M219" s="112">
        <f t="shared" si="12"/>
        <v>720</v>
      </c>
      <c r="N219" s="113">
        <f t="shared" si="11"/>
        <v>2360</v>
      </c>
      <c r="O219" s="102" t="str">
        <f>IF(OR(COUNTIF(Rates!$J$13:$J$17,B219)=0,COUNTIF(Overview!$B$30:$B$84,C219)=0,D219="",E219="",F219="",COUNTIF(Rates!$Y$4:$Z$4,G219)=0,ISNUMBER(H219)=FALSE,I219="",COUNTIF(Rates!$J$5:$J$10,J219)=0,ISNUMBER(K219)=FALSE,IF(OR(IF(AND(G219="Staff",K219&gt;365),1,0)=1,IF(AND(G219="Student",K219&gt;60),1,0)=1),1,0)=1,IF(ISNUMBER(H219)=TRUE,H219=INT(H219*1)/1=FALSE),IF(ISNUMBER(K219)=TRUE,K219=INT(K219*1)/1=FALSE)),"Error","")</f>
        <v/>
      </c>
    </row>
    <row r="220" spans="2:15" s="103" customFormat="1" x14ac:dyDescent="0.25">
      <c r="B220" s="60" t="s">
        <v>368</v>
      </c>
      <c r="C220" s="94" t="s">
        <v>27</v>
      </c>
      <c r="D220" s="104" t="str">
        <f>IFERROR(IF(VLOOKUP(C220,Overview!$B$30:$E$84,2,FALSE)=0,"",VLOOKUP(C220,Overview!$B$30:$E$84,2,FALSE)),"")</f>
        <v>Ministry of Education of Kyrgyzstan</v>
      </c>
      <c r="E220" s="104" t="str">
        <f>IFERROR(IF(OR(VLOOKUP(C220,Overview!$B$30:$E$84,4,FALSE)="Country not found",VLOOKUP(C220,Overview!$B$30:$E$84,3,FALSE)=0),"",VLOOKUP(C220,Overview!$B$30:$E$84,3,FALSE)),"")</f>
        <v>Kyrgyzstan</v>
      </c>
      <c r="F220" s="108" t="s">
        <v>584</v>
      </c>
      <c r="G220" s="109" t="s">
        <v>520</v>
      </c>
      <c r="H220" s="110">
        <v>2</v>
      </c>
      <c r="I220" s="108" t="s">
        <v>576</v>
      </c>
      <c r="J220" s="108" t="s">
        <v>343</v>
      </c>
      <c r="K220" s="110">
        <v>3</v>
      </c>
      <c r="L220" s="111">
        <f>IF(O220="Error",0,ROUND(ROUND(H220,0)*(VLOOKUP(J220,Rates!$J$5:$K$10,2,FALSE)),2))</f>
        <v>1640</v>
      </c>
      <c r="M220" s="112">
        <f t="shared" si="12"/>
        <v>720</v>
      </c>
      <c r="N220" s="113">
        <f t="shared" si="11"/>
        <v>2360</v>
      </c>
      <c r="O220" s="102" t="str">
        <f>IF(OR(COUNTIF(Rates!$J$13:$J$17,B220)=0,COUNTIF(Overview!$B$30:$B$84,C220)=0,D220="",E220="",F220="",COUNTIF(Rates!$Y$4:$Z$4,G220)=0,ISNUMBER(H220)=FALSE,I220="",COUNTIF(Rates!$J$5:$J$10,J220)=0,ISNUMBER(K220)=FALSE,IF(OR(IF(AND(G220="Staff",K220&gt;365),1,0)=1,IF(AND(G220="Student",K220&gt;60),1,0)=1),1,0)=1,IF(ISNUMBER(H220)=TRUE,H220=INT(H220*1)/1=FALSE),IF(ISNUMBER(K220)=TRUE,K220=INT(K220*1)/1=FALSE)),"Error","")</f>
        <v/>
      </c>
    </row>
    <row r="221" spans="2:15" s="103" customFormat="1" x14ac:dyDescent="0.25">
      <c r="B221" s="60" t="s">
        <v>368</v>
      </c>
      <c r="C221" s="94" t="s">
        <v>28</v>
      </c>
      <c r="D221" s="104" t="str">
        <f>IFERROR(IF(VLOOKUP(C221,Overview!$B$30:$E$84,2,FALSE)=0,"",VLOOKUP(C221,Overview!$B$30:$E$84,2,FALSE)),"")</f>
        <v>Khujand State University</v>
      </c>
      <c r="E221" s="104" t="str">
        <f>IFERROR(IF(OR(VLOOKUP(C221,Overview!$B$30:$E$84,4,FALSE)="Country not found",VLOOKUP(C221,Overview!$B$30:$E$84,3,FALSE)=0),"",VLOOKUP(C221,Overview!$B$30:$E$84,3,FALSE)),"")</f>
        <v>Tajikistan</v>
      </c>
      <c r="F221" s="108" t="s">
        <v>582</v>
      </c>
      <c r="G221" s="109" t="s">
        <v>520</v>
      </c>
      <c r="H221" s="110">
        <v>2</v>
      </c>
      <c r="I221" s="108" t="s">
        <v>576</v>
      </c>
      <c r="J221" s="108" t="s">
        <v>343</v>
      </c>
      <c r="K221" s="110">
        <v>3</v>
      </c>
      <c r="L221" s="111">
        <f>IF(O221="Error",0,ROUND(ROUND(H221,0)*(VLOOKUP(J221,Rates!$J$5:$K$10,2,FALSE)),2))</f>
        <v>1640</v>
      </c>
      <c r="M221" s="112">
        <f t="shared" si="12"/>
        <v>720</v>
      </c>
      <c r="N221" s="113">
        <f t="shared" si="11"/>
        <v>2360</v>
      </c>
      <c r="O221" s="102" t="str">
        <f>IF(OR(COUNTIF(Rates!$J$13:$J$17,B221)=0,COUNTIF(Overview!$B$30:$B$84,C221)=0,D221="",E221="",F221="",COUNTIF(Rates!$Y$4:$Z$4,G221)=0,ISNUMBER(H221)=FALSE,I221="",COUNTIF(Rates!$J$5:$J$10,J221)=0,ISNUMBER(K221)=FALSE,IF(OR(IF(AND(G221="Staff",K221&gt;365),1,0)=1,IF(AND(G221="Student",K221&gt;60),1,0)=1),1,0)=1,IF(ISNUMBER(H221)=TRUE,H221=INT(H221*1)/1=FALSE),IF(ISNUMBER(K221)=TRUE,K221=INT(K221*1)/1=FALSE)),"Error","")</f>
        <v/>
      </c>
    </row>
    <row r="222" spans="2:15" s="103" customFormat="1" x14ac:dyDescent="0.25">
      <c r="B222" s="60" t="s">
        <v>368</v>
      </c>
      <c r="C222" s="94" t="s">
        <v>29</v>
      </c>
      <c r="D222" s="104" t="str">
        <f>IFERROR(IF(VLOOKUP(C222,Overview!$B$30:$E$84,2,FALSE)=0,"",VLOOKUP(C222,Overview!$B$30:$E$84,2,FALSE)),"")</f>
        <v>Khorog State University</v>
      </c>
      <c r="E222" s="104" t="str">
        <f>IFERROR(IF(OR(VLOOKUP(C222,Overview!$B$30:$E$84,4,FALSE)="Country not found",VLOOKUP(C222,Overview!$B$30:$E$84,3,FALSE)=0),"",VLOOKUP(C222,Overview!$B$30:$E$84,3,FALSE)),"")</f>
        <v>Tajikistan</v>
      </c>
      <c r="F222" s="108" t="s">
        <v>581</v>
      </c>
      <c r="G222" s="109" t="s">
        <v>520</v>
      </c>
      <c r="H222" s="110">
        <v>2</v>
      </c>
      <c r="I222" s="108" t="s">
        <v>576</v>
      </c>
      <c r="J222" s="108" t="s">
        <v>343</v>
      </c>
      <c r="K222" s="110">
        <v>3</v>
      </c>
      <c r="L222" s="111">
        <f>IF(O222="Error",0,ROUND(ROUND(H222,0)*(VLOOKUP(J222,Rates!$J$5:$K$10,2,FALSE)),2))</f>
        <v>1640</v>
      </c>
      <c r="M222" s="112">
        <f t="shared" si="12"/>
        <v>720</v>
      </c>
      <c r="N222" s="113">
        <f t="shared" si="11"/>
        <v>2360</v>
      </c>
      <c r="O222" s="102" t="str">
        <f>IF(OR(COUNTIF(Rates!$J$13:$J$17,B222)=0,COUNTIF(Overview!$B$30:$B$84,C222)=0,D222="",E222="",F222="",COUNTIF(Rates!$Y$4:$Z$4,G222)=0,ISNUMBER(H222)=FALSE,I222="",COUNTIF(Rates!$J$5:$J$10,J222)=0,ISNUMBER(K222)=FALSE,IF(OR(IF(AND(G222="Staff",K222&gt;365),1,0)=1,IF(AND(G222="Student",K222&gt;60),1,0)=1),1,0)=1,IF(ISNUMBER(H222)=TRUE,H222=INT(H222*1)/1=FALSE),IF(ISNUMBER(K222)=TRUE,K222=INT(K222*1)/1=FALSE)),"Error","")</f>
        <v/>
      </c>
    </row>
    <row r="223" spans="2:15" s="103" customFormat="1" x14ac:dyDescent="0.25">
      <c r="B223" s="60" t="s">
        <v>368</v>
      </c>
      <c r="C223" s="94" t="s">
        <v>30</v>
      </c>
      <c r="D223" s="104" t="str">
        <f>IFERROR(IF(VLOOKUP(C223,Overview!$B$30:$E$84,2,FALSE)=0,"",VLOOKUP(C223,Overview!$B$30:$E$84,2,FALSE)),"")</f>
        <v>Tajik Pedagogical University</v>
      </c>
      <c r="E223" s="104" t="str">
        <f>IFERROR(IF(OR(VLOOKUP(C223,Overview!$B$30:$E$84,4,FALSE)="Country not found",VLOOKUP(C223,Overview!$B$30:$E$84,3,FALSE)=0),"",VLOOKUP(C223,Overview!$B$30:$E$84,3,FALSE)),"")</f>
        <v>Tajikistan</v>
      </c>
      <c r="F223" s="108" t="s">
        <v>585</v>
      </c>
      <c r="G223" s="109" t="s">
        <v>520</v>
      </c>
      <c r="H223" s="110">
        <v>2</v>
      </c>
      <c r="I223" s="108" t="s">
        <v>576</v>
      </c>
      <c r="J223" s="108" t="s">
        <v>343</v>
      </c>
      <c r="K223" s="110">
        <v>3</v>
      </c>
      <c r="L223" s="111">
        <f>IF(O223="Error",0,ROUND(ROUND(H223,0)*(VLOOKUP(J223,Rates!$J$5:$K$10,2,FALSE)),2))</f>
        <v>1640</v>
      </c>
      <c r="M223" s="112">
        <f t="shared" si="12"/>
        <v>720</v>
      </c>
      <c r="N223" s="113">
        <f t="shared" si="11"/>
        <v>2360</v>
      </c>
      <c r="O223" s="102" t="str">
        <f>IF(OR(COUNTIF(Rates!$J$13:$J$17,B223)=0,COUNTIF(Overview!$B$30:$B$84,C223)=0,D223="",E223="",F223="",COUNTIF(Rates!$Y$4:$Z$4,G223)=0,ISNUMBER(H223)=FALSE,I223="",COUNTIF(Rates!$J$5:$J$10,J223)=0,ISNUMBER(K223)=FALSE,IF(OR(IF(AND(G223="Staff",K223&gt;365),1,0)=1,IF(AND(G223="Student",K223&gt;60),1,0)=1),1,0)=1,IF(ISNUMBER(H223)=TRUE,H223=INT(H223*1)/1=FALSE),IF(ISNUMBER(K223)=TRUE,K223=INT(K223*1)/1=FALSE)),"Error","")</f>
        <v/>
      </c>
    </row>
    <row r="224" spans="2:15" s="103" customFormat="1" x14ac:dyDescent="0.25">
      <c r="B224" s="60" t="s">
        <v>368</v>
      </c>
      <c r="C224" s="94" t="s">
        <v>31</v>
      </c>
      <c r="D224" s="104" t="str">
        <f>IFERROR(IF(VLOOKUP(C224,Overview!$B$30:$E$84,2,FALSE)=0,"",VLOOKUP(C224,Overview!$B$30:$E$84,2,FALSE)),"")</f>
        <v>Center of development and support of VET education</v>
      </c>
      <c r="E224" s="104" t="str">
        <f>IFERROR(IF(OR(VLOOKUP(C224,Overview!$B$30:$E$84,4,FALSE)="Country not found",VLOOKUP(C224,Overview!$B$30:$E$84,3,FALSE)=0),"",VLOOKUP(C224,Overview!$B$30:$E$84,3,FALSE)),"")</f>
        <v>Tajikistan</v>
      </c>
      <c r="F224" s="108" t="s">
        <v>582</v>
      </c>
      <c r="G224" s="109" t="s">
        <v>520</v>
      </c>
      <c r="H224" s="110">
        <v>2</v>
      </c>
      <c r="I224" s="108" t="s">
        <v>576</v>
      </c>
      <c r="J224" s="108" t="s">
        <v>343</v>
      </c>
      <c r="K224" s="110">
        <v>3</v>
      </c>
      <c r="L224" s="111">
        <f>IF(O224="Error",0,ROUND(ROUND(H224,0)*(VLOOKUP(J224,Rates!$J$5:$K$10,2,FALSE)),2))</f>
        <v>1640</v>
      </c>
      <c r="M224" s="112">
        <f t="shared" si="12"/>
        <v>720</v>
      </c>
      <c r="N224" s="113">
        <f t="shared" si="11"/>
        <v>2360</v>
      </c>
      <c r="O224" s="102" t="str">
        <f>IF(OR(COUNTIF(Rates!$J$13:$J$17,B224)=0,COUNTIF(Overview!$B$30:$B$84,C224)=0,D224="",E224="",F224="",COUNTIF(Rates!$Y$4:$Z$4,G224)=0,ISNUMBER(H224)=FALSE,I224="",COUNTIF(Rates!$J$5:$J$10,J224)=0,ISNUMBER(K224)=FALSE,IF(OR(IF(AND(G224="Staff",K224&gt;365),1,0)=1,IF(AND(G224="Student",K224&gt;60),1,0)=1),1,0)=1,IF(ISNUMBER(H224)=TRUE,H224=INT(H224*1)/1=FALSE),IF(ISNUMBER(K224)=TRUE,K224=INT(K224*1)/1=FALSE)),"Error","")</f>
        <v/>
      </c>
    </row>
    <row r="225" spans="2:15" s="103" customFormat="1" x14ac:dyDescent="0.25">
      <c r="B225" s="60" t="s">
        <v>368</v>
      </c>
      <c r="C225" s="94" t="s">
        <v>32</v>
      </c>
      <c r="D225" s="104" t="str">
        <f>IFERROR(IF(VLOOKUP(C225,Overview!$B$30:$E$84,2,FALSE)=0,"",VLOOKUP(C225,Overview!$B$30:$E$84,2,FALSE)),"")</f>
        <v>Ministry of Education of Tajikistan</v>
      </c>
      <c r="E225" s="104" t="str">
        <f>IFERROR(IF(OR(VLOOKUP(C225,Overview!$B$30:$E$84,4,FALSE)="Country not found",VLOOKUP(C225,Overview!$B$30:$E$84,3,FALSE)=0),"",VLOOKUP(C225,Overview!$B$30:$E$84,3,FALSE)),"")</f>
        <v>Tajikistan</v>
      </c>
      <c r="F225" s="108" t="s">
        <v>585</v>
      </c>
      <c r="G225" s="109" t="s">
        <v>520</v>
      </c>
      <c r="H225" s="110">
        <v>2</v>
      </c>
      <c r="I225" s="108" t="s">
        <v>576</v>
      </c>
      <c r="J225" s="108" t="s">
        <v>343</v>
      </c>
      <c r="K225" s="110">
        <v>3</v>
      </c>
      <c r="L225" s="111">
        <f>IF(O225="Error",0,ROUND(ROUND(H225,0)*(VLOOKUP(J225,Rates!$J$5:$K$10,2,FALSE)),2))</f>
        <v>1640</v>
      </c>
      <c r="M225" s="112">
        <f t="shared" si="12"/>
        <v>720</v>
      </c>
      <c r="N225" s="113">
        <f t="shared" si="11"/>
        <v>2360</v>
      </c>
      <c r="O225" s="102" t="str">
        <f>IF(OR(COUNTIF(Rates!$J$13:$J$17,B225)=0,COUNTIF(Overview!$B$30:$B$84,C225)=0,D225="",E225="",F225="",COUNTIF(Rates!$Y$4:$Z$4,G225)=0,ISNUMBER(H225)=FALSE,I225="",COUNTIF(Rates!$J$5:$J$10,J225)=0,ISNUMBER(K225)=FALSE,IF(OR(IF(AND(G225="Staff",K225&gt;365),1,0)=1,IF(AND(G225="Student",K225&gt;60),1,0)=1),1,0)=1,IF(ISNUMBER(H225)=TRUE,H225=INT(H225*1)/1=FALSE),IF(ISNUMBER(K225)=TRUE,K225=INT(K225*1)/1=FALSE)),"Error","")</f>
        <v/>
      </c>
    </row>
    <row r="226" spans="2:15" s="103" customFormat="1" x14ac:dyDescent="0.25">
      <c r="B226" s="60" t="s">
        <v>368</v>
      </c>
      <c r="C226" s="94" t="s">
        <v>33</v>
      </c>
      <c r="D226" s="104" t="str">
        <f>IFERROR(IF(VLOOKUP(C226,Overview!$B$30:$E$84,2,FALSE)=0,"",VLOOKUP(C226,Overview!$B$30:$E$84,2,FALSE)),"")</f>
        <v>KIMEP University, JSC</v>
      </c>
      <c r="E226" s="104" t="str">
        <f>IFERROR(IF(OR(VLOOKUP(C226,Overview!$B$30:$E$84,4,FALSE)="Country not found",VLOOKUP(C226,Overview!$B$30:$E$84,3,FALSE)=0),"",VLOOKUP(C226,Overview!$B$30:$E$84,3,FALSE)),"")</f>
        <v>Kazakhstan</v>
      </c>
      <c r="F226" s="108" t="s">
        <v>580</v>
      </c>
      <c r="G226" s="109" t="s">
        <v>520</v>
      </c>
      <c r="H226" s="110">
        <v>2</v>
      </c>
      <c r="I226" s="108" t="s">
        <v>576</v>
      </c>
      <c r="J226" s="108" t="s">
        <v>343</v>
      </c>
      <c r="K226" s="110">
        <v>3</v>
      </c>
      <c r="L226" s="111">
        <f>IF(O226="Error",0,ROUND(ROUND(H226,0)*(VLOOKUP(J226,Rates!$J$5:$K$10,2,FALSE)),2))</f>
        <v>1640</v>
      </c>
      <c r="M226" s="112">
        <f t="shared" si="12"/>
        <v>720</v>
      </c>
      <c r="N226" s="113">
        <f t="shared" si="11"/>
        <v>2360</v>
      </c>
      <c r="O226" s="102" t="str">
        <f>IF(OR(COUNTIF(Rates!$J$13:$J$17,B226)=0,COUNTIF(Overview!$B$30:$B$84,C226)=0,D226="",E226="",F226="",COUNTIF(Rates!$Y$4:$Z$4,G226)=0,ISNUMBER(H226)=FALSE,I226="",COUNTIF(Rates!$J$5:$J$10,J226)=0,ISNUMBER(K226)=FALSE,IF(OR(IF(AND(G226="Staff",K226&gt;365),1,0)=1,IF(AND(G226="Student",K226&gt;60),1,0)=1),1,0)=1,IF(ISNUMBER(H226)=TRUE,H226=INT(H226*1)/1=FALSE),IF(ISNUMBER(K226)=TRUE,K226=INT(K226*1)/1=FALSE)),"Error","")</f>
        <v/>
      </c>
    </row>
    <row r="227" spans="2:15" s="103" customFormat="1" x14ac:dyDescent="0.25">
      <c r="B227" s="60" t="s">
        <v>368</v>
      </c>
      <c r="C227" s="94" t="s">
        <v>126</v>
      </c>
      <c r="D227" s="104" t="str">
        <f>IFERROR(IF(VLOOKUP(C227,Overview!$B$30:$E$84,2,FALSE)=0,"",VLOOKUP(C227,Overview!$B$30:$E$84,2,FALSE)),"")</f>
        <v>Al-Farabi Kazakhstan National University</v>
      </c>
      <c r="E227" s="104" t="str">
        <f>IFERROR(IF(OR(VLOOKUP(C227,Overview!$B$30:$E$84,4,FALSE)="Country not found",VLOOKUP(C227,Overview!$B$30:$E$84,3,FALSE)=0),"",VLOOKUP(C227,Overview!$B$30:$E$84,3,FALSE)),"")</f>
        <v>Kazakhstan</v>
      </c>
      <c r="F227" s="108" t="s">
        <v>580</v>
      </c>
      <c r="G227" s="109" t="s">
        <v>520</v>
      </c>
      <c r="H227" s="110">
        <v>2</v>
      </c>
      <c r="I227" s="108" t="s">
        <v>576</v>
      </c>
      <c r="J227" s="108" t="s">
        <v>343</v>
      </c>
      <c r="K227" s="110">
        <v>3</v>
      </c>
      <c r="L227" s="111">
        <f>IF(O227="Error",0,ROUND(ROUND(H227,0)*(VLOOKUP(J227,Rates!$J$5:$K$10,2,FALSE)),2))</f>
        <v>1640</v>
      </c>
      <c r="M227" s="112">
        <f t="shared" si="12"/>
        <v>720</v>
      </c>
      <c r="N227" s="113">
        <f t="shared" si="11"/>
        <v>2360</v>
      </c>
      <c r="O227" s="102" t="str">
        <f>IF(OR(COUNTIF(Rates!$J$13:$J$17,B227)=0,COUNTIF(Overview!$B$30:$B$84,C227)=0,D227="",E227="",F227="",COUNTIF(Rates!$Y$4:$Z$4,G227)=0,ISNUMBER(H227)=FALSE,I227="",COUNTIF(Rates!$J$5:$J$10,J227)=0,ISNUMBER(K227)=FALSE,IF(OR(IF(AND(G227="Staff",K227&gt;365),1,0)=1,IF(AND(G227="Student",K227&gt;60),1,0)=1),1,0)=1,IF(ISNUMBER(H227)=TRUE,H227=INT(H227*1)/1=FALSE),IF(ISNUMBER(K227)=TRUE,K227=INT(K227*1)/1=FALSE)),"Error","")</f>
        <v/>
      </c>
    </row>
    <row r="228" spans="2:15" s="103" customFormat="1" x14ac:dyDescent="0.25">
      <c r="B228" s="60" t="s">
        <v>368</v>
      </c>
      <c r="C228" s="94" t="s">
        <v>127</v>
      </c>
      <c r="D228" s="104" t="str">
        <f>IFERROR(IF(VLOOKUP(C228,Overview!$B$30:$E$84,2,FALSE)=0,"",VLOOKUP(C228,Overview!$B$30:$E$84,2,FALSE)),"")</f>
        <v>Kazakhstan National Technical University</v>
      </c>
      <c r="E228" s="104" t="str">
        <f>IFERROR(IF(OR(VLOOKUP(C228,Overview!$B$30:$E$84,4,FALSE)="Country not found",VLOOKUP(C228,Overview!$B$30:$E$84,3,FALSE)=0),"",VLOOKUP(C228,Overview!$B$30:$E$84,3,FALSE)),"")</f>
        <v>Kazakhstan</v>
      </c>
      <c r="F228" s="108" t="s">
        <v>580</v>
      </c>
      <c r="G228" s="109" t="s">
        <v>520</v>
      </c>
      <c r="H228" s="110">
        <v>2</v>
      </c>
      <c r="I228" s="108" t="s">
        <v>576</v>
      </c>
      <c r="J228" s="108" t="s">
        <v>343</v>
      </c>
      <c r="K228" s="110">
        <v>3</v>
      </c>
      <c r="L228" s="111">
        <f>IF(O228="Error",0,ROUND(ROUND(H228,0)*(VLOOKUP(J228,Rates!$J$5:$K$10,2,FALSE)),2))</f>
        <v>1640</v>
      </c>
      <c r="M228" s="112">
        <f t="shared" si="12"/>
        <v>720</v>
      </c>
      <c r="N228" s="113">
        <f t="shared" si="11"/>
        <v>2360</v>
      </c>
      <c r="O228" s="102" t="str">
        <f>IF(OR(COUNTIF(Rates!$J$13:$J$17,B228)=0,COUNTIF(Overview!$B$30:$B$84,C228)=0,D228="",E228="",F228="",COUNTIF(Rates!$Y$4:$Z$4,G228)=0,ISNUMBER(H228)=FALSE,I228="",COUNTIF(Rates!$J$5:$J$10,J228)=0,ISNUMBER(K228)=FALSE,IF(OR(IF(AND(G228="Staff",K228&gt;365),1,0)=1,IF(AND(G228="Student",K228&gt;60),1,0)=1),1,0)=1,IF(ISNUMBER(H228)=TRUE,H228=INT(H228*1)/1=FALSE),IF(ISNUMBER(K228)=TRUE,K228=INT(K228*1)/1=FALSE)),"Error","")</f>
        <v/>
      </c>
    </row>
    <row r="229" spans="2:15" s="103" customFormat="1" x14ac:dyDescent="0.25">
      <c r="B229" s="60" t="s">
        <v>368</v>
      </c>
      <c r="C229" s="94" t="s">
        <v>128</v>
      </c>
      <c r="D229" s="104" t="str">
        <f>IFERROR(IF(VLOOKUP(C229,Overview!$B$30:$E$84,2,FALSE)=0,"",VLOOKUP(C229,Overview!$B$30:$E$84,2,FALSE)),"")</f>
        <v xml:space="preserve">Zhezkazgan Baikonurov University </v>
      </c>
      <c r="E229" s="104" t="str">
        <f>IFERROR(IF(OR(VLOOKUP(C229,Overview!$B$30:$E$84,4,FALSE)="Country not found",VLOOKUP(C229,Overview!$B$30:$E$84,3,FALSE)=0),"",VLOOKUP(C229,Overview!$B$30:$E$84,3,FALSE)),"")</f>
        <v>Kazakhstan</v>
      </c>
      <c r="F229" s="108" t="s">
        <v>600</v>
      </c>
      <c r="G229" s="109" t="s">
        <v>520</v>
      </c>
      <c r="H229" s="110">
        <v>2</v>
      </c>
      <c r="I229" s="108" t="s">
        <v>576</v>
      </c>
      <c r="J229" s="108" t="s">
        <v>343</v>
      </c>
      <c r="K229" s="110">
        <v>3</v>
      </c>
      <c r="L229" s="111">
        <f>IF(O229="Error",0,ROUND(ROUND(H229,0)*(VLOOKUP(J229,Rates!$J$5:$K$10,2,FALSE)),2))</f>
        <v>1640</v>
      </c>
      <c r="M229" s="112">
        <f t="shared" si="12"/>
        <v>720</v>
      </c>
      <c r="N229" s="113">
        <f t="shared" si="11"/>
        <v>2360</v>
      </c>
      <c r="O229" s="102" t="str">
        <f>IF(OR(COUNTIF(Rates!$J$13:$J$17,B229)=0,COUNTIF(Overview!$B$30:$B$84,C229)=0,D229="",E229="",F229="",COUNTIF(Rates!$Y$4:$Z$4,G229)=0,ISNUMBER(H229)=FALSE,I229="",COUNTIF(Rates!$J$5:$J$10,J229)=0,ISNUMBER(K229)=FALSE,IF(OR(IF(AND(G229="Staff",K229&gt;365),1,0)=1,IF(AND(G229="Student",K229&gt;60),1,0)=1),1,0)=1,IF(ISNUMBER(H229)=TRUE,H229=INT(H229*1)/1=FALSE),IF(ISNUMBER(K229)=TRUE,K229=INT(K229*1)/1=FALSE)),"Error","")</f>
        <v/>
      </c>
    </row>
    <row r="230" spans="2:15" s="103" customFormat="1" x14ac:dyDescent="0.25">
      <c r="B230" s="60" t="s">
        <v>368</v>
      </c>
      <c r="C230" s="94" t="s">
        <v>129</v>
      </c>
      <c r="D230" s="104" t="str">
        <f>IFERROR(IF(VLOOKUP(C230,Overview!$B$30:$E$84,2,FALSE)=0,"",VLOOKUP(C230,Overview!$B$30:$E$84,2,FALSE)),"")</f>
        <v xml:space="preserve">Altynsarin National Academy of Education </v>
      </c>
      <c r="E230" s="104" t="str">
        <f>IFERROR(IF(OR(VLOOKUP(C230,Overview!$B$30:$E$84,4,FALSE)="Country not found",VLOOKUP(C230,Overview!$B$30:$E$84,3,FALSE)=0),"",VLOOKUP(C230,Overview!$B$30:$E$84,3,FALSE)),"")</f>
        <v>Kazakhstan</v>
      </c>
      <c r="F230" s="108" t="s">
        <v>586</v>
      </c>
      <c r="G230" s="109" t="s">
        <v>520</v>
      </c>
      <c r="H230" s="110">
        <v>2</v>
      </c>
      <c r="I230" s="108" t="s">
        <v>576</v>
      </c>
      <c r="J230" s="108" t="s">
        <v>343</v>
      </c>
      <c r="K230" s="110">
        <v>3</v>
      </c>
      <c r="L230" s="111">
        <f>IF(O230="Error",0,ROUND(ROUND(H230,0)*(VLOOKUP(J230,Rates!$J$5:$K$10,2,FALSE)),2))</f>
        <v>1640</v>
      </c>
      <c r="M230" s="112">
        <f t="shared" si="12"/>
        <v>720</v>
      </c>
      <c r="N230" s="113">
        <f t="shared" si="11"/>
        <v>2360</v>
      </c>
      <c r="O230" s="102" t="str">
        <f>IF(OR(COUNTIF(Rates!$J$13:$J$17,B230)=0,COUNTIF(Overview!$B$30:$B$84,C230)=0,D230="",E230="",F230="",COUNTIF(Rates!$Y$4:$Z$4,G230)=0,ISNUMBER(H230)=FALSE,I230="",COUNTIF(Rates!$J$5:$J$10,J230)=0,ISNUMBER(K230)=FALSE,IF(OR(IF(AND(G230="Staff",K230&gt;365),1,0)=1,IF(AND(G230="Student",K230&gt;60),1,0)=1),1,0)=1,IF(ISNUMBER(H230)=TRUE,H230=INT(H230*1)/1=FALSE),IF(ISNUMBER(K230)=TRUE,K230=INT(K230*1)/1=FALSE)),"Error","")</f>
        <v/>
      </c>
    </row>
    <row r="231" spans="2:15" s="103" customFormat="1" x14ac:dyDescent="0.25">
      <c r="B231" s="60" t="s">
        <v>368</v>
      </c>
      <c r="C231" s="94" t="s">
        <v>130</v>
      </c>
      <c r="D231" s="104" t="str">
        <f>IFERROR(IF(VLOOKUP(C231,Overview!$B$30:$E$84,2,FALSE)=0,"",VLOOKUP(C231,Overview!$B$30:$E$84,2,FALSE)),"")</f>
        <v>Ministry of Education and Science of Kazakhstan</v>
      </c>
      <c r="E231" s="104" t="str">
        <f>IFERROR(IF(OR(VLOOKUP(C231,Overview!$B$30:$E$84,4,FALSE)="Country not found",VLOOKUP(C231,Overview!$B$30:$E$84,3,FALSE)=0),"",VLOOKUP(C231,Overview!$B$30:$E$84,3,FALSE)),"")</f>
        <v>Kazakhstan</v>
      </c>
      <c r="F231" s="108" t="s">
        <v>586</v>
      </c>
      <c r="G231" s="109" t="s">
        <v>520</v>
      </c>
      <c r="H231" s="110">
        <v>2</v>
      </c>
      <c r="I231" s="108" t="s">
        <v>576</v>
      </c>
      <c r="J231" s="108" t="s">
        <v>343</v>
      </c>
      <c r="K231" s="110">
        <v>3</v>
      </c>
      <c r="L231" s="111">
        <f>IF(O231="Error",0,ROUND(ROUND(H231,0)*(VLOOKUP(J231,Rates!$J$5:$K$10,2,FALSE)),2))</f>
        <v>1640</v>
      </c>
      <c r="M231" s="112">
        <f t="shared" si="12"/>
        <v>720</v>
      </c>
      <c r="N231" s="113">
        <f t="shared" ref="N231" si="13">L231+M231</f>
        <v>2360</v>
      </c>
      <c r="O231" s="102" t="str">
        <f>IF(OR(COUNTIF(Rates!$J$13:$J$17,B231)=0,COUNTIF(Overview!$B$30:$B$84,C231)=0,D231="",E231="",F231="",COUNTIF(Rates!$Y$4:$Z$4,G231)=0,ISNUMBER(H231)=FALSE,I231="",COUNTIF(Rates!$J$5:$J$10,J231)=0,ISNUMBER(K231)=FALSE,IF(OR(IF(AND(G231="Staff",K231&gt;365),1,0)=1,IF(AND(G231="Student",K231&gt;60),1,0)=1),1,0)=1,IF(ISNUMBER(H231)=TRUE,H231=INT(H231*1)/1=FALSE),IF(ISNUMBER(K231)=TRUE,K231=INT(K231*1)/1=FALSE)),"Error","")</f>
        <v/>
      </c>
    </row>
  </sheetData>
  <sheetProtection password="E359" sheet="1" objects="1" scenarios="1" selectLockedCells="1"/>
  <dataConsolidate/>
  <mergeCells count="21">
    <mergeCell ref="C8:D9"/>
    <mergeCell ref="C6:D7"/>
    <mergeCell ref="C4:D5"/>
    <mergeCell ref="B11:B12"/>
    <mergeCell ref="C11:C12"/>
    <mergeCell ref="O11:O12"/>
    <mergeCell ref="B2:O2"/>
    <mergeCell ref="F11:F12"/>
    <mergeCell ref="I11:I12"/>
    <mergeCell ref="H11:H12"/>
    <mergeCell ref="G11:G12"/>
    <mergeCell ref="E11:E12"/>
    <mergeCell ref="D11:D12"/>
    <mergeCell ref="N11:N12"/>
    <mergeCell ref="M11:M12"/>
    <mergeCell ref="L11:L12"/>
    <mergeCell ref="K11:K12"/>
    <mergeCell ref="J11:J12"/>
    <mergeCell ref="B8:B9"/>
    <mergeCell ref="B6:B7"/>
    <mergeCell ref="B4:B5"/>
  </mergeCells>
  <conditionalFormatting sqref="O13:O14">
    <cfRule type="containsText" dxfId="714" priority="598" operator="containsText" text="Error">
      <formula>NOT(ISERROR(SEARCH("Error",O13)))</formula>
    </cfRule>
  </conditionalFormatting>
  <conditionalFormatting sqref="D13:E14">
    <cfRule type="containsBlanks" dxfId="713" priority="600">
      <formula>LEN(TRIM(D13))=0</formula>
    </cfRule>
  </conditionalFormatting>
  <conditionalFormatting sqref="O15">
    <cfRule type="containsText" dxfId="712" priority="501" operator="containsText" text="Error">
      <formula>NOT(ISERROR(SEARCH("Error",O15)))</formula>
    </cfRule>
  </conditionalFormatting>
  <conditionalFormatting sqref="D15:E15">
    <cfRule type="containsBlanks" dxfId="711" priority="502">
      <formula>LEN(TRIM(D15))=0</formula>
    </cfRule>
  </conditionalFormatting>
  <conditionalFormatting sqref="O16">
    <cfRule type="containsText" dxfId="710" priority="499" operator="containsText" text="Error">
      <formula>NOT(ISERROR(SEARCH("Error",O16)))</formula>
    </cfRule>
  </conditionalFormatting>
  <conditionalFormatting sqref="D16:E16">
    <cfRule type="containsBlanks" dxfId="709" priority="500">
      <formula>LEN(TRIM(D16))=0</formula>
    </cfRule>
  </conditionalFormatting>
  <conditionalFormatting sqref="O17">
    <cfRule type="containsText" dxfId="708" priority="497" operator="containsText" text="Error">
      <formula>NOT(ISERROR(SEARCH("Error",O17)))</formula>
    </cfRule>
  </conditionalFormatting>
  <conditionalFormatting sqref="D17:E17">
    <cfRule type="containsBlanks" dxfId="707" priority="498">
      <formula>LEN(TRIM(D17))=0</formula>
    </cfRule>
  </conditionalFormatting>
  <conditionalFormatting sqref="O18">
    <cfRule type="containsText" dxfId="706" priority="495" operator="containsText" text="Error">
      <formula>NOT(ISERROR(SEARCH("Error",O18)))</formula>
    </cfRule>
  </conditionalFormatting>
  <conditionalFormatting sqref="D18:E18">
    <cfRule type="containsBlanks" dxfId="705" priority="496">
      <formula>LEN(TRIM(D18))=0</formula>
    </cfRule>
  </conditionalFormatting>
  <conditionalFormatting sqref="O19">
    <cfRule type="containsText" dxfId="704" priority="493" operator="containsText" text="Error">
      <formula>NOT(ISERROR(SEARCH("Error",O19)))</formula>
    </cfRule>
  </conditionalFormatting>
  <conditionalFormatting sqref="D19:E19">
    <cfRule type="containsBlanks" dxfId="703" priority="494">
      <formula>LEN(TRIM(D19))=0</formula>
    </cfRule>
  </conditionalFormatting>
  <conditionalFormatting sqref="O20">
    <cfRule type="containsText" dxfId="702" priority="491" operator="containsText" text="Error">
      <formula>NOT(ISERROR(SEARCH("Error",O20)))</formula>
    </cfRule>
  </conditionalFormatting>
  <conditionalFormatting sqref="D20:E20">
    <cfRule type="containsBlanks" dxfId="701" priority="492">
      <formula>LEN(TRIM(D20))=0</formula>
    </cfRule>
  </conditionalFormatting>
  <conditionalFormatting sqref="O21">
    <cfRule type="containsText" dxfId="700" priority="489" operator="containsText" text="Error">
      <formula>NOT(ISERROR(SEARCH("Error",O21)))</formula>
    </cfRule>
  </conditionalFormatting>
  <conditionalFormatting sqref="D21:E21">
    <cfRule type="containsBlanks" dxfId="699" priority="490">
      <formula>LEN(TRIM(D21))=0</formula>
    </cfRule>
  </conditionalFormatting>
  <conditionalFormatting sqref="O22">
    <cfRule type="containsText" dxfId="698" priority="487" operator="containsText" text="Error">
      <formula>NOT(ISERROR(SEARCH("Error",O22)))</formula>
    </cfRule>
  </conditionalFormatting>
  <conditionalFormatting sqref="D22:E22">
    <cfRule type="containsBlanks" dxfId="697" priority="488">
      <formula>LEN(TRIM(D22))=0</formula>
    </cfRule>
  </conditionalFormatting>
  <conditionalFormatting sqref="O23">
    <cfRule type="containsText" dxfId="696" priority="485" operator="containsText" text="Error">
      <formula>NOT(ISERROR(SEARCH("Error",O23)))</formula>
    </cfRule>
  </conditionalFormatting>
  <conditionalFormatting sqref="D23:E23">
    <cfRule type="containsBlanks" dxfId="695" priority="486">
      <formula>LEN(TRIM(D23))=0</formula>
    </cfRule>
  </conditionalFormatting>
  <conditionalFormatting sqref="O24">
    <cfRule type="containsText" dxfId="694" priority="483" operator="containsText" text="Error">
      <formula>NOT(ISERROR(SEARCH("Error",O24)))</formula>
    </cfRule>
  </conditionalFormatting>
  <conditionalFormatting sqref="D24:E24">
    <cfRule type="containsBlanks" dxfId="693" priority="484">
      <formula>LEN(TRIM(D24))=0</formula>
    </cfRule>
  </conditionalFormatting>
  <conditionalFormatting sqref="O25">
    <cfRule type="containsText" dxfId="692" priority="481" operator="containsText" text="Error">
      <formula>NOT(ISERROR(SEARCH("Error",O25)))</formula>
    </cfRule>
  </conditionalFormatting>
  <conditionalFormatting sqref="D25:E25">
    <cfRule type="containsBlanks" dxfId="691" priority="482">
      <formula>LEN(TRIM(D25))=0</formula>
    </cfRule>
  </conditionalFormatting>
  <conditionalFormatting sqref="O26">
    <cfRule type="containsText" dxfId="690" priority="479" operator="containsText" text="Error">
      <formula>NOT(ISERROR(SEARCH("Error",O26)))</formula>
    </cfRule>
  </conditionalFormatting>
  <conditionalFormatting sqref="D26:E26">
    <cfRule type="containsBlanks" dxfId="689" priority="480">
      <formula>LEN(TRIM(D26))=0</formula>
    </cfRule>
  </conditionalFormatting>
  <conditionalFormatting sqref="O27">
    <cfRule type="containsText" dxfId="688" priority="477" operator="containsText" text="Error">
      <formula>NOT(ISERROR(SEARCH("Error",O27)))</formula>
    </cfRule>
  </conditionalFormatting>
  <conditionalFormatting sqref="D27:E27">
    <cfRule type="containsBlanks" dxfId="687" priority="478">
      <formula>LEN(TRIM(D27))=0</formula>
    </cfRule>
  </conditionalFormatting>
  <conditionalFormatting sqref="O28">
    <cfRule type="containsText" dxfId="686" priority="475" operator="containsText" text="Error">
      <formula>NOT(ISERROR(SEARCH("Error",O28)))</formula>
    </cfRule>
  </conditionalFormatting>
  <conditionalFormatting sqref="D28:E28">
    <cfRule type="containsBlanks" dxfId="685" priority="476">
      <formula>LEN(TRIM(D28))=0</formula>
    </cfRule>
  </conditionalFormatting>
  <conditionalFormatting sqref="O29">
    <cfRule type="containsText" dxfId="684" priority="473" operator="containsText" text="Error">
      <formula>NOT(ISERROR(SEARCH("Error",O29)))</formula>
    </cfRule>
  </conditionalFormatting>
  <conditionalFormatting sqref="D29:E29">
    <cfRule type="containsBlanks" dxfId="683" priority="474">
      <formula>LEN(TRIM(D29))=0</formula>
    </cfRule>
  </conditionalFormatting>
  <conditionalFormatting sqref="O30">
    <cfRule type="containsText" dxfId="682" priority="471" operator="containsText" text="Error">
      <formula>NOT(ISERROR(SEARCH("Error",O30)))</formula>
    </cfRule>
  </conditionalFormatting>
  <conditionalFormatting sqref="D30:E30">
    <cfRule type="containsBlanks" dxfId="681" priority="472">
      <formula>LEN(TRIM(D30))=0</formula>
    </cfRule>
  </conditionalFormatting>
  <conditionalFormatting sqref="O31">
    <cfRule type="containsText" dxfId="680" priority="469" operator="containsText" text="Error">
      <formula>NOT(ISERROR(SEARCH("Error",O31)))</formula>
    </cfRule>
  </conditionalFormatting>
  <conditionalFormatting sqref="D31:E31">
    <cfRule type="containsBlanks" dxfId="679" priority="470">
      <formula>LEN(TRIM(D31))=0</formula>
    </cfRule>
  </conditionalFormatting>
  <conditionalFormatting sqref="O32">
    <cfRule type="containsText" dxfId="678" priority="467" operator="containsText" text="Error">
      <formula>NOT(ISERROR(SEARCH("Error",O32)))</formula>
    </cfRule>
  </conditionalFormatting>
  <conditionalFormatting sqref="D32:E32">
    <cfRule type="containsBlanks" dxfId="677" priority="468">
      <formula>LEN(TRIM(D32))=0</formula>
    </cfRule>
  </conditionalFormatting>
  <conditionalFormatting sqref="O33">
    <cfRule type="containsText" dxfId="676" priority="465" operator="containsText" text="Error">
      <formula>NOT(ISERROR(SEARCH("Error",O33)))</formula>
    </cfRule>
  </conditionalFormatting>
  <conditionalFormatting sqref="D33:E33">
    <cfRule type="containsBlanks" dxfId="675" priority="466">
      <formula>LEN(TRIM(D33))=0</formula>
    </cfRule>
  </conditionalFormatting>
  <conditionalFormatting sqref="O34">
    <cfRule type="containsText" dxfId="674" priority="463" operator="containsText" text="Error">
      <formula>NOT(ISERROR(SEARCH("Error",O34)))</formula>
    </cfRule>
  </conditionalFormatting>
  <conditionalFormatting sqref="D34:E34">
    <cfRule type="containsBlanks" dxfId="673" priority="464">
      <formula>LEN(TRIM(D34))=0</formula>
    </cfRule>
  </conditionalFormatting>
  <conditionalFormatting sqref="O35">
    <cfRule type="containsText" dxfId="672" priority="461" operator="containsText" text="Error">
      <formula>NOT(ISERROR(SEARCH("Error",O35)))</formula>
    </cfRule>
  </conditionalFormatting>
  <conditionalFormatting sqref="D35:E35">
    <cfRule type="containsBlanks" dxfId="671" priority="462">
      <formula>LEN(TRIM(D35))=0</formula>
    </cfRule>
  </conditionalFormatting>
  <conditionalFormatting sqref="O36">
    <cfRule type="containsText" dxfId="670" priority="459" operator="containsText" text="Error">
      <formula>NOT(ISERROR(SEARCH("Error",O36)))</formula>
    </cfRule>
  </conditionalFormatting>
  <conditionalFormatting sqref="D36:E36">
    <cfRule type="containsBlanks" dxfId="669" priority="460">
      <formula>LEN(TRIM(D36))=0</formula>
    </cfRule>
  </conditionalFormatting>
  <conditionalFormatting sqref="O38">
    <cfRule type="containsText" dxfId="668" priority="457" operator="containsText" text="Error">
      <formula>NOT(ISERROR(SEARCH("Error",O38)))</formula>
    </cfRule>
  </conditionalFormatting>
  <conditionalFormatting sqref="D38:E38">
    <cfRule type="containsBlanks" dxfId="667" priority="458">
      <formula>LEN(TRIM(D38))=0</formula>
    </cfRule>
  </conditionalFormatting>
  <conditionalFormatting sqref="O39">
    <cfRule type="containsText" dxfId="666" priority="455" operator="containsText" text="Error">
      <formula>NOT(ISERROR(SEARCH("Error",O39)))</formula>
    </cfRule>
  </conditionalFormatting>
  <conditionalFormatting sqref="D39:E39">
    <cfRule type="containsBlanks" dxfId="665" priority="456">
      <formula>LEN(TRIM(D39))=0</formula>
    </cfRule>
  </conditionalFormatting>
  <conditionalFormatting sqref="O40">
    <cfRule type="containsText" dxfId="664" priority="453" operator="containsText" text="Error">
      <formula>NOT(ISERROR(SEARCH("Error",O40)))</formula>
    </cfRule>
  </conditionalFormatting>
  <conditionalFormatting sqref="D40:E40">
    <cfRule type="containsBlanks" dxfId="663" priority="454">
      <formula>LEN(TRIM(D40))=0</formula>
    </cfRule>
  </conditionalFormatting>
  <conditionalFormatting sqref="O41">
    <cfRule type="containsText" dxfId="662" priority="451" operator="containsText" text="Error">
      <formula>NOT(ISERROR(SEARCH("Error",O41)))</formula>
    </cfRule>
  </conditionalFormatting>
  <conditionalFormatting sqref="D41:E41">
    <cfRule type="containsBlanks" dxfId="661" priority="452">
      <formula>LEN(TRIM(D41))=0</formula>
    </cfRule>
  </conditionalFormatting>
  <conditionalFormatting sqref="O42">
    <cfRule type="containsText" dxfId="660" priority="449" operator="containsText" text="Error">
      <formula>NOT(ISERROR(SEARCH("Error",O42)))</formula>
    </cfRule>
  </conditionalFormatting>
  <conditionalFormatting sqref="D42:E42">
    <cfRule type="containsBlanks" dxfId="659" priority="450">
      <formula>LEN(TRIM(D42))=0</formula>
    </cfRule>
  </conditionalFormatting>
  <conditionalFormatting sqref="O43">
    <cfRule type="containsText" dxfId="658" priority="447" operator="containsText" text="Error">
      <formula>NOT(ISERROR(SEARCH("Error",O43)))</formula>
    </cfRule>
  </conditionalFormatting>
  <conditionalFormatting sqref="D43:E43">
    <cfRule type="containsBlanks" dxfId="657" priority="448">
      <formula>LEN(TRIM(D43))=0</formula>
    </cfRule>
  </conditionalFormatting>
  <conditionalFormatting sqref="O44">
    <cfRule type="containsText" dxfId="656" priority="445" operator="containsText" text="Error">
      <formula>NOT(ISERROR(SEARCH("Error",O44)))</formula>
    </cfRule>
  </conditionalFormatting>
  <conditionalFormatting sqref="D44:E44">
    <cfRule type="containsBlanks" dxfId="655" priority="446">
      <formula>LEN(TRIM(D44))=0</formula>
    </cfRule>
  </conditionalFormatting>
  <conditionalFormatting sqref="O45">
    <cfRule type="containsText" dxfId="654" priority="443" operator="containsText" text="Error">
      <formula>NOT(ISERROR(SEARCH("Error",O45)))</formula>
    </cfRule>
  </conditionalFormatting>
  <conditionalFormatting sqref="D45:E45">
    <cfRule type="containsBlanks" dxfId="653" priority="444">
      <formula>LEN(TRIM(D45))=0</formula>
    </cfRule>
  </conditionalFormatting>
  <conditionalFormatting sqref="O46">
    <cfRule type="containsText" dxfId="652" priority="439" operator="containsText" text="Error">
      <formula>NOT(ISERROR(SEARCH("Error",O46)))</formula>
    </cfRule>
  </conditionalFormatting>
  <conditionalFormatting sqref="D46:E46">
    <cfRule type="containsBlanks" dxfId="651" priority="440">
      <formula>LEN(TRIM(D46))=0</formula>
    </cfRule>
  </conditionalFormatting>
  <conditionalFormatting sqref="O47">
    <cfRule type="containsText" dxfId="650" priority="437" operator="containsText" text="Error">
      <formula>NOT(ISERROR(SEARCH("Error",O47)))</formula>
    </cfRule>
  </conditionalFormatting>
  <conditionalFormatting sqref="D47:E47">
    <cfRule type="containsBlanks" dxfId="649" priority="438">
      <formula>LEN(TRIM(D47))=0</formula>
    </cfRule>
  </conditionalFormatting>
  <conditionalFormatting sqref="O49">
    <cfRule type="containsText" dxfId="648" priority="435" operator="containsText" text="Error">
      <formula>NOT(ISERROR(SEARCH("Error",O49)))</formula>
    </cfRule>
  </conditionalFormatting>
  <conditionalFormatting sqref="D49:E49">
    <cfRule type="containsBlanks" dxfId="647" priority="436">
      <formula>LEN(TRIM(D49))=0</formula>
    </cfRule>
  </conditionalFormatting>
  <conditionalFormatting sqref="O50">
    <cfRule type="containsText" dxfId="646" priority="433" operator="containsText" text="Error">
      <formula>NOT(ISERROR(SEARCH("Error",O50)))</formula>
    </cfRule>
  </conditionalFormatting>
  <conditionalFormatting sqref="D50:E50">
    <cfRule type="containsBlanks" dxfId="645" priority="434">
      <formula>LEN(TRIM(D50))=0</formula>
    </cfRule>
  </conditionalFormatting>
  <conditionalFormatting sqref="O51">
    <cfRule type="containsText" dxfId="644" priority="431" operator="containsText" text="Error">
      <formula>NOT(ISERROR(SEARCH("Error",O51)))</formula>
    </cfRule>
  </conditionalFormatting>
  <conditionalFormatting sqref="D51:E51">
    <cfRule type="containsBlanks" dxfId="643" priority="432">
      <formula>LEN(TRIM(D51))=0</formula>
    </cfRule>
  </conditionalFormatting>
  <conditionalFormatting sqref="O52">
    <cfRule type="containsText" dxfId="642" priority="429" operator="containsText" text="Error">
      <formula>NOT(ISERROR(SEARCH("Error",O52)))</formula>
    </cfRule>
  </conditionalFormatting>
  <conditionalFormatting sqref="D52:E52">
    <cfRule type="containsBlanks" dxfId="641" priority="430">
      <formula>LEN(TRIM(D52))=0</formula>
    </cfRule>
  </conditionalFormatting>
  <conditionalFormatting sqref="O53">
    <cfRule type="containsText" dxfId="640" priority="427" operator="containsText" text="Error">
      <formula>NOT(ISERROR(SEARCH("Error",O53)))</formula>
    </cfRule>
  </conditionalFormatting>
  <conditionalFormatting sqref="D53:E53">
    <cfRule type="containsBlanks" dxfId="639" priority="428">
      <formula>LEN(TRIM(D53))=0</formula>
    </cfRule>
  </conditionalFormatting>
  <conditionalFormatting sqref="O54">
    <cfRule type="containsText" dxfId="638" priority="425" operator="containsText" text="Error">
      <formula>NOT(ISERROR(SEARCH("Error",O54)))</formula>
    </cfRule>
  </conditionalFormatting>
  <conditionalFormatting sqref="D54:E54">
    <cfRule type="containsBlanks" dxfId="637" priority="426">
      <formula>LEN(TRIM(D54))=0</formula>
    </cfRule>
  </conditionalFormatting>
  <conditionalFormatting sqref="O55">
    <cfRule type="containsText" dxfId="636" priority="423" operator="containsText" text="Error">
      <formula>NOT(ISERROR(SEARCH("Error",O55)))</formula>
    </cfRule>
  </conditionalFormatting>
  <conditionalFormatting sqref="D55:E55">
    <cfRule type="containsBlanks" dxfId="635" priority="424">
      <formula>LEN(TRIM(D55))=0</formula>
    </cfRule>
  </conditionalFormatting>
  <conditionalFormatting sqref="O56">
    <cfRule type="containsText" dxfId="634" priority="421" operator="containsText" text="Error">
      <formula>NOT(ISERROR(SEARCH("Error",O56)))</formula>
    </cfRule>
  </conditionalFormatting>
  <conditionalFormatting sqref="D56:E56">
    <cfRule type="containsBlanks" dxfId="633" priority="422">
      <formula>LEN(TRIM(D56))=0</formula>
    </cfRule>
  </conditionalFormatting>
  <conditionalFormatting sqref="O57">
    <cfRule type="containsText" dxfId="632" priority="419" operator="containsText" text="Error">
      <formula>NOT(ISERROR(SEARCH("Error",O57)))</formula>
    </cfRule>
  </conditionalFormatting>
  <conditionalFormatting sqref="D57:E57">
    <cfRule type="containsBlanks" dxfId="631" priority="420">
      <formula>LEN(TRIM(D57))=0</formula>
    </cfRule>
  </conditionalFormatting>
  <conditionalFormatting sqref="O58">
    <cfRule type="containsText" dxfId="630" priority="417" operator="containsText" text="Error">
      <formula>NOT(ISERROR(SEARCH("Error",O58)))</formula>
    </cfRule>
  </conditionalFormatting>
  <conditionalFormatting sqref="D58:E58">
    <cfRule type="containsBlanks" dxfId="629" priority="418">
      <formula>LEN(TRIM(D58))=0</formula>
    </cfRule>
  </conditionalFormatting>
  <conditionalFormatting sqref="O61">
    <cfRule type="containsText" dxfId="628" priority="415" operator="containsText" text="Error">
      <formula>NOT(ISERROR(SEARCH("Error",O61)))</formula>
    </cfRule>
  </conditionalFormatting>
  <conditionalFormatting sqref="D61:E61">
    <cfRule type="containsBlanks" dxfId="627" priority="416">
      <formula>LEN(TRIM(D61))=0</formula>
    </cfRule>
  </conditionalFormatting>
  <conditionalFormatting sqref="O62">
    <cfRule type="containsText" dxfId="626" priority="413" operator="containsText" text="Error">
      <formula>NOT(ISERROR(SEARCH("Error",O62)))</formula>
    </cfRule>
  </conditionalFormatting>
  <conditionalFormatting sqref="D62:E62">
    <cfRule type="containsBlanks" dxfId="625" priority="414">
      <formula>LEN(TRIM(D62))=0</formula>
    </cfRule>
  </conditionalFormatting>
  <conditionalFormatting sqref="O63">
    <cfRule type="containsText" dxfId="624" priority="411" operator="containsText" text="Error">
      <formula>NOT(ISERROR(SEARCH("Error",O63)))</formula>
    </cfRule>
  </conditionalFormatting>
  <conditionalFormatting sqref="D63:E63">
    <cfRule type="containsBlanks" dxfId="623" priority="412">
      <formula>LEN(TRIM(D63))=0</formula>
    </cfRule>
  </conditionalFormatting>
  <conditionalFormatting sqref="O64">
    <cfRule type="containsText" dxfId="622" priority="409" operator="containsText" text="Error">
      <formula>NOT(ISERROR(SEARCH("Error",O64)))</formula>
    </cfRule>
  </conditionalFormatting>
  <conditionalFormatting sqref="D64:E64">
    <cfRule type="containsBlanks" dxfId="621" priority="410">
      <formula>LEN(TRIM(D64))=0</formula>
    </cfRule>
  </conditionalFormatting>
  <conditionalFormatting sqref="O65">
    <cfRule type="containsText" dxfId="620" priority="407" operator="containsText" text="Error">
      <formula>NOT(ISERROR(SEARCH("Error",O65)))</formula>
    </cfRule>
  </conditionalFormatting>
  <conditionalFormatting sqref="D65:E65">
    <cfRule type="containsBlanks" dxfId="619" priority="408">
      <formula>LEN(TRIM(D65))=0</formula>
    </cfRule>
  </conditionalFormatting>
  <conditionalFormatting sqref="O66">
    <cfRule type="containsText" dxfId="618" priority="405" operator="containsText" text="Error">
      <formula>NOT(ISERROR(SEARCH("Error",O66)))</formula>
    </cfRule>
  </conditionalFormatting>
  <conditionalFormatting sqref="D66:E66">
    <cfRule type="containsBlanks" dxfId="617" priority="406">
      <formula>LEN(TRIM(D66))=0</formula>
    </cfRule>
  </conditionalFormatting>
  <conditionalFormatting sqref="O67">
    <cfRule type="containsText" dxfId="616" priority="403" operator="containsText" text="Error">
      <formula>NOT(ISERROR(SEARCH("Error",O67)))</formula>
    </cfRule>
  </conditionalFormatting>
  <conditionalFormatting sqref="D67:E67">
    <cfRule type="containsBlanks" dxfId="615" priority="404">
      <formula>LEN(TRIM(D67))=0</formula>
    </cfRule>
  </conditionalFormatting>
  <conditionalFormatting sqref="O68">
    <cfRule type="containsText" dxfId="614" priority="401" operator="containsText" text="Error">
      <formula>NOT(ISERROR(SEARCH("Error",O68)))</formula>
    </cfRule>
  </conditionalFormatting>
  <conditionalFormatting sqref="D68:E68">
    <cfRule type="containsBlanks" dxfId="613" priority="402">
      <formula>LEN(TRIM(D68))=0</formula>
    </cfRule>
  </conditionalFormatting>
  <conditionalFormatting sqref="O69">
    <cfRule type="containsText" dxfId="612" priority="399" operator="containsText" text="Error">
      <formula>NOT(ISERROR(SEARCH("Error",O69)))</formula>
    </cfRule>
  </conditionalFormatting>
  <conditionalFormatting sqref="D69:E69">
    <cfRule type="containsBlanks" dxfId="611" priority="400">
      <formula>LEN(TRIM(D69))=0</formula>
    </cfRule>
  </conditionalFormatting>
  <conditionalFormatting sqref="O70">
    <cfRule type="containsText" dxfId="610" priority="397" operator="containsText" text="Error">
      <formula>NOT(ISERROR(SEARCH("Error",O70)))</formula>
    </cfRule>
  </conditionalFormatting>
  <conditionalFormatting sqref="D70:E70">
    <cfRule type="containsBlanks" dxfId="609" priority="398">
      <formula>LEN(TRIM(D70))=0</formula>
    </cfRule>
  </conditionalFormatting>
  <conditionalFormatting sqref="O71">
    <cfRule type="containsText" dxfId="608" priority="395" operator="containsText" text="Error">
      <formula>NOT(ISERROR(SEARCH("Error",O71)))</formula>
    </cfRule>
  </conditionalFormatting>
  <conditionalFormatting sqref="D71:E71">
    <cfRule type="containsBlanks" dxfId="607" priority="396">
      <formula>LEN(TRIM(D71))=0</formula>
    </cfRule>
  </conditionalFormatting>
  <conditionalFormatting sqref="O72">
    <cfRule type="containsText" dxfId="606" priority="393" operator="containsText" text="Error">
      <formula>NOT(ISERROR(SEARCH("Error",O72)))</formula>
    </cfRule>
  </conditionalFormatting>
  <conditionalFormatting sqref="D72:E72">
    <cfRule type="containsBlanks" dxfId="605" priority="394">
      <formula>LEN(TRIM(D72))=0</formula>
    </cfRule>
  </conditionalFormatting>
  <conditionalFormatting sqref="O73">
    <cfRule type="containsText" dxfId="604" priority="391" operator="containsText" text="Error">
      <formula>NOT(ISERROR(SEARCH("Error",O73)))</formula>
    </cfRule>
  </conditionalFormatting>
  <conditionalFormatting sqref="D73:E73">
    <cfRule type="containsBlanks" dxfId="603" priority="392">
      <formula>LEN(TRIM(D73))=0</formula>
    </cfRule>
  </conditionalFormatting>
  <conditionalFormatting sqref="O76">
    <cfRule type="containsText" dxfId="602" priority="389" operator="containsText" text="Error">
      <formula>NOT(ISERROR(SEARCH("Error",O76)))</formula>
    </cfRule>
  </conditionalFormatting>
  <conditionalFormatting sqref="D76:E76">
    <cfRule type="containsBlanks" dxfId="601" priority="390">
      <formula>LEN(TRIM(D76))=0</formula>
    </cfRule>
  </conditionalFormatting>
  <conditionalFormatting sqref="O77">
    <cfRule type="containsText" dxfId="600" priority="387" operator="containsText" text="Error">
      <formula>NOT(ISERROR(SEARCH("Error",O77)))</formula>
    </cfRule>
  </conditionalFormatting>
  <conditionalFormatting sqref="D77:E77">
    <cfRule type="containsBlanks" dxfId="599" priority="388">
      <formula>LEN(TRIM(D77))=0</formula>
    </cfRule>
  </conditionalFormatting>
  <conditionalFormatting sqref="O78">
    <cfRule type="containsText" dxfId="598" priority="385" operator="containsText" text="Error">
      <formula>NOT(ISERROR(SEARCH("Error",O78)))</formula>
    </cfRule>
  </conditionalFormatting>
  <conditionalFormatting sqref="D78:E78">
    <cfRule type="containsBlanks" dxfId="597" priority="386">
      <formula>LEN(TRIM(D78))=0</formula>
    </cfRule>
  </conditionalFormatting>
  <conditionalFormatting sqref="O79">
    <cfRule type="containsText" dxfId="596" priority="383" operator="containsText" text="Error">
      <formula>NOT(ISERROR(SEARCH("Error",O79)))</formula>
    </cfRule>
  </conditionalFormatting>
  <conditionalFormatting sqref="D79:E79">
    <cfRule type="containsBlanks" dxfId="595" priority="384">
      <formula>LEN(TRIM(D79))=0</formula>
    </cfRule>
  </conditionalFormatting>
  <conditionalFormatting sqref="O80">
    <cfRule type="containsText" dxfId="594" priority="381" operator="containsText" text="Error">
      <formula>NOT(ISERROR(SEARCH("Error",O80)))</formula>
    </cfRule>
  </conditionalFormatting>
  <conditionalFormatting sqref="D80:E80">
    <cfRule type="containsBlanks" dxfId="593" priority="382">
      <formula>LEN(TRIM(D80))=0</formula>
    </cfRule>
  </conditionalFormatting>
  <conditionalFormatting sqref="O81">
    <cfRule type="containsText" dxfId="592" priority="379" operator="containsText" text="Error">
      <formula>NOT(ISERROR(SEARCH("Error",O81)))</formula>
    </cfRule>
  </conditionalFormatting>
  <conditionalFormatting sqref="D81:E81">
    <cfRule type="containsBlanks" dxfId="591" priority="380">
      <formula>LEN(TRIM(D81))=0</formula>
    </cfRule>
  </conditionalFormatting>
  <conditionalFormatting sqref="O82">
    <cfRule type="containsText" dxfId="590" priority="377" operator="containsText" text="Error">
      <formula>NOT(ISERROR(SEARCH("Error",O82)))</formula>
    </cfRule>
  </conditionalFormatting>
  <conditionalFormatting sqref="D82:E82">
    <cfRule type="containsBlanks" dxfId="589" priority="378">
      <formula>LEN(TRIM(D82))=0</formula>
    </cfRule>
  </conditionalFormatting>
  <conditionalFormatting sqref="O92">
    <cfRule type="containsText" dxfId="588" priority="375" operator="containsText" text="Error">
      <formula>NOT(ISERROR(SEARCH("Error",O92)))</formula>
    </cfRule>
  </conditionalFormatting>
  <conditionalFormatting sqref="D92:E92">
    <cfRule type="containsBlanks" dxfId="587" priority="376">
      <formula>LEN(TRIM(D92))=0</formula>
    </cfRule>
  </conditionalFormatting>
  <conditionalFormatting sqref="O83">
    <cfRule type="containsText" dxfId="586" priority="373" operator="containsText" text="Error">
      <formula>NOT(ISERROR(SEARCH("Error",O83)))</formula>
    </cfRule>
  </conditionalFormatting>
  <conditionalFormatting sqref="D83:E83">
    <cfRule type="containsBlanks" dxfId="585" priority="374">
      <formula>LEN(TRIM(D83))=0</formula>
    </cfRule>
  </conditionalFormatting>
  <conditionalFormatting sqref="O84">
    <cfRule type="containsText" dxfId="584" priority="371" operator="containsText" text="Error">
      <formula>NOT(ISERROR(SEARCH("Error",O84)))</formula>
    </cfRule>
  </conditionalFormatting>
  <conditionalFormatting sqref="D84:E84">
    <cfRule type="containsBlanks" dxfId="583" priority="372">
      <formula>LEN(TRIM(D84))=0</formula>
    </cfRule>
  </conditionalFormatting>
  <conditionalFormatting sqref="O85">
    <cfRule type="containsText" dxfId="582" priority="369" operator="containsText" text="Error">
      <formula>NOT(ISERROR(SEARCH("Error",O85)))</formula>
    </cfRule>
  </conditionalFormatting>
  <conditionalFormatting sqref="D85:E85">
    <cfRule type="containsBlanks" dxfId="581" priority="370">
      <formula>LEN(TRIM(D85))=0</formula>
    </cfRule>
  </conditionalFormatting>
  <conditionalFormatting sqref="O88">
    <cfRule type="containsText" dxfId="580" priority="353" operator="containsText" text="Error">
      <formula>NOT(ISERROR(SEARCH("Error",O88)))</formula>
    </cfRule>
  </conditionalFormatting>
  <conditionalFormatting sqref="D88:E88">
    <cfRule type="containsBlanks" dxfId="579" priority="354">
      <formula>LEN(TRIM(D88))=0</formula>
    </cfRule>
  </conditionalFormatting>
  <conditionalFormatting sqref="O89">
    <cfRule type="containsText" dxfId="578" priority="351" operator="containsText" text="Error">
      <formula>NOT(ISERROR(SEARCH("Error",O89)))</formula>
    </cfRule>
  </conditionalFormatting>
  <conditionalFormatting sqref="D89:E89">
    <cfRule type="containsBlanks" dxfId="577" priority="352">
      <formula>LEN(TRIM(D89))=0</formula>
    </cfRule>
  </conditionalFormatting>
  <conditionalFormatting sqref="O90">
    <cfRule type="containsText" dxfId="576" priority="349" operator="containsText" text="Error">
      <formula>NOT(ISERROR(SEARCH("Error",O90)))</formula>
    </cfRule>
  </conditionalFormatting>
  <conditionalFormatting sqref="D90:E90">
    <cfRule type="containsBlanks" dxfId="575" priority="350">
      <formula>LEN(TRIM(D90))=0</formula>
    </cfRule>
  </conditionalFormatting>
  <conditionalFormatting sqref="O91">
    <cfRule type="containsText" dxfId="574" priority="347" operator="containsText" text="Error">
      <formula>NOT(ISERROR(SEARCH("Error",O91)))</formula>
    </cfRule>
  </conditionalFormatting>
  <conditionalFormatting sqref="D91:E91">
    <cfRule type="containsBlanks" dxfId="573" priority="348">
      <formula>LEN(TRIM(D91))=0</formula>
    </cfRule>
  </conditionalFormatting>
  <conditionalFormatting sqref="O93">
    <cfRule type="containsText" dxfId="572" priority="345" operator="containsText" text="Error">
      <formula>NOT(ISERROR(SEARCH("Error",O93)))</formula>
    </cfRule>
  </conditionalFormatting>
  <conditionalFormatting sqref="D93:E93">
    <cfRule type="containsBlanks" dxfId="571" priority="346">
      <formula>LEN(TRIM(D93))=0</formula>
    </cfRule>
  </conditionalFormatting>
  <conditionalFormatting sqref="O94">
    <cfRule type="containsText" dxfId="570" priority="343" operator="containsText" text="Error">
      <formula>NOT(ISERROR(SEARCH("Error",O94)))</formula>
    </cfRule>
  </conditionalFormatting>
  <conditionalFormatting sqref="D94:E94">
    <cfRule type="containsBlanks" dxfId="569" priority="344">
      <formula>LEN(TRIM(D94))=0</formula>
    </cfRule>
  </conditionalFormatting>
  <conditionalFormatting sqref="O95">
    <cfRule type="containsText" dxfId="568" priority="341" operator="containsText" text="Error">
      <formula>NOT(ISERROR(SEARCH("Error",O95)))</formula>
    </cfRule>
  </conditionalFormatting>
  <conditionalFormatting sqref="D95:E95">
    <cfRule type="containsBlanks" dxfId="567" priority="342">
      <formula>LEN(TRIM(D95))=0</formula>
    </cfRule>
  </conditionalFormatting>
  <conditionalFormatting sqref="O96">
    <cfRule type="containsText" dxfId="566" priority="339" operator="containsText" text="Error">
      <formula>NOT(ISERROR(SEARCH("Error",O96)))</formula>
    </cfRule>
  </conditionalFormatting>
  <conditionalFormatting sqref="D96:E96">
    <cfRule type="containsBlanks" dxfId="565" priority="340">
      <formula>LEN(TRIM(D96))=0</formula>
    </cfRule>
  </conditionalFormatting>
  <conditionalFormatting sqref="O97">
    <cfRule type="containsText" dxfId="564" priority="337" operator="containsText" text="Error">
      <formula>NOT(ISERROR(SEARCH("Error",O97)))</formula>
    </cfRule>
  </conditionalFormatting>
  <conditionalFormatting sqref="D97:E97">
    <cfRule type="containsBlanks" dxfId="563" priority="338">
      <formula>LEN(TRIM(D97))=0</formula>
    </cfRule>
  </conditionalFormatting>
  <conditionalFormatting sqref="O98">
    <cfRule type="containsText" dxfId="562" priority="335" operator="containsText" text="Error">
      <formula>NOT(ISERROR(SEARCH("Error",O98)))</formula>
    </cfRule>
  </conditionalFormatting>
  <conditionalFormatting sqref="D98:E98">
    <cfRule type="containsBlanks" dxfId="561" priority="336">
      <formula>LEN(TRIM(D98))=0</formula>
    </cfRule>
  </conditionalFormatting>
  <conditionalFormatting sqref="O99">
    <cfRule type="containsText" dxfId="560" priority="333" operator="containsText" text="Error">
      <formula>NOT(ISERROR(SEARCH("Error",O99)))</formula>
    </cfRule>
  </conditionalFormatting>
  <conditionalFormatting sqref="D99:E99">
    <cfRule type="containsBlanks" dxfId="559" priority="334">
      <formula>LEN(TRIM(D99))=0</formula>
    </cfRule>
  </conditionalFormatting>
  <conditionalFormatting sqref="O100">
    <cfRule type="containsText" dxfId="558" priority="331" operator="containsText" text="Error">
      <formula>NOT(ISERROR(SEARCH("Error",O100)))</formula>
    </cfRule>
  </conditionalFormatting>
  <conditionalFormatting sqref="D100:E100">
    <cfRule type="containsBlanks" dxfId="557" priority="332">
      <formula>LEN(TRIM(D100))=0</formula>
    </cfRule>
  </conditionalFormatting>
  <conditionalFormatting sqref="O101">
    <cfRule type="containsText" dxfId="556" priority="329" operator="containsText" text="Error">
      <formula>NOT(ISERROR(SEARCH("Error",O101)))</formula>
    </cfRule>
  </conditionalFormatting>
  <conditionalFormatting sqref="D101:E101">
    <cfRule type="containsBlanks" dxfId="555" priority="330">
      <formula>LEN(TRIM(D101))=0</formula>
    </cfRule>
  </conditionalFormatting>
  <conditionalFormatting sqref="O102">
    <cfRule type="containsText" dxfId="554" priority="327" operator="containsText" text="Error">
      <formula>NOT(ISERROR(SEARCH("Error",O102)))</formula>
    </cfRule>
  </conditionalFormatting>
  <conditionalFormatting sqref="D102:E102">
    <cfRule type="containsBlanks" dxfId="553" priority="328">
      <formula>LEN(TRIM(D102))=0</formula>
    </cfRule>
  </conditionalFormatting>
  <conditionalFormatting sqref="O103">
    <cfRule type="containsText" dxfId="552" priority="325" operator="containsText" text="Error">
      <formula>NOT(ISERROR(SEARCH("Error",O103)))</formula>
    </cfRule>
  </conditionalFormatting>
  <conditionalFormatting sqref="D103:E103">
    <cfRule type="containsBlanks" dxfId="551" priority="326">
      <formula>LEN(TRIM(D103))=0</formula>
    </cfRule>
  </conditionalFormatting>
  <conditionalFormatting sqref="O104">
    <cfRule type="containsText" dxfId="550" priority="323" operator="containsText" text="Error">
      <formula>NOT(ISERROR(SEARCH("Error",O104)))</formula>
    </cfRule>
  </conditionalFormatting>
  <conditionalFormatting sqref="D104:E104">
    <cfRule type="containsBlanks" dxfId="549" priority="324">
      <formula>LEN(TRIM(D104))=0</formula>
    </cfRule>
  </conditionalFormatting>
  <conditionalFormatting sqref="O105">
    <cfRule type="containsText" dxfId="548" priority="321" operator="containsText" text="Error">
      <formula>NOT(ISERROR(SEARCH("Error",O105)))</formula>
    </cfRule>
  </conditionalFormatting>
  <conditionalFormatting sqref="D105:E105">
    <cfRule type="containsBlanks" dxfId="547" priority="322">
      <formula>LEN(TRIM(D105))=0</formula>
    </cfRule>
  </conditionalFormatting>
  <conditionalFormatting sqref="O106">
    <cfRule type="containsText" dxfId="546" priority="319" operator="containsText" text="Error">
      <formula>NOT(ISERROR(SEARCH("Error",O106)))</formula>
    </cfRule>
  </conditionalFormatting>
  <conditionalFormatting sqref="D106:E106">
    <cfRule type="containsBlanks" dxfId="545" priority="320">
      <formula>LEN(TRIM(D106))=0</formula>
    </cfRule>
  </conditionalFormatting>
  <conditionalFormatting sqref="O107">
    <cfRule type="containsText" dxfId="544" priority="317" operator="containsText" text="Error">
      <formula>NOT(ISERROR(SEARCH("Error",O107)))</formula>
    </cfRule>
  </conditionalFormatting>
  <conditionalFormatting sqref="D107:E107">
    <cfRule type="containsBlanks" dxfId="543" priority="318">
      <formula>LEN(TRIM(D107))=0</formula>
    </cfRule>
  </conditionalFormatting>
  <conditionalFormatting sqref="O108">
    <cfRule type="containsText" dxfId="542" priority="315" operator="containsText" text="Error">
      <formula>NOT(ISERROR(SEARCH("Error",O108)))</formula>
    </cfRule>
  </conditionalFormatting>
  <conditionalFormatting sqref="D108:E108">
    <cfRule type="containsBlanks" dxfId="541" priority="316">
      <formula>LEN(TRIM(D108))=0</formula>
    </cfRule>
  </conditionalFormatting>
  <conditionalFormatting sqref="O109">
    <cfRule type="containsText" dxfId="540" priority="313" operator="containsText" text="Error">
      <formula>NOT(ISERROR(SEARCH("Error",O109)))</formula>
    </cfRule>
  </conditionalFormatting>
  <conditionalFormatting sqref="D109:E109">
    <cfRule type="containsBlanks" dxfId="539" priority="314">
      <formula>LEN(TRIM(D109))=0</formula>
    </cfRule>
  </conditionalFormatting>
  <conditionalFormatting sqref="O110">
    <cfRule type="containsText" dxfId="538" priority="311" operator="containsText" text="Error">
      <formula>NOT(ISERROR(SEARCH("Error",O110)))</formula>
    </cfRule>
  </conditionalFormatting>
  <conditionalFormatting sqref="D110:E110">
    <cfRule type="containsBlanks" dxfId="537" priority="312">
      <formula>LEN(TRIM(D110))=0</formula>
    </cfRule>
  </conditionalFormatting>
  <conditionalFormatting sqref="O112">
    <cfRule type="containsText" dxfId="536" priority="309" operator="containsText" text="Error">
      <formula>NOT(ISERROR(SEARCH("Error",O112)))</formula>
    </cfRule>
  </conditionalFormatting>
  <conditionalFormatting sqref="D112:E112">
    <cfRule type="containsBlanks" dxfId="535" priority="310">
      <formula>LEN(TRIM(D112))=0</formula>
    </cfRule>
  </conditionalFormatting>
  <conditionalFormatting sqref="O113">
    <cfRule type="containsText" dxfId="534" priority="307" operator="containsText" text="Error">
      <formula>NOT(ISERROR(SEARCH("Error",O113)))</formula>
    </cfRule>
  </conditionalFormatting>
  <conditionalFormatting sqref="D113:E113">
    <cfRule type="containsBlanks" dxfId="533" priority="308">
      <formula>LEN(TRIM(D113))=0</formula>
    </cfRule>
  </conditionalFormatting>
  <conditionalFormatting sqref="O114">
    <cfRule type="containsText" dxfId="532" priority="305" operator="containsText" text="Error">
      <formula>NOT(ISERROR(SEARCH("Error",O114)))</formula>
    </cfRule>
  </conditionalFormatting>
  <conditionalFormatting sqref="D114:E114">
    <cfRule type="containsBlanks" dxfId="531" priority="306">
      <formula>LEN(TRIM(D114))=0</formula>
    </cfRule>
  </conditionalFormatting>
  <conditionalFormatting sqref="O115">
    <cfRule type="containsText" dxfId="530" priority="303" operator="containsText" text="Error">
      <formula>NOT(ISERROR(SEARCH("Error",O115)))</formula>
    </cfRule>
  </conditionalFormatting>
  <conditionalFormatting sqref="D115:E115">
    <cfRule type="containsBlanks" dxfId="529" priority="304">
      <formula>LEN(TRIM(D115))=0</formula>
    </cfRule>
  </conditionalFormatting>
  <conditionalFormatting sqref="O116">
    <cfRule type="containsText" dxfId="528" priority="301" operator="containsText" text="Error">
      <formula>NOT(ISERROR(SEARCH("Error",O116)))</formula>
    </cfRule>
  </conditionalFormatting>
  <conditionalFormatting sqref="D116:E116">
    <cfRule type="containsBlanks" dxfId="527" priority="302">
      <formula>LEN(TRIM(D116))=0</formula>
    </cfRule>
  </conditionalFormatting>
  <conditionalFormatting sqref="O117">
    <cfRule type="containsText" dxfId="526" priority="299" operator="containsText" text="Error">
      <formula>NOT(ISERROR(SEARCH("Error",O117)))</formula>
    </cfRule>
  </conditionalFormatting>
  <conditionalFormatting sqref="D117:E117">
    <cfRule type="containsBlanks" dxfId="525" priority="300">
      <formula>LEN(TRIM(D117))=0</formula>
    </cfRule>
  </conditionalFormatting>
  <conditionalFormatting sqref="O118">
    <cfRule type="containsText" dxfId="524" priority="297" operator="containsText" text="Error">
      <formula>NOT(ISERROR(SEARCH("Error",O118)))</formula>
    </cfRule>
  </conditionalFormatting>
  <conditionalFormatting sqref="D118:E118">
    <cfRule type="containsBlanks" dxfId="523" priority="298">
      <formula>LEN(TRIM(D118))=0</formula>
    </cfRule>
  </conditionalFormatting>
  <conditionalFormatting sqref="O119">
    <cfRule type="containsText" dxfId="522" priority="295" operator="containsText" text="Error">
      <formula>NOT(ISERROR(SEARCH("Error",O119)))</formula>
    </cfRule>
  </conditionalFormatting>
  <conditionalFormatting sqref="D119:E119">
    <cfRule type="containsBlanks" dxfId="521" priority="296">
      <formula>LEN(TRIM(D119))=0</formula>
    </cfRule>
  </conditionalFormatting>
  <conditionalFormatting sqref="O120">
    <cfRule type="containsText" dxfId="520" priority="293" operator="containsText" text="Error">
      <formula>NOT(ISERROR(SEARCH("Error",O120)))</formula>
    </cfRule>
  </conditionalFormatting>
  <conditionalFormatting sqref="D120:E120">
    <cfRule type="containsBlanks" dxfId="519" priority="294">
      <formula>LEN(TRIM(D120))=0</formula>
    </cfRule>
  </conditionalFormatting>
  <conditionalFormatting sqref="O121">
    <cfRule type="containsText" dxfId="518" priority="291" operator="containsText" text="Error">
      <formula>NOT(ISERROR(SEARCH("Error",O121)))</formula>
    </cfRule>
  </conditionalFormatting>
  <conditionalFormatting sqref="D121:E121">
    <cfRule type="containsBlanks" dxfId="517" priority="292">
      <formula>LEN(TRIM(D121))=0</formula>
    </cfRule>
  </conditionalFormatting>
  <conditionalFormatting sqref="O122">
    <cfRule type="containsText" dxfId="516" priority="289" operator="containsText" text="Error">
      <formula>NOT(ISERROR(SEARCH("Error",O122)))</formula>
    </cfRule>
  </conditionalFormatting>
  <conditionalFormatting sqref="D122:E122">
    <cfRule type="containsBlanks" dxfId="515" priority="290">
      <formula>LEN(TRIM(D122))=0</formula>
    </cfRule>
  </conditionalFormatting>
  <conditionalFormatting sqref="O123">
    <cfRule type="containsText" dxfId="514" priority="287" operator="containsText" text="Error">
      <formula>NOT(ISERROR(SEARCH("Error",O123)))</formula>
    </cfRule>
  </conditionalFormatting>
  <conditionalFormatting sqref="D123:E123">
    <cfRule type="containsBlanks" dxfId="513" priority="288">
      <formula>LEN(TRIM(D123))=0</formula>
    </cfRule>
  </conditionalFormatting>
  <conditionalFormatting sqref="O124">
    <cfRule type="containsText" dxfId="512" priority="285" operator="containsText" text="Error">
      <formula>NOT(ISERROR(SEARCH("Error",O124)))</formula>
    </cfRule>
  </conditionalFormatting>
  <conditionalFormatting sqref="D124:E124">
    <cfRule type="containsBlanks" dxfId="511" priority="286">
      <formula>LEN(TRIM(D124))=0</formula>
    </cfRule>
  </conditionalFormatting>
  <conditionalFormatting sqref="O125">
    <cfRule type="containsText" dxfId="510" priority="283" operator="containsText" text="Error">
      <formula>NOT(ISERROR(SEARCH("Error",O125)))</formula>
    </cfRule>
  </conditionalFormatting>
  <conditionalFormatting sqref="D125:E125">
    <cfRule type="containsBlanks" dxfId="509" priority="284">
      <formula>LEN(TRIM(D125))=0</formula>
    </cfRule>
  </conditionalFormatting>
  <conditionalFormatting sqref="O126">
    <cfRule type="containsText" dxfId="508" priority="281" operator="containsText" text="Error">
      <formula>NOT(ISERROR(SEARCH("Error",O126)))</formula>
    </cfRule>
  </conditionalFormatting>
  <conditionalFormatting sqref="D126:E126">
    <cfRule type="containsBlanks" dxfId="507" priority="282">
      <formula>LEN(TRIM(D126))=0</formula>
    </cfRule>
  </conditionalFormatting>
  <conditionalFormatting sqref="O127">
    <cfRule type="containsText" dxfId="506" priority="279" operator="containsText" text="Error">
      <formula>NOT(ISERROR(SEARCH("Error",O127)))</formula>
    </cfRule>
  </conditionalFormatting>
  <conditionalFormatting sqref="D127:E127">
    <cfRule type="containsBlanks" dxfId="505" priority="280">
      <formula>LEN(TRIM(D127))=0</formula>
    </cfRule>
  </conditionalFormatting>
  <conditionalFormatting sqref="O128">
    <cfRule type="containsText" dxfId="504" priority="277" operator="containsText" text="Error">
      <formula>NOT(ISERROR(SEARCH("Error",O128)))</formula>
    </cfRule>
  </conditionalFormatting>
  <conditionalFormatting sqref="D128:E128">
    <cfRule type="containsBlanks" dxfId="503" priority="278">
      <formula>LEN(TRIM(D128))=0</formula>
    </cfRule>
  </conditionalFormatting>
  <conditionalFormatting sqref="O129">
    <cfRule type="containsText" dxfId="502" priority="275" operator="containsText" text="Error">
      <formula>NOT(ISERROR(SEARCH("Error",O129)))</formula>
    </cfRule>
  </conditionalFormatting>
  <conditionalFormatting sqref="D129:E129">
    <cfRule type="containsBlanks" dxfId="501" priority="276">
      <formula>LEN(TRIM(D129))=0</formula>
    </cfRule>
  </conditionalFormatting>
  <conditionalFormatting sqref="O130">
    <cfRule type="containsText" dxfId="500" priority="273" operator="containsText" text="Error">
      <formula>NOT(ISERROR(SEARCH("Error",O130)))</formula>
    </cfRule>
  </conditionalFormatting>
  <conditionalFormatting sqref="D130:E130">
    <cfRule type="containsBlanks" dxfId="499" priority="274">
      <formula>LEN(TRIM(D130))=0</formula>
    </cfRule>
  </conditionalFormatting>
  <conditionalFormatting sqref="O131">
    <cfRule type="containsText" dxfId="498" priority="271" operator="containsText" text="Error">
      <formula>NOT(ISERROR(SEARCH("Error",O131)))</formula>
    </cfRule>
  </conditionalFormatting>
  <conditionalFormatting sqref="D131:E131">
    <cfRule type="containsBlanks" dxfId="497" priority="272">
      <formula>LEN(TRIM(D131))=0</formula>
    </cfRule>
  </conditionalFormatting>
  <conditionalFormatting sqref="O132">
    <cfRule type="containsText" dxfId="496" priority="269" operator="containsText" text="Error">
      <formula>NOT(ISERROR(SEARCH("Error",O132)))</formula>
    </cfRule>
  </conditionalFormatting>
  <conditionalFormatting sqref="D132:E132">
    <cfRule type="containsBlanks" dxfId="495" priority="270">
      <formula>LEN(TRIM(D132))=0</formula>
    </cfRule>
  </conditionalFormatting>
  <conditionalFormatting sqref="O133">
    <cfRule type="containsText" dxfId="494" priority="267" operator="containsText" text="Error">
      <formula>NOT(ISERROR(SEARCH("Error",O133)))</formula>
    </cfRule>
  </conditionalFormatting>
  <conditionalFormatting sqref="D133:E133">
    <cfRule type="containsBlanks" dxfId="493" priority="268">
      <formula>LEN(TRIM(D133))=0</formula>
    </cfRule>
  </conditionalFormatting>
  <conditionalFormatting sqref="O134">
    <cfRule type="containsText" dxfId="492" priority="265" operator="containsText" text="Error">
      <formula>NOT(ISERROR(SEARCH("Error",O134)))</formula>
    </cfRule>
  </conditionalFormatting>
  <conditionalFormatting sqref="D134:E134">
    <cfRule type="containsBlanks" dxfId="491" priority="266">
      <formula>LEN(TRIM(D134))=0</formula>
    </cfRule>
  </conditionalFormatting>
  <conditionalFormatting sqref="O136">
    <cfRule type="containsText" dxfId="490" priority="263" operator="containsText" text="Error">
      <formula>NOT(ISERROR(SEARCH("Error",O136)))</formula>
    </cfRule>
  </conditionalFormatting>
  <conditionalFormatting sqref="D136:E136">
    <cfRule type="containsBlanks" dxfId="489" priority="264">
      <formula>LEN(TRIM(D136))=0</formula>
    </cfRule>
  </conditionalFormatting>
  <conditionalFormatting sqref="O137">
    <cfRule type="containsText" dxfId="488" priority="261" operator="containsText" text="Error">
      <formula>NOT(ISERROR(SEARCH("Error",O137)))</formula>
    </cfRule>
  </conditionalFormatting>
  <conditionalFormatting sqref="D137:E137">
    <cfRule type="containsBlanks" dxfId="487" priority="262">
      <formula>LEN(TRIM(D137))=0</formula>
    </cfRule>
  </conditionalFormatting>
  <conditionalFormatting sqref="O138">
    <cfRule type="containsText" dxfId="486" priority="259" operator="containsText" text="Error">
      <formula>NOT(ISERROR(SEARCH("Error",O138)))</formula>
    </cfRule>
  </conditionalFormatting>
  <conditionalFormatting sqref="D138:E138">
    <cfRule type="containsBlanks" dxfId="485" priority="260">
      <formula>LEN(TRIM(D138))=0</formula>
    </cfRule>
  </conditionalFormatting>
  <conditionalFormatting sqref="O139">
    <cfRule type="containsText" dxfId="484" priority="257" operator="containsText" text="Error">
      <formula>NOT(ISERROR(SEARCH("Error",O139)))</formula>
    </cfRule>
  </conditionalFormatting>
  <conditionalFormatting sqref="D139:E139">
    <cfRule type="containsBlanks" dxfId="483" priority="258">
      <formula>LEN(TRIM(D139))=0</formula>
    </cfRule>
  </conditionalFormatting>
  <conditionalFormatting sqref="O140">
    <cfRule type="containsText" dxfId="482" priority="255" operator="containsText" text="Error">
      <formula>NOT(ISERROR(SEARCH("Error",O140)))</formula>
    </cfRule>
  </conditionalFormatting>
  <conditionalFormatting sqref="D140:E140">
    <cfRule type="containsBlanks" dxfId="481" priority="256">
      <formula>LEN(TRIM(D140))=0</formula>
    </cfRule>
  </conditionalFormatting>
  <conditionalFormatting sqref="O141">
    <cfRule type="containsText" dxfId="480" priority="253" operator="containsText" text="Error">
      <formula>NOT(ISERROR(SEARCH("Error",O141)))</formula>
    </cfRule>
  </conditionalFormatting>
  <conditionalFormatting sqref="D141:E141">
    <cfRule type="containsBlanks" dxfId="479" priority="254">
      <formula>LEN(TRIM(D141))=0</formula>
    </cfRule>
  </conditionalFormatting>
  <conditionalFormatting sqref="O142">
    <cfRule type="containsText" dxfId="478" priority="251" operator="containsText" text="Error">
      <formula>NOT(ISERROR(SEARCH("Error",O142)))</formula>
    </cfRule>
  </conditionalFormatting>
  <conditionalFormatting sqref="D142:E142">
    <cfRule type="containsBlanks" dxfId="477" priority="252">
      <formula>LEN(TRIM(D142))=0</formula>
    </cfRule>
  </conditionalFormatting>
  <conditionalFormatting sqref="O143">
    <cfRule type="containsText" dxfId="476" priority="249" operator="containsText" text="Error">
      <formula>NOT(ISERROR(SEARCH("Error",O143)))</formula>
    </cfRule>
  </conditionalFormatting>
  <conditionalFormatting sqref="D143:E143">
    <cfRule type="containsBlanks" dxfId="475" priority="250">
      <formula>LEN(TRIM(D143))=0</formula>
    </cfRule>
  </conditionalFormatting>
  <conditionalFormatting sqref="O144">
    <cfRule type="containsText" dxfId="474" priority="247" operator="containsText" text="Error">
      <formula>NOT(ISERROR(SEARCH("Error",O144)))</formula>
    </cfRule>
  </conditionalFormatting>
  <conditionalFormatting sqref="D144:E144">
    <cfRule type="containsBlanks" dxfId="473" priority="248">
      <formula>LEN(TRIM(D144))=0</formula>
    </cfRule>
  </conditionalFormatting>
  <conditionalFormatting sqref="O145">
    <cfRule type="containsText" dxfId="472" priority="245" operator="containsText" text="Error">
      <formula>NOT(ISERROR(SEARCH("Error",O145)))</formula>
    </cfRule>
  </conditionalFormatting>
  <conditionalFormatting sqref="D145:E145">
    <cfRule type="containsBlanks" dxfId="471" priority="246">
      <formula>LEN(TRIM(D145))=0</formula>
    </cfRule>
  </conditionalFormatting>
  <conditionalFormatting sqref="O146">
    <cfRule type="containsText" dxfId="470" priority="243" operator="containsText" text="Error">
      <formula>NOT(ISERROR(SEARCH("Error",O146)))</formula>
    </cfRule>
  </conditionalFormatting>
  <conditionalFormatting sqref="D146:E146">
    <cfRule type="containsBlanks" dxfId="469" priority="244">
      <formula>LEN(TRIM(D146))=0</formula>
    </cfRule>
  </conditionalFormatting>
  <conditionalFormatting sqref="O147">
    <cfRule type="containsText" dxfId="468" priority="241" operator="containsText" text="Error">
      <formula>NOT(ISERROR(SEARCH("Error",O147)))</formula>
    </cfRule>
  </conditionalFormatting>
  <conditionalFormatting sqref="D147:E147">
    <cfRule type="containsBlanks" dxfId="467" priority="242">
      <formula>LEN(TRIM(D147))=0</formula>
    </cfRule>
  </conditionalFormatting>
  <conditionalFormatting sqref="O148">
    <cfRule type="containsText" dxfId="466" priority="239" operator="containsText" text="Error">
      <formula>NOT(ISERROR(SEARCH("Error",O148)))</formula>
    </cfRule>
  </conditionalFormatting>
  <conditionalFormatting sqref="D148:E148">
    <cfRule type="containsBlanks" dxfId="465" priority="240">
      <formula>LEN(TRIM(D148))=0</formula>
    </cfRule>
  </conditionalFormatting>
  <conditionalFormatting sqref="O149">
    <cfRule type="containsText" dxfId="464" priority="237" operator="containsText" text="Error">
      <formula>NOT(ISERROR(SEARCH("Error",O149)))</formula>
    </cfRule>
  </conditionalFormatting>
  <conditionalFormatting sqref="D149:E149">
    <cfRule type="containsBlanks" dxfId="463" priority="238">
      <formula>LEN(TRIM(D149))=0</formula>
    </cfRule>
  </conditionalFormatting>
  <conditionalFormatting sqref="O150">
    <cfRule type="containsText" dxfId="462" priority="235" operator="containsText" text="Error">
      <formula>NOT(ISERROR(SEARCH("Error",O150)))</formula>
    </cfRule>
  </conditionalFormatting>
  <conditionalFormatting sqref="D150:E150">
    <cfRule type="containsBlanks" dxfId="461" priority="236">
      <formula>LEN(TRIM(D150))=0</formula>
    </cfRule>
  </conditionalFormatting>
  <conditionalFormatting sqref="O151">
    <cfRule type="containsText" dxfId="460" priority="233" operator="containsText" text="Error">
      <formula>NOT(ISERROR(SEARCH("Error",O151)))</formula>
    </cfRule>
  </conditionalFormatting>
  <conditionalFormatting sqref="D151:E151">
    <cfRule type="containsBlanks" dxfId="459" priority="234">
      <formula>LEN(TRIM(D151))=0</formula>
    </cfRule>
  </conditionalFormatting>
  <conditionalFormatting sqref="O152">
    <cfRule type="containsText" dxfId="458" priority="231" operator="containsText" text="Error">
      <formula>NOT(ISERROR(SEARCH("Error",O152)))</formula>
    </cfRule>
  </conditionalFormatting>
  <conditionalFormatting sqref="D152:E152">
    <cfRule type="containsBlanks" dxfId="457" priority="232">
      <formula>LEN(TRIM(D152))=0</formula>
    </cfRule>
  </conditionalFormatting>
  <conditionalFormatting sqref="O153">
    <cfRule type="containsText" dxfId="456" priority="229" operator="containsText" text="Error">
      <formula>NOT(ISERROR(SEARCH("Error",O153)))</formula>
    </cfRule>
  </conditionalFormatting>
  <conditionalFormatting sqref="D153:E153">
    <cfRule type="containsBlanks" dxfId="455" priority="230">
      <formula>LEN(TRIM(D153))=0</formula>
    </cfRule>
  </conditionalFormatting>
  <conditionalFormatting sqref="O154">
    <cfRule type="containsText" dxfId="454" priority="227" operator="containsText" text="Error">
      <formula>NOT(ISERROR(SEARCH("Error",O154)))</formula>
    </cfRule>
  </conditionalFormatting>
  <conditionalFormatting sqref="D154:E154">
    <cfRule type="containsBlanks" dxfId="453" priority="228">
      <formula>LEN(TRIM(D154))=0</formula>
    </cfRule>
  </conditionalFormatting>
  <conditionalFormatting sqref="O155">
    <cfRule type="containsText" dxfId="452" priority="225" operator="containsText" text="Error">
      <formula>NOT(ISERROR(SEARCH("Error",O155)))</formula>
    </cfRule>
  </conditionalFormatting>
  <conditionalFormatting sqref="D155:E155">
    <cfRule type="containsBlanks" dxfId="451" priority="226">
      <formula>LEN(TRIM(D155))=0</formula>
    </cfRule>
  </conditionalFormatting>
  <conditionalFormatting sqref="O156">
    <cfRule type="containsText" dxfId="450" priority="223" operator="containsText" text="Error">
      <formula>NOT(ISERROR(SEARCH("Error",O156)))</formula>
    </cfRule>
  </conditionalFormatting>
  <conditionalFormatting sqref="D156:E156">
    <cfRule type="containsBlanks" dxfId="449" priority="224">
      <formula>LEN(TRIM(D156))=0</formula>
    </cfRule>
  </conditionalFormatting>
  <conditionalFormatting sqref="O157">
    <cfRule type="containsText" dxfId="448" priority="221" operator="containsText" text="Error">
      <formula>NOT(ISERROR(SEARCH("Error",O157)))</formula>
    </cfRule>
  </conditionalFormatting>
  <conditionalFormatting sqref="D157:E157">
    <cfRule type="containsBlanks" dxfId="447" priority="222">
      <formula>LEN(TRIM(D157))=0</formula>
    </cfRule>
  </conditionalFormatting>
  <conditionalFormatting sqref="O158">
    <cfRule type="containsText" dxfId="446" priority="219" operator="containsText" text="Error">
      <formula>NOT(ISERROR(SEARCH("Error",O158)))</formula>
    </cfRule>
  </conditionalFormatting>
  <conditionalFormatting sqref="D158:E158">
    <cfRule type="containsBlanks" dxfId="445" priority="220">
      <formula>LEN(TRIM(D158))=0</formula>
    </cfRule>
  </conditionalFormatting>
  <conditionalFormatting sqref="O160">
    <cfRule type="containsText" dxfId="444" priority="217" operator="containsText" text="Error">
      <formula>NOT(ISERROR(SEARCH("Error",O160)))</formula>
    </cfRule>
  </conditionalFormatting>
  <conditionalFormatting sqref="D160:E160">
    <cfRule type="containsBlanks" dxfId="443" priority="218">
      <formula>LEN(TRIM(D160))=0</formula>
    </cfRule>
  </conditionalFormatting>
  <conditionalFormatting sqref="O161">
    <cfRule type="containsText" dxfId="442" priority="215" operator="containsText" text="Error">
      <formula>NOT(ISERROR(SEARCH("Error",O161)))</formula>
    </cfRule>
  </conditionalFormatting>
  <conditionalFormatting sqref="D161:E161">
    <cfRule type="containsBlanks" dxfId="441" priority="216">
      <formula>LEN(TRIM(D161))=0</formula>
    </cfRule>
  </conditionalFormatting>
  <conditionalFormatting sqref="O162">
    <cfRule type="containsText" dxfId="440" priority="213" operator="containsText" text="Error">
      <formula>NOT(ISERROR(SEARCH("Error",O162)))</formula>
    </cfRule>
  </conditionalFormatting>
  <conditionalFormatting sqref="D162:E162">
    <cfRule type="containsBlanks" dxfId="439" priority="214">
      <formula>LEN(TRIM(D162))=0</formula>
    </cfRule>
  </conditionalFormatting>
  <conditionalFormatting sqref="O163">
    <cfRule type="containsText" dxfId="438" priority="211" operator="containsText" text="Error">
      <formula>NOT(ISERROR(SEARCH("Error",O163)))</formula>
    </cfRule>
  </conditionalFormatting>
  <conditionalFormatting sqref="D163:E163">
    <cfRule type="containsBlanks" dxfId="437" priority="212">
      <formula>LEN(TRIM(D163))=0</formula>
    </cfRule>
  </conditionalFormatting>
  <conditionalFormatting sqref="O164">
    <cfRule type="containsText" dxfId="436" priority="209" operator="containsText" text="Error">
      <formula>NOT(ISERROR(SEARCH("Error",O164)))</formula>
    </cfRule>
  </conditionalFormatting>
  <conditionalFormatting sqref="D164:E164">
    <cfRule type="containsBlanks" dxfId="435" priority="210">
      <formula>LEN(TRIM(D164))=0</formula>
    </cfRule>
  </conditionalFormatting>
  <conditionalFormatting sqref="O165">
    <cfRule type="containsText" dxfId="434" priority="207" operator="containsText" text="Error">
      <formula>NOT(ISERROR(SEARCH("Error",O165)))</formula>
    </cfRule>
  </conditionalFormatting>
  <conditionalFormatting sqref="D165:E165">
    <cfRule type="containsBlanks" dxfId="433" priority="208">
      <formula>LEN(TRIM(D165))=0</formula>
    </cfRule>
  </conditionalFormatting>
  <conditionalFormatting sqref="O200">
    <cfRule type="containsText" dxfId="432" priority="205" operator="containsText" text="Error">
      <formula>NOT(ISERROR(SEARCH("Error",O200)))</formula>
    </cfRule>
  </conditionalFormatting>
  <conditionalFormatting sqref="D200:E200">
    <cfRule type="containsBlanks" dxfId="431" priority="206">
      <formula>LEN(TRIM(D200))=0</formula>
    </cfRule>
  </conditionalFormatting>
  <conditionalFormatting sqref="O201">
    <cfRule type="containsText" dxfId="430" priority="203" operator="containsText" text="Error">
      <formula>NOT(ISERROR(SEARCH("Error",O201)))</formula>
    </cfRule>
  </conditionalFormatting>
  <conditionalFormatting sqref="D201:E201">
    <cfRule type="containsBlanks" dxfId="429" priority="204">
      <formula>LEN(TRIM(D201))=0</formula>
    </cfRule>
  </conditionalFormatting>
  <conditionalFormatting sqref="O202">
    <cfRule type="containsText" dxfId="428" priority="201" operator="containsText" text="Error">
      <formula>NOT(ISERROR(SEARCH("Error",O202)))</formula>
    </cfRule>
  </conditionalFormatting>
  <conditionalFormatting sqref="D202:E202">
    <cfRule type="containsBlanks" dxfId="427" priority="202">
      <formula>LEN(TRIM(D202))=0</formula>
    </cfRule>
  </conditionalFormatting>
  <conditionalFormatting sqref="O203">
    <cfRule type="containsText" dxfId="426" priority="199" operator="containsText" text="Error">
      <formula>NOT(ISERROR(SEARCH("Error",O203)))</formula>
    </cfRule>
  </conditionalFormatting>
  <conditionalFormatting sqref="D203:E203">
    <cfRule type="containsBlanks" dxfId="425" priority="200">
      <formula>LEN(TRIM(D203))=0</formula>
    </cfRule>
  </conditionalFormatting>
  <conditionalFormatting sqref="O204">
    <cfRule type="containsText" dxfId="424" priority="197" operator="containsText" text="Error">
      <formula>NOT(ISERROR(SEARCH("Error",O204)))</formula>
    </cfRule>
  </conditionalFormatting>
  <conditionalFormatting sqref="D204:E204">
    <cfRule type="containsBlanks" dxfId="423" priority="198">
      <formula>LEN(TRIM(D204))=0</formula>
    </cfRule>
  </conditionalFormatting>
  <conditionalFormatting sqref="O205">
    <cfRule type="containsText" dxfId="422" priority="195" operator="containsText" text="Error">
      <formula>NOT(ISERROR(SEARCH("Error",O205)))</formula>
    </cfRule>
  </conditionalFormatting>
  <conditionalFormatting sqref="D205:E205">
    <cfRule type="containsBlanks" dxfId="421" priority="196">
      <formula>LEN(TRIM(D205))=0</formula>
    </cfRule>
  </conditionalFormatting>
  <conditionalFormatting sqref="O206">
    <cfRule type="containsText" dxfId="420" priority="193" operator="containsText" text="Error">
      <formula>NOT(ISERROR(SEARCH("Error",O206)))</formula>
    </cfRule>
  </conditionalFormatting>
  <conditionalFormatting sqref="D206:E206">
    <cfRule type="containsBlanks" dxfId="419" priority="194">
      <formula>LEN(TRIM(D206))=0</formula>
    </cfRule>
  </conditionalFormatting>
  <conditionalFormatting sqref="O208">
    <cfRule type="containsText" dxfId="418" priority="191" operator="containsText" text="Error">
      <formula>NOT(ISERROR(SEARCH("Error",O208)))</formula>
    </cfRule>
  </conditionalFormatting>
  <conditionalFormatting sqref="D208:E208">
    <cfRule type="containsBlanks" dxfId="417" priority="192">
      <formula>LEN(TRIM(D208))=0</formula>
    </cfRule>
  </conditionalFormatting>
  <conditionalFormatting sqref="O209">
    <cfRule type="containsText" dxfId="416" priority="189" operator="containsText" text="Error">
      <formula>NOT(ISERROR(SEARCH("Error",O209)))</formula>
    </cfRule>
  </conditionalFormatting>
  <conditionalFormatting sqref="D209:E209">
    <cfRule type="containsBlanks" dxfId="415" priority="190">
      <formula>LEN(TRIM(D209))=0</formula>
    </cfRule>
  </conditionalFormatting>
  <conditionalFormatting sqref="O210">
    <cfRule type="containsText" dxfId="414" priority="187" operator="containsText" text="Error">
      <formula>NOT(ISERROR(SEARCH("Error",O210)))</formula>
    </cfRule>
  </conditionalFormatting>
  <conditionalFormatting sqref="D210:E210">
    <cfRule type="containsBlanks" dxfId="413" priority="188">
      <formula>LEN(TRIM(D210))=0</formula>
    </cfRule>
  </conditionalFormatting>
  <conditionalFormatting sqref="O211">
    <cfRule type="containsText" dxfId="412" priority="185" operator="containsText" text="Error">
      <formula>NOT(ISERROR(SEARCH("Error",O211)))</formula>
    </cfRule>
  </conditionalFormatting>
  <conditionalFormatting sqref="D211:E211">
    <cfRule type="containsBlanks" dxfId="411" priority="186">
      <formula>LEN(TRIM(D211))=0</formula>
    </cfRule>
  </conditionalFormatting>
  <conditionalFormatting sqref="O212">
    <cfRule type="containsText" dxfId="410" priority="183" operator="containsText" text="Error">
      <formula>NOT(ISERROR(SEARCH("Error",O212)))</formula>
    </cfRule>
  </conditionalFormatting>
  <conditionalFormatting sqref="D212:E212">
    <cfRule type="containsBlanks" dxfId="409" priority="184">
      <formula>LEN(TRIM(D212))=0</formula>
    </cfRule>
  </conditionalFormatting>
  <conditionalFormatting sqref="O213">
    <cfRule type="containsText" dxfId="408" priority="181" operator="containsText" text="Error">
      <formula>NOT(ISERROR(SEARCH("Error",O213)))</formula>
    </cfRule>
  </conditionalFormatting>
  <conditionalFormatting sqref="D213:E213">
    <cfRule type="containsBlanks" dxfId="407" priority="182">
      <formula>LEN(TRIM(D213))=0</formula>
    </cfRule>
  </conditionalFormatting>
  <conditionalFormatting sqref="O214">
    <cfRule type="containsText" dxfId="406" priority="179" operator="containsText" text="Error">
      <formula>NOT(ISERROR(SEARCH("Error",O214)))</formula>
    </cfRule>
  </conditionalFormatting>
  <conditionalFormatting sqref="D214:E214">
    <cfRule type="containsBlanks" dxfId="405" priority="180">
      <formula>LEN(TRIM(D214))=0</formula>
    </cfRule>
  </conditionalFormatting>
  <conditionalFormatting sqref="O215">
    <cfRule type="containsText" dxfId="404" priority="177" operator="containsText" text="Error">
      <formula>NOT(ISERROR(SEARCH("Error",O215)))</formula>
    </cfRule>
  </conditionalFormatting>
  <conditionalFormatting sqref="D215:E215">
    <cfRule type="containsBlanks" dxfId="403" priority="178">
      <formula>LEN(TRIM(D215))=0</formula>
    </cfRule>
  </conditionalFormatting>
  <conditionalFormatting sqref="O216">
    <cfRule type="containsText" dxfId="402" priority="175" operator="containsText" text="Error">
      <formula>NOT(ISERROR(SEARCH("Error",O216)))</formula>
    </cfRule>
  </conditionalFormatting>
  <conditionalFormatting sqref="D216:E216">
    <cfRule type="containsBlanks" dxfId="401" priority="176">
      <formula>LEN(TRIM(D216))=0</formula>
    </cfRule>
  </conditionalFormatting>
  <conditionalFormatting sqref="O217">
    <cfRule type="containsText" dxfId="400" priority="173" operator="containsText" text="Error">
      <formula>NOT(ISERROR(SEARCH("Error",O217)))</formula>
    </cfRule>
  </conditionalFormatting>
  <conditionalFormatting sqref="D217:E217">
    <cfRule type="containsBlanks" dxfId="399" priority="174">
      <formula>LEN(TRIM(D217))=0</formula>
    </cfRule>
  </conditionalFormatting>
  <conditionalFormatting sqref="O218">
    <cfRule type="containsText" dxfId="398" priority="171" operator="containsText" text="Error">
      <formula>NOT(ISERROR(SEARCH("Error",O218)))</formula>
    </cfRule>
  </conditionalFormatting>
  <conditionalFormatting sqref="D218:E218">
    <cfRule type="containsBlanks" dxfId="397" priority="172">
      <formula>LEN(TRIM(D218))=0</formula>
    </cfRule>
  </conditionalFormatting>
  <conditionalFormatting sqref="O219">
    <cfRule type="containsText" dxfId="396" priority="169" operator="containsText" text="Error">
      <formula>NOT(ISERROR(SEARCH("Error",O219)))</formula>
    </cfRule>
  </conditionalFormatting>
  <conditionalFormatting sqref="D219:E219">
    <cfRule type="containsBlanks" dxfId="395" priority="170">
      <formula>LEN(TRIM(D219))=0</formula>
    </cfRule>
  </conditionalFormatting>
  <conditionalFormatting sqref="O220">
    <cfRule type="containsText" dxfId="394" priority="167" operator="containsText" text="Error">
      <formula>NOT(ISERROR(SEARCH("Error",O220)))</formula>
    </cfRule>
  </conditionalFormatting>
  <conditionalFormatting sqref="D220:E220">
    <cfRule type="containsBlanks" dxfId="393" priority="168">
      <formula>LEN(TRIM(D220))=0</formula>
    </cfRule>
  </conditionalFormatting>
  <conditionalFormatting sqref="O221">
    <cfRule type="containsText" dxfId="392" priority="165" operator="containsText" text="Error">
      <formula>NOT(ISERROR(SEARCH("Error",O221)))</formula>
    </cfRule>
  </conditionalFormatting>
  <conditionalFormatting sqref="D221:E221">
    <cfRule type="containsBlanks" dxfId="391" priority="166">
      <formula>LEN(TRIM(D221))=0</formula>
    </cfRule>
  </conditionalFormatting>
  <conditionalFormatting sqref="O222">
    <cfRule type="containsText" dxfId="390" priority="163" operator="containsText" text="Error">
      <formula>NOT(ISERROR(SEARCH("Error",O222)))</formula>
    </cfRule>
  </conditionalFormatting>
  <conditionalFormatting sqref="D222:E222">
    <cfRule type="containsBlanks" dxfId="389" priority="164">
      <formula>LEN(TRIM(D222))=0</formula>
    </cfRule>
  </conditionalFormatting>
  <conditionalFormatting sqref="O223">
    <cfRule type="containsText" dxfId="388" priority="161" operator="containsText" text="Error">
      <formula>NOT(ISERROR(SEARCH("Error",O223)))</formula>
    </cfRule>
  </conditionalFormatting>
  <conditionalFormatting sqref="D223:E223">
    <cfRule type="containsBlanks" dxfId="387" priority="162">
      <formula>LEN(TRIM(D223))=0</formula>
    </cfRule>
  </conditionalFormatting>
  <conditionalFormatting sqref="O224">
    <cfRule type="containsText" dxfId="386" priority="159" operator="containsText" text="Error">
      <formula>NOT(ISERROR(SEARCH("Error",O224)))</formula>
    </cfRule>
  </conditionalFormatting>
  <conditionalFormatting sqref="D224:E224">
    <cfRule type="containsBlanks" dxfId="385" priority="160">
      <formula>LEN(TRIM(D224))=0</formula>
    </cfRule>
  </conditionalFormatting>
  <conditionalFormatting sqref="O225">
    <cfRule type="containsText" dxfId="384" priority="157" operator="containsText" text="Error">
      <formula>NOT(ISERROR(SEARCH("Error",O225)))</formula>
    </cfRule>
  </conditionalFormatting>
  <conditionalFormatting sqref="D225:E225">
    <cfRule type="containsBlanks" dxfId="383" priority="158">
      <formula>LEN(TRIM(D225))=0</formula>
    </cfRule>
  </conditionalFormatting>
  <conditionalFormatting sqref="O226">
    <cfRule type="containsText" dxfId="382" priority="155" operator="containsText" text="Error">
      <formula>NOT(ISERROR(SEARCH("Error",O226)))</formula>
    </cfRule>
  </conditionalFormatting>
  <conditionalFormatting sqref="D226:E226">
    <cfRule type="containsBlanks" dxfId="381" priority="156">
      <formula>LEN(TRIM(D226))=0</formula>
    </cfRule>
  </conditionalFormatting>
  <conditionalFormatting sqref="O227">
    <cfRule type="containsText" dxfId="380" priority="153" operator="containsText" text="Error">
      <formula>NOT(ISERROR(SEARCH("Error",O227)))</formula>
    </cfRule>
  </conditionalFormatting>
  <conditionalFormatting sqref="D227:E227">
    <cfRule type="containsBlanks" dxfId="379" priority="154">
      <formula>LEN(TRIM(D227))=0</formula>
    </cfRule>
  </conditionalFormatting>
  <conditionalFormatting sqref="O228">
    <cfRule type="containsText" dxfId="378" priority="151" operator="containsText" text="Error">
      <formula>NOT(ISERROR(SEARCH("Error",O228)))</formula>
    </cfRule>
  </conditionalFormatting>
  <conditionalFormatting sqref="D228:E228">
    <cfRule type="containsBlanks" dxfId="377" priority="152">
      <formula>LEN(TRIM(D228))=0</formula>
    </cfRule>
  </conditionalFormatting>
  <conditionalFormatting sqref="O229">
    <cfRule type="containsText" dxfId="376" priority="149" operator="containsText" text="Error">
      <formula>NOT(ISERROR(SEARCH("Error",O229)))</formula>
    </cfRule>
  </conditionalFormatting>
  <conditionalFormatting sqref="D229:E229">
    <cfRule type="containsBlanks" dxfId="375" priority="150">
      <formula>LEN(TRIM(D229))=0</formula>
    </cfRule>
  </conditionalFormatting>
  <conditionalFormatting sqref="O230">
    <cfRule type="containsText" dxfId="374" priority="147" operator="containsText" text="Error">
      <formula>NOT(ISERROR(SEARCH("Error",O230)))</formula>
    </cfRule>
  </conditionalFormatting>
  <conditionalFormatting sqref="D230:E230">
    <cfRule type="containsBlanks" dxfId="373" priority="148">
      <formula>LEN(TRIM(D230))=0</formula>
    </cfRule>
  </conditionalFormatting>
  <conditionalFormatting sqref="O166">
    <cfRule type="containsText" dxfId="372" priority="99" operator="containsText" text="Error">
      <formula>NOT(ISERROR(SEARCH("Error",O166)))</formula>
    </cfRule>
  </conditionalFormatting>
  <conditionalFormatting sqref="D166:E166">
    <cfRule type="containsBlanks" dxfId="371" priority="100">
      <formula>LEN(TRIM(D166))=0</formula>
    </cfRule>
  </conditionalFormatting>
  <conditionalFormatting sqref="O167">
    <cfRule type="containsText" dxfId="370" priority="97" operator="containsText" text="Error">
      <formula>NOT(ISERROR(SEARCH("Error",O167)))</formula>
    </cfRule>
  </conditionalFormatting>
  <conditionalFormatting sqref="D167:E167">
    <cfRule type="containsBlanks" dxfId="369" priority="98">
      <formula>LEN(TRIM(D167))=0</formula>
    </cfRule>
  </conditionalFormatting>
  <conditionalFormatting sqref="O168">
    <cfRule type="containsText" dxfId="368" priority="95" operator="containsText" text="Error">
      <formula>NOT(ISERROR(SEARCH("Error",O168)))</formula>
    </cfRule>
  </conditionalFormatting>
  <conditionalFormatting sqref="D168:E168">
    <cfRule type="containsBlanks" dxfId="367" priority="96">
      <formula>LEN(TRIM(D168))=0</formula>
    </cfRule>
  </conditionalFormatting>
  <conditionalFormatting sqref="O169">
    <cfRule type="containsText" dxfId="366" priority="93" operator="containsText" text="Error">
      <formula>NOT(ISERROR(SEARCH("Error",O169)))</formula>
    </cfRule>
  </conditionalFormatting>
  <conditionalFormatting sqref="D169:E169">
    <cfRule type="containsBlanks" dxfId="365" priority="94">
      <formula>LEN(TRIM(D169))=0</formula>
    </cfRule>
  </conditionalFormatting>
  <conditionalFormatting sqref="O170">
    <cfRule type="containsText" dxfId="364" priority="91" operator="containsText" text="Error">
      <formula>NOT(ISERROR(SEARCH("Error",O170)))</formula>
    </cfRule>
  </conditionalFormatting>
  <conditionalFormatting sqref="D170:E170">
    <cfRule type="containsBlanks" dxfId="363" priority="92">
      <formula>LEN(TRIM(D170))=0</formula>
    </cfRule>
  </conditionalFormatting>
  <conditionalFormatting sqref="O171">
    <cfRule type="containsText" dxfId="362" priority="89" operator="containsText" text="Error">
      <formula>NOT(ISERROR(SEARCH("Error",O171)))</formula>
    </cfRule>
  </conditionalFormatting>
  <conditionalFormatting sqref="D171:E171">
    <cfRule type="containsBlanks" dxfId="361" priority="90">
      <formula>LEN(TRIM(D171))=0</formula>
    </cfRule>
  </conditionalFormatting>
  <conditionalFormatting sqref="O172">
    <cfRule type="containsText" dxfId="360" priority="87" operator="containsText" text="Error">
      <formula>NOT(ISERROR(SEARCH("Error",O172)))</formula>
    </cfRule>
  </conditionalFormatting>
  <conditionalFormatting sqref="D172:E172">
    <cfRule type="containsBlanks" dxfId="359" priority="88">
      <formula>LEN(TRIM(D172))=0</formula>
    </cfRule>
  </conditionalFormatting>
  <conditionalFormatting sqref="O173">
    <cfRule type="containsText" dxfId="358" priority="85" operator="containsText" text="Error">
      <formula>NOT(ISERROR(SEARCH("Error",O173)))</formula>
    </cfRule>
  </conditionalFormatting>
  <conditionalFormatting sqref="D173:E173">
    <cfRule type="containsBlanks" dxfId="357" priority="86">
      <formula>LEN(TRIM(D173))=0</formula>
    </cfRule>
  </conditionalFormatting>
  <conditionalFormatting sqref="O174">
    <cfRule type="containsText" dxfId="356" priority="83" operator="containsText" text="Error">
      <formula>NOT(ISERROR(SEARCH("Error",O174)))</formula>
    </cfRule>
  </conditionalFormatting>
  <conditionalFormatting sqref="D174:E174">
    <cfRule type="containsBlanks" dxfId="355" priority="84">
      <formula>LEN(TRIM(D174))=0</formula>
    </cfRule>
  </conditionalFormatting>
  <conditionalFormatting sqref="O175">
    <cfRule type="containsText" dxfId="354" priority="81" operator="containsText" text="Error">
      <formula>NOT(ISERROR(SEARCH("Error",O175)))</formula>
    </cfRule>
  </conditionalFormatting>
  <conditionalFormatting sqref="D175:E175">
    <cfRule type="containsBlanks" dxfId="353" priority="82">
      <formula>LEN(TRIM(D175))=0</formula>
    </cfRule>
  </conditionalFormatting>
  <conditionalFormatting sqref="O176">
    <cfRule type="containsText" dxfId="352" priority="79" operator="containsText" text="Error">
      <formula>NOT(ISERROR(SEARCH("Error",O176)))</formula>
    </cfRule>
  </conditionalFormatting>
  <conditionalFormatting sqref="D176:E176">
    <cfRule type="containsBlanks" dxfId="351" priority="80">
      <formula>LEN(TRIM(D176))=0</formula>
    </cfRule>
  </conditionalFormatting>
  <conditionalFormatting sqref="O177">
    <cfRule type="containsText" dxfId="350" priority="77" operator="containsText" text="Error">
      <formula>NOT(ISERROR(SEARCH("Error",O177)))</formula>
    </cfRule>
  </conditionalFormatting>
  <conditionalFormatting sqref="D177:E177">
    <cfRule type="containsBlanks" dxfId="349" priority="78">
      <formula>LEN(TRIM(D177))=0</formula>
    </cfRule>
  </conditionalFormatting>
  <conditionalFormatting sqref="O178">
    <cfRule type="containsText" dxfId="348" priority="75" operator="containsText" text="Error">
      <formula>NOT(ISERROR(SEARCH("Error",O178)))</formula>
    </cfRule>
  </conditionalFormatting>
  <conditionalFormatting sqref="D178:E178">
    <cfRule type="containsBlanks" dxfId="347" priority="76">
      <formula>LEN(TRIM(D178))=0</formula>
    </cfRule>
  </conditionalFormatting>
  <conditionalFormatting sqref="O179">
    <cfRule type="containsText" dxfId="346" priority="73" operator="containsText" text="Error">
      <formula>NOT(ISERROR(SEARCH("Error",O179)))</formula>
    </cfRule>
  </conditionalFormatting>
  <conditionalFormatting sqref="D179:E179">
    <cfRule type="containsBlanks" dxfId="345" priority="74">
      <formula>LEN(TRIM(D179))=0</formula>
    </cfRule>
  </conditionalFormatting>
  <conditionalFormatting sqref="O180">
    <cfRule type="containsText" dxfId="344" priority="71" operator="containsText" text="Error">
      <formula>NOT(ISERROR(SEARCH("Error",O180)))</formula>
    </cfRule>
  </conditionalFormatting>
  <conditionalFormatting sqref="D180:E180">
    <cfRule type="containsBlanks" dxfId="343" priority="72">
      <formula>LEN(TRIM(D180))=0</formula>
    </cfRule>
  </conditionalFormatting>
  <conditionalFormatting sqref="O181">
    <cfRule type="containsText" dxfId="342" priority="69" operator="containsText" text="Error">
      <formula>NOT(ISERROR(SEARCH("Error",O181)))</formula>
    </cfRule>
  </conditionalFormatting>
  <conditionalFormatting sqref="D181:E181">
    <cfRule type="containsBlanks" dxfId="341" priority="70">
      <formula>LEN(TRIM(D181))=0</formula>
    </cfRule>
  </conditionalFormatting>
  <conditionalFormatting sqref="O182">
    <cfRule type="containsText" dxfId="340" priority="67" operator="containsText" text="Error">
      <formula>NOT(ISERROR(SEARCH("Error",O182)))</formula>
    </cfRule>
  </conditionalFormatting>
  <conditionalFormatting sqref="D182:E182">
    <cfRule type="containsBlanks" dxfId="339" priority="68">
      <formula>LEN(TRIM(D182))=0</formula>
    </cfRule>
  </conditionalFormatting>
  <conditionalFormatting sqref="O184">
    <cfRule type="containsText" dxfId="338" priority="65" operator="containsText" text="Error">
      <formula>NOT(ISERROR(SEARCH("Error",O184)))</formula>
    </cfRule>
  </conditionalFormatting>
  <conditionalFormatting sqref="D184:E184">
    <cfRule type="containsBlanks" dxfId="337" priority="66">
      <formula>LEN(TRIM(D184))=0</formula>
    </cfRule>
  </conditionalFormatting>
  <conditionalFormatting sqref="O185">
    <cfRule type="containsText" dxfId="336" priority="63" operator="containsText" text="Error">
      <formula>NOT(ISERROR(SEARCH("Error",O185)))</formula>
    </cfRule>
  </conditionalFormatting>
  <conditionalFormatting sqref="D185:E185">
    <cfRule type="containsBlanks" dxfId="335" priority="64">
      <formula>LEN(TRIM(D185))=0</formula>
    </cfRule>
  </conditionalFormatting>
  <conditionalFormatting sqref="O186">
    <cfRule type="containsText" dxfId="334" priority="61" operator="containsText" text="Error">
      <formula>NOT(ISERROR(SEARCH("Error",O186)))</formula>
    </cfRule>
  </conditionalFormatting>
  <conditionalFormatting sqref="D186:E186">
    <cfRule type="containsBlanks" dxfId="333" priority="62">
      <formula>LEN(TRIM(D186))=0</formula>
    </cfRule>
  </conditionalFormatting>
  <conditionalFormatting sqref="O187">
    <cfRule type="containsText" dxfId="332" priority="59" operator="containsText" text="Error">
      <formula>NOT(ISERROR(SEARCH("Error",O187)))</formula>
    </cfRule>
  </conditionalFormatting>
  <conditionalFormatting sqref="D187:E187">
    <cfRule type="containsBlanks" dxfId="331" priority="60">
      <formula>LEN(TRIM(D187))=0</formula>
    </cfRule>
  </conditionalFormatting>
  <conditionalFormatting sqref="O188">
    <cfRule type="containsText" dxfId="330" priority="57" operator="containsText" text="Error">
      <formula>NOT(ISERROR(SEARCH("Error",O188)))</formula>
    </cfRule>
  </conditionalFormatting>
  <conditionalFormatting sqref="D188:E188">
    <cfRule type="containsBlanks" dxfId="329" priority="58">
      <formula>LEN(TRIM(D188))=0</formula>
    </cfRule>
  </conditionalFormatting>
  <conditionalFormatting sqref="O189">
    <cfRule type="containsText" dxfId="328" priority="55" operator="containsText" text="Error">
      <formula>NOT(ISERROR(SEARCH("Error",O189)))</formula>
    </cfRule>
  </conditionalFormatting>
  <conditionalFormatting sqref="D189:E189">
    <cfRule type="containsBlanks" dxfId="327" priority="56">
      <formula>LEN(TRIM(D189))=0</formula>
    </cfRule>
  </conditionalFormatting>
  <conditionalFormatting sqref="O190">
    <cfRule type="containsText" dxfId="326" priority="53" operator="containsText" text="Error">
      <formula>NOT(ISERROR(SEARCH("Error",O190)))</formula>
    </cfRule>
  </conditionalFormatting>
  <conditionalFormatting sqref="D190:E190">
    <cfRule type="containsBlanks" dxfId="325" priority="54">
      <formula>LEN(TRIM(D190))=0</formula>
    </cfRule>
  </conditionalFormatting>
  <conditionalFormatting sqref="O191">
    <cfRule type="containsText" dxfId="324" priority="51" operator="containsText" text="Error">
      <formula>NOT(ISERROR(SEARCH("Error",O191)))</formula>
    </cfRule>
  </conditionalFormatting>
  <conditionalFormatting sqref="D191:E191">
    <cfRule type="containsBlanks" dxfId="323" priority="52">
      <formula>LEN(TRIM(D191))=0</formula>
    </cfRule>
  </conditionalFormatting>
  <conditionalFormatting sqref="O192">
    <cfRule type="containsText" dxfId="322" priority="49" operator="containsText" text="Error">
      <formula>NOT(ISERROR(SEARCH("Error",O192)))</formula>
    </cfRule>
  </conditionalFormatting>
  <conditionalFormatting sqref="D192:E192">
    <cfRule type="containsBlanks" dxfId="321" priority="50">
      <formula>LEN(TRIM(D192))=0</formula>
    </cfRule>
  </conditionalFormatting>
  <conditionalFormatting sqref="O193">
    <cfRule type="containsText" dxfId="320" priority="47" operator="containsText" text="Error">
      <formula>NOT(ISERROR(SEARCH("Error",O193)))</formula>
    </cfRule>
  </conditionalFormatting>
  <conditionalFormatting sqref="D193:E193">
    <cfRule type="containsBlanks" dxfId="319" priority="48">
      <formula>LEN(TRIM(D193))=0</formula>
    </cfRule>
  </conditionalFormatting>
  <conditionalFormatting sqref="O194">
    <cfRule type="containsText" dxfId="318" priority="45" operator="containsText" text="Error">
      <formula>NOT(ISERROR(SEARCH("Error",O194)))</formula>
    </cfRule>
  </conditionalFormatting>
  <conditionalFormatting sqref="D194:E194">
    <cfRule type="containsBlanks" dxfId="317" priority="46">
      <formula>LEN(TRIM(D194))=0</formula>
    </cfRule>
  </conditionalFormatting>
  <conditionalFormatting sqref="O195">
    <cfRule type="containsText" dxfId="316" priority="43" operator="containsText" text="Error">
      <formula>NOT(ISERROR(SEARCH("Error",O195)))</formula>
    </cfRule>
  </conditionalFormatting>
  <conditionalFormatting sqref="D195:E195">
    <cfRule type="containsBlanks" dxfId="315" priority="44">
      <formula>LEN(TRIM(D195))=0</formula>
    </cfRule>
  </conditionalFormatting>
  <conditionalFormatting sqref="O196">
    <cfRule type="containsText" dxfId="314" priority="41" operator="containsText" text="Error">
      <formula>NOT(ISERROR(SEARCH("Error",O196)))</formula>
    </cfRule>
  </conditionalFormatting>
  <conditionalFormatting sqref="D196:E196">
    <cfRule type="containsBlanks" dxfId="313" priority="42">
      <formula>LEN(TRIM(D196))=0</formula>
    </cfRule>
  </conditionalFormatting>
  <conditionalFormatting sqref="O197">
    <cfRule type="containsText" dxfId="312" priority="39" operator="containsText" text="Error">
      <formula>NOT(ISERROR(SEARCH("Error",O197)))</formula>
    </cfRule>
  </conditionalFormatting>
  <conditionalFormatting sqref="D197:E197">
    <cfRule type="containsBlanks" dxfId="311" priority="40">
      <formula>LEN(TRIM(D197))=0</formula>
    </cfRule>
  </conditionalFormatting>
  <conditionalFormatting sqref="O198">
    <cfRule type="containsText" dxfId="310" priority="37" operator="containsText" text="Error">
      <formula>NOT(ISERROR(SEARCH("Error",O198)))</formula>
    </cfRule>
  </conditionalFormatting>
  <conditionalFormatting sqref="D198:E198">
    <cfRule type="containsBlanks" dxfId="309" priority="38">
      <formula>LEN(TRIM(D198))=0</formula>
    </cfRule>
  </conditionalFormatting>
  <conditionalFormatting sqref="O199">
    <cfRule type="containsText" dxfId="308" priority="35" operator="containsText" text="Error">
      <formula>NOT(ISERROR(SEARCH("Error",O199)))</formula>
    </cfRule>
  </conditionalFormatting>
  <conditionalFormatting sqref="D199:E199">
    <cfRule type="containsBlanks" dxfId="307" priority="36">
      <formula>LEN(TRIM(D199))=0</formula>
    </cfRule>
  </conditionalFormatting>
  <conditionalFormatting sqref="O37">
    <cfRule type="containsText" dxfId="306" priority="31" operator="containsText" text="Error">
      <formula>NOT(ISERROR(SEARCH("Error",O37)))</formula>
    </cfRule>
  </conditionalFormatting>
  <conditionalFormatting sqref="D37:E37">
    <cfRule type="containsBlanks" dxfId="305" priority="32">
      <formula>LEN(TRIM(D37))=0</formula>
    </cfRule>
  </conditionalFormatting>
  <conditionalFormatting sqref="O111">
    <cfRule type="containsText" dxfId="304" priority="29" operator="containsText" text="Error">
      <formula>NOT(ISERROR(SEARCH("Error",O111)))</formula>
    </cfRule>
  </conditionalFormatting>
  <conditionalFormatting sqref="D111:E111">
    <cfRule type="containsBlanks" dxfId="303" priority="30">
      <formula>LEN(TRIM(D111))=0</formula>
    </cfRule>
  </conditionalFormatting>
  <conditionalFormatting sqref="O135">
    <cfRule type="containsText" dxfId="302" priority="27" operator="containsText" text="Error">
      <formula>NOT(ISERROR(SEARCH("Error",O135)))</formula>
    </cfRule>
  </conditionalFormatting>
  <conditionalFormatting sqref="D135:E135">
    <cfRule type="containsBlanks" dxfId="301" priority="28">
      <formula>LEN(TRIM(D135))=0</formula>
    </cfRule>
  </conditionalFormatting>
  <conditionalFormatting sqref="O159">
    <cfRule type="containsText" dxfId="300" priority="25" operator="containsText" text="Error">
      <formula>NOT(ISERROR(SEARCH("Error",O159)))</formula>
    </cfRule>
  </conditionalFormatting>
  <conditionalFormatting sqref="D159:E159">
    <cfRule type="containsBlanks" dxfId="299" priority="26">
      <formula>LEN(TRIM(D159))=0</formula>
    </cfRule>
  </conditionalFormatting>
  <conditionalFormatting sqref="O183">
    <cfRule type="containsText" dxfId="298" priority="23" operator="containsText" text="Error">
      <formula>NOT(ISERROR(SEARCH("Error",O183)))</formula>
    </cfRule>
  </conditionalFormatting>
  <conditionalFormatting sqref="D183:E183">
    <cfRule type="containsBlanks" dxfId="297" priority="24">
      <formula>LEN(TRIM(D183))=0</formula>
    </cfRule>
  </conditionalFormatting>
  <conditionalFormatting sqref="O207">
    <cfRule type="containsText" dxfId="296" priority="21" operator="containsText" text="Error">
      <formula>NOT(ISERROR(SEARCH("Error",O207)))</formula>
    </cfRule>
  </conditionalFormatting>
  <conditionalFormatting sqref="D207:E207">
    <cfRule type="containsBlanks" dxfId="295" priority="22">
      <formula>LEN(TRIM(D207))=0</formula>
    </cfRule>
  </conditionalFormatting>
  <conditionalFormatting sqref="O231">
    <cfRule type="containsText" dxfId="294" priority="19" operator="containsText" text="Error">
      <formula>NOT(ISERROR(SEARCH("Error",O231)))</formula>
    </cfRule>
  </conditionalFormatting>
  <conditionalFormatting sqref="D231:E231">
    <cfRule type="containsBlanks" dxfId="293" priority="20">
      <formula>LEN(TRIM(D231))=0</formula>
    </cfRule>
  </conditionalFormatting>
  <conditionalFormatting sqref="O48">
    <cfRule type="containsText" dxfId="292" priority="15" operator="containsText" text="Error">
      <formula>NOT(ISERROR(SEARCH("Error",O48)))</formula>
    </cfRule>
  </conditionalFormatting>
  <conditionalFormatting sqref="D48:E48">
    <cfRule type="containsBlanks" dxfId="291" priority="16">
      <formula>LEN(TRIM(D48))=0</formula>
    </cfRule>
  </conditionalFormatting>
  <conditionalFormatting sqref="O59">
    <cfRule type="containsText" dxfId="290" priority="13" operator="containsText" text="Error">
      <formula>NOT(ISERROR(SEARCH("Error",O59)))</formula>
    </cfRule>
  </conditionalFormatting>
  <conditionalFormatting sqref="D59:E59">
    <cfRule type="containsBlanks" dxfId="289" priority="14">
      <formula>LEN(TRIM(D59))=0</formula>
    </cfRule>
  </conditionalFormatting>
  <conditionalFormatting sqref="O60">
    <cfRule type="containsText" dxfId="288" priority="11" operator="containsText" text="Error">
      <formula>NOT(ISERROR(SEARCH("Error",O60)))</formula>
    </cfRule>
  </conditionalFormatting>
  <conditionalFormatting sqref="D60:E60">
    <cfRule type="containsBlanks" dxfId="287" priority="12">
      <formula>LEN(TRIM(D60))=0</formula>
    </cfRule>
  </conditionalFormatting>
  <conditionalFormatting sqref="O86">
    <cfRule type="containsText" dxfId="286" priority="7" operator="containsText" text="Error">
      <formula>NOT(ISERROR(SEARCH("Error",O86)))</formula>
    </cfRule>
  </conditionalFormatting>
  <conditionalFormatting sqref="D86:E86">
    <cfRule type="containsBlanks" dxfId="285" priority="8">
      <formula>LEN(TRIM(D86))=0</formula>
    </cfRule>
  </conditionalFormatting>
  <conditionalFormatting sqref="O87">
    <cfRule type="containsText" dxfId="284" priority="5" operator="containsText" text="Error">
      <formula>NOT(ISERROR(SEARCH("Error",O87)))</formula>
    </cfRule>
  </conditionalFormatting>
  <conditionalFormatting sqref="D87:E87">
    <cfRule type="containsBlanks" dxfId="283" priority="6">
      <formula>LEN(TRIM(D87))=0</formula>
    </cfRule>
  </conditionalFormatting>
  <conditionalFormatting sqref="O74">
    <cfRule type="containsText" dxfId="282" priority="3" operator="containsText" text="Error">
      <formula>NOT(ISERROR(SEARCH("Error",O74)))</formula>
    </cfRule>
  </conditionalFormatting>
  <conditionalFormatting sqref="D74:E74">
    <cfRule type="containsBlanks" dxfId="281" priority="4">
      <formula>LEN(TRIM(D74))=0</formula>
    </cfRule>
  </conditionalFormatting>
  <conditionalFormatting sqref="O75">
    <cfRule type="containsText" dxfId="280" priority="1" operator="containsText" text="Error">
      <formula>NOT(ISERROR(SEARCH("Error",O75)))</formula>
    </cfRule>
  </conditionalFormatting>
  <conditionalFormatting sqref="D75:E75">
    <cfRule type="containsBlanks" dxfId="279" priority="2">
      <formula>LEN(TRIM(D75))=0</formula>
    </cfRule>
  </conditionalFormatting>
  <dataValidations xWindow="151" yWindow="211" count="5">
    <dataValidation allowBlank="1" showInputMessage="1" errorTitle="Warning: Max Ceilings exceeded" error="Please be aware that this exceed the &quot;Ceilings&quot; for the maximum amounts for staff cost by country" sqref="L13:L231"/>
    <dataValidation allowBlank="1" showInputMessage="1" showErrorMessage="1" error="Please encode City of Destination" prompt="Please encode City of Destination" sqref="I13:I231"/>
    <dataValidation type="whole" allowBlank="1" showInputMessage="1" showErrorMessage="1" error="Format error (whole number only)" prompt="Please encode number (whole number only)" sqref="H13:H231">
      <formula1>0</formula1>
      <formula2>50000</formula2>
    </dataValidation>
    <dataValidation allowBlank="1" showInputMessage="1" showErrorMessage="1" error="Please encode City of Departure" prompt="Please encode City of Departure" sqref="F13:F231"/>
    <dataValidation type="list" allowBlank="1" showInputMessage="1" showErrorMessage="1" error="Click to select Number of days - Max 60 days for Student and 365 days for Staff" prompt="Click to select Number of days - Max 60 days for Student and 365 days for Staff" sqref="K13:K231">
      <formula1>INDIRECT(G13)</formula1>
    </dataValidation>
  </dataValidations>
  <printOptions horizontalCentered="1"/>
  <pageMargins left="0.23622047244094491" right="0.23622047244094491" top="0.39370078740157483" bottom="0.94488188976377963" header="0.31496062992125984" footer="0.31496062992125984"/>
  <pageSetup paperSize="9" scale="41" orientation="landscape" r:id="rId1"/>
  <headerFooter>
    <oddFooter xml:space="preserve">&amp;CPage &amp;P of 3
</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5137" r:id="rId4" name="Button 3">
              <controlPr defaultSize="0" print="0" autoFill="0" autoPict="0" macro="[0]!Button3_Click">
                <anchor moveWithCells="1" sizeWithCells="1">
                  <from>
                    <xdr:col>2</xdr:col>
                    <xdr:colOff>114300</xdr:colOff>
                    <xdr:row>1</xdr:row>
                    <xdr:rowOff>76200</xdr:rowOff>
                  </from>
                  <to>
                    <xdr:col>3</xdr:col>
                    <xdr:colOff>790575</xdr:colOff>
                    <xdr:row>1</xdr:row>
                    <xdr:rowOff>438150</xdr:rowOff>
                  </to>
                </anchor>
              </controlPr>
            </control>
          </mc:Choice>
        </mc:AlternateContent>
        <mc:AlternateContent xmlns:mc="http://schemas.openxmlformats.org/markup-compatibility/2006">
          <mc:Choice Requires="x14">
            <control shapeId="5144" r:id="rId5" name="Button 1">
              <controlPr defaultSize="0" print="0" autoFill="0" autoPict="0" macro="[0]!AddRow">
                <anchor moveWithCells="1" sizeWithCells="1">
                  <from>
                    <xdr:col>1</xdr:col>
                    <xdr:colOff>85725</xdr:colOff>
                    <xdr:row>1</xdr:row>
                    <xdr:rowOff>76200</xdr:rowOff>
                  </from>
                  <to>
                    <xdr:col>1</xdr:col>
                    <xdr:colOff>1066800</xdr:colOff>
                    <xdr:row>1</xdr:row>
                    <xdr:rowOff>438150</xdr:rowOff>
                  </to>
                </anchor>
              </controlPr>
            </control>
          </mc:Choice>
        </mc:AlternateContent>
        <mc:AlternateContent xmlns:mc="http://schemas.openxmlformats.org/markup-compatibility/2006">
          <mc:Choice Requires="x14">
            <control shapeId="5145" r:id="rId6" name="Button 2">
              <controlPr defaultSize="0" print="0" autoFill="0" autoPict="0" macro="[0]!DeleteRow">
                <anchor moveWithCells="1" sizeWithCells="1">
                  <from>
                    <xdr:col>1</xdr:col>
                    <xdr:colOff>1123950</xdr:colOff>
                    <xdr:row>1</xdr:row>
                    <xdr:rowOff>76200</xdr:rowOff>
                  </from>
                  <to>
                    <xdr:col>2</xdr:col>
                    <xdr:colOff>57150</xdr:colOff>
                    <xdr:row>1</xdr:row>
                    <xdr:rowOff>438150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xWindow="151" yWindow="211" count="4">
        <x14:dataValidation type="list" allowBlank="1" showInputMessage="1" showErrorMessage="1" error="Click arrow to select Work Package" prompt="Click arrow to select Work Package">
          <x14:formula1>
            <xm:f>Rates!$J$13:$J$17</xm:f>
          </x14:formula1>
          <xm:sqref>B13:B231</xm:sqref>
        </x14:dataValidation>
        <x14:dataValidation type="list" allowBlank="1" showInputMessage="1" showErrorMessage="1" error="Click arrow to select Category" prompt="Click arrow to select Category">
          <x14:formula1>
            <xm:f>Rates!$Y$4:$Z$4</xm:f>
          </x14:formula1>
          <xm:sqref>G13:G231</xm:sqref>
        </x14:dataValidation>
        <x14:dataValidation type="list" allowBlank="1" showInputMessage="1" showErrorMessage="1" error="Click arrow to select Distance" prompt="Click arrow to select Distance">
          <x14:formula1>
            <xm:f>Rates!$J$5:$J$10</xm:f>
          </x14:formula1>
          <xm:sqref>J13:J231</xm:sqref>
        </x14:dataValidation>
        <x14:dataValidation type="list" allowBlank="1" showInputMessage="1" showErrorMessage="1" error="Click arrow to select Partner N°" prompt="Click arrow to select Partner N°">
          <x14:formula1>
            <xm:f>Overview!$B$30:$B$84</xm:f>
          </x14:formula1>
          <xm:sqref>C13:C231</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tabColor theme="3" tint="0.39997558519241921"/>
  </sheetPr>
  <dimension ref="B1:J70"/>
  <sheetViews>
    <sheetView showGridLines="0" topLeftCell="B1" zoomScale="85" zoomScaleNormal="85" zoomScaleSheetLayoutView="85" workbookViewId="0">
      <pane ySplit="13" topLeftCell="A50" activePane="bottomLeft" state="frozen"/>
      <selection pane="bottomLeft" activeCell="B70" sqref="B70"/>
    </sheetView>
  </sheetViews>
  <sheetFormatPr defaultColWidth="9.140625" defaultRowHeight="18" x14ac:dyDescent="0.25"/>
  <cols>
    <col min="1" max="1" width="1.7109375" style="36" customWidth="1"/>
    <col min="2" max="2" width="30.7109375" style="36" customWidth="1"/>
    <col min="3" max="3" width="10.7109375" style="36" customWidth="1"/>
    <col min="4" max="5" width="50.7109375" style="36" customWidth="1"/>
    <col min="6" max="6" width="120.7109375" style="36" customWidth="1"/>
    <col min="7" max="8" width="20.7109375" style="36" customWidth="1"/>
    <col min="9" max="9" width="11.28515625" style="36" bestFit="1" customWidth="1"/>
    <col min="10" max="10" width="1.7109375" style="114" hidden="1" customWidth="1"/>
    <col min="11" max="11" width="1.7109375" style="36" customWidth="1"/>
    <col min="12" max="16384" width="9.140625" style="36"/>
  </cols>
  <sheetData>
    <row r="1" spans="2:10" ht="8.1" customHeight="1" x14ac:dyDescent="0.25"/>
    <row r="2" spans="2:10" s="67" customFormat="1" ht="39.950000000000003" customHeight="1" x14ac:dyDescent="0.25">
      <c r="B2" s="193" t="s">
        <v>483</v>
      </c>
      <c r="C2" s="193"/>
      <c r="D2" s="193"/>
      <c r="E2" s="193"/>
      <c r="F2" s="193"/>
      <c r="G2" s="193"/>
      <c r="H2" s="193"/>
      <c r="I2" s="193"/>
      <c r="J2" s="115"/>
    </row>
    <row r="3" spans="2:10" s="67" customFormat="1" ht="8.1" customHeight="1" x14ac:dyDescent="0.25">
      <c r="B3" s="105"/>
      <c r="F3" s="156"/>
      <c r="G3" s="156"/>
      <c r="H3" s="156"/>
      <c r="I3" s="88"/>
      <c r="J3" s="115"/>
    </row>
    <row r="4" spans="2:10" s="67" customFormat="1" ht="9.9499999999999993" customHeight="1" x14ac:dyDescent="0.25">
      <c r="B4" s="199" t="s">
        <v>482</v>
      </c>
      <c r="C4" s="202">
        <f>SUM(H:H)</f>
        <v>123200</v>
      </c>
      <c r="D4" s="203"/>
      <c r="F4" s="156"/>
      <c r="G4" s="156"/>
      <c r="H4" s="156"/>
      <c r="I4" s="88"/>
      <c r="J4" s="115"/>
    </row>
    <row r="5" spans="2:10" s="67" customFormat="1" ht="9.9499999999999993" customHeight="1" x14ac:dyDescent="0.25">
      <c r="B5" s="200"/>
      <c r="C5" s="204"/>
      <c r="D5" s="205"/>
      <c r="F5" s="156"/>
      <c r="G5" s="156"/>
      <c r="H5" s="156"/>
      <c r="I5" s="88"/>
      <c r="J5" s="115"/>
    </row>
    <row r="6" spans="2:10" s="67" customFormat="1" ht="9.9499999999999993" customHeight="1" x14ac:dyDescent="0.25">
      <c r="B6" s="200"/>
      <c r="C6" s="204"/>
      <c r="D6" s="205"/>
      <c r="F6" s="156"/>
      <c r="G6" s="156"/>
      <c r="H6" s="156"/>
      <c r="I6" s="88"/>
      <c r="J6" s="115"/>
    </row>
    <row r="7" spans="2:10" s="67" customFormat="1" ht="9.9499999999999993" customHeight="1" x14ac:dyDescent="0.25">
      <c r="B7" s="200"/>
      <c r="C7" s="204"/>
      <c r="D7" s="205"/>
      <c r="F7" s="156"/>
      <c r="G7" s="156"/>
      <c r="H7" s="156"/>
      <c r="I7" s="88"/>
      <c r="J7" s="115"/>
    </row>
    <row r="8" spans="2:10" s="67" customFormat="1" ht="9.9499999999999993" customHeight="1" x14ac:dyDescent="0.25">
      <c r="B8" s="200"/>
      <c r="C8" s="204"/>
      <c r="D8" s="205"/>
      <c r="F8" s="156"/>
      <c r="G8" s="156"/>
      <c r="H8" s="156"/>
      <c r="I8" s="88"/>
      <c r="J8" s="115"/>
    </row>
    <row r="9" spans="2:10" s="67" customFormat="1" ht="9.9499999999999993" customHeight="1" x14ac:dyDescent="0.25">
      <c r="B9" s="201"/>
      <c r="C9" s="206"/>
      <c r="D9" s="207"/>
      <c r="F9" s="156"/>
      <c r="G9" s="156"/>
      <c r="H9" s="156"/>
      <c r="I9" s="88"/>
      <c r="J9" s="115"/>
    </row>
    <row r="10" spans="2:10" s="67" customFormat="1" ht="8.1" customHeight="1" x14ac:dyDescent="0.25">
      <c r="B10" s="68"/>
      <c r="C10" s="69"/>
      <c r="D10" s="69"/>
      <c r="E10" s="69"/>
      <c r="F10" s="70"/>
      <c r="G10" s="70"/>
      <c r="H10" s="70"/>
      <c r="I10" s="92"/>
      <c r="J10" s="115"/>
    </row>
    <row r="11" spans="2:10" s="157" customFormat="1" ht="42" customHeight="1" x14ac:dyDescent="0.25">
      <c r="B11" s="183" t="s">
        <v>353</v>
      </c>
      <c r="C11" s="183" t="s">
        <v>335</v>
      </c>
      <c r="D11" s="183" t="s">
        <v>533</v>
      </c>
      <c r="E11" s="183" t="s">
        <v>534</v>
      </c>
      <c r="F11" s="186" t="s">
        <v>290</v>
      </c>
      <c r="G11" s="192" t="s">
        <v>356</v>
      </c>
      <c r="H11" s="192" t="s">
        <v>355</v>
      </c>
      <c r="I11" s="192" t="s">
        <v>535</v>
      </c>
      <c r="J11" s="117"/>
    </row>
    <row r="12" spans="2:10" ht="23.85" customHeight="1" x14ac:dyDescent="0.25">
      <c r="B12" s="184"/>
      <c r="C12" s="184"/>
      <c r="D12" s="184"/>
      <c r="E12" s="184"/>
      <c r="F12" s="184"/>
      <c r="G12" s="184"/>
      <c r="H12" s="184"/>
      <c r="I12" s="184"/>
    </row>
    <row r="13" spans="2:10" s="103" customFormat="1" hidden="1" x14ac:dyDescent="0.25">
      <c r="B13" s="60"/>
      <c r="C13" s="94"/>
      <c r="D13" s="104" t="str">
        <f>IFERROR(IF(VLOOKUP(C13,Overview!$B$30:$E$84,2,FALSE)=0,"",VLOOKUP(C13,Overview!$B$30:$E$84,2,FALSE)),"")</f>
        <v/>
      </c>
      <c r="E13" s="104" t="str">
        <f>IFERROR(IF(OR(VLOOKUP(C13,Overview!$B$30:$E$84,4,FALSE)="Country not found",VLOOKUP(C13,Overview!$B$30:$E$84,3,FALSE)=0),"",VLOOKUP(C13,Overview!$B$30:$E$84,3,FALSE)),"")</f>
        <v/>
      </c>
      <c r="F13" s="65"/>
      <c r="G13" s="106"/>
      <c r="H13" s="107">
        <f t="shared" ref="H13:H50" si="0">IF(I13="Error",0,ROUND(G13,2))</f>
        <v>0</v>
      </c>
      <c r="I13" s="102" t="str">
        <f>IF(OR(COUNTIF(Rates!$J$13:$J$17,B13)=0,COUNTIF(Overview!$B$30:$B$84,C13)=0,D13="",E13="",F13="",ISNUMBER(G13)=FALSE,J13=1,IF(ISNUMBER(G13)=TRUE,G13=INT(G13*100)/100=FALSE)),"Error","")</f>
        <v>Error</v>
      </c>
      <c r="J13" s="154">
        <f>COUNTIF(Rates!$B$5:$B$37,E13)</f>
        <v>0</v>
      </c>
    </row>
    <row r="14" spans="2:10" s="103" customFormat="1" x14ac:dyDescent="0.25">
      <c r="B14" s="60" t="s">
        <v>367</v>
      </c>
      <c r="C14" s="94" t="s">
        <v>20</v>
      </c>
      <c r="D14" s="104" t="str">
        <f>IFERROR(IF(VLOOKUP(C14,Overview!$B$30:$E$84,2,FALSE)=0,"",VLOOKUP(C14,Overview!$B$30:$E$84,2,FALSE)),"")</f>
        <v>Tashkent State Technical University</v>
      </c>
      <c r="E14" s="104" t="str">
        <f>IFERROR(IF(OR(VLOOKUP(C14,Overview!$B$30:$E$84,4,FALSE)="Country not found",VLOOKUP(C14,Overview!$B$30:$E$84,3,FALSE)=0),"",VLOOKUP(C14,Overview!$B$30:$E$84,3,FALSE)),"")</f>
        <v>Uzbekistan</v>
      </c>
      <c r="F14" s="65" t="s">
        <v>588</v>
      </c>
      <c r="G14" s="106">
        <v>4000</v>
      </c>
      <c r="H14" s="107">
        <f t="shared" si="0"/>
        <v>4000</v>
      </c>
      <c r="I14" s="102" t="str">
        <f>IF(OR(COUNTIF(Rates!$J$13:$J$17,B14)=0,COUNTIF(Overview!$B$30:$B$84,C14)=0,D14="",E14="",F14="",ISNUMBER(G14)=FALSE,J14=1,IF(ISNUMBER(G14)=TRUE,G14=INT(G14*100)/100=FALSE)),"Error","")</f>
        <v/>
      </c>
      <c r="J14" s="154">
        <f>COUNTIF(Rates!$B$5:$B$37,E14)</f>
        <v>0</v>
      </c>
    </row>
    <row r="15" spans="2:10" s="103" customFormat="1" x14ac:dyDescent="0.25">
      <c r="B15" s="60" t="s">
        <v>367</v>
      </c>
      <c r="C15" s="94" t="s">
        <v>20</v>
      </c>
      <c r="D15" s="104" t="str">
        <f>IFERROR(IF(VLOOKUP(C15,Overview!$B$30:$E$84,2,FALSE)=0,"",VLOOKUP(C15,Overview!$B$30:$E$84,2,FALSE)),"")</f>
        <v>Tashkent State Technical University</v>
      </c>
      <c r="E15" s="104" t="str">
        <f>IFERROR(IF(OR(VLOOKUP(C15,Overview!$B$30:$E$84,4,FALSE)="Country not found",VLOOKUP(C15,Overview!$B$30:$E$84,3,FALSE)=0),"",VLOOKUP(C15,Overview!$B$30:$E$84,3,FALSE)),"")</f>
        <v>Uzbekistan</v>
      </c>
      <c r="F15" s="65" t="s">
        <v>589</v>
      </c>
      <c r="G15" s="106">
        <v>600</v>
      </c>
      <c r="H15" s="107">
        <f t="shared" si="0"/>
        <v>600</v>
      </c>
      <c r="I15" s="102" t="str">
        <f>IF(OR(COUNTIF(Rates!$J$13:$J$17,B15)=0,COUNTIF(Overview!$B$30:$B$84,C15)=0,D15="",E15="",F15="",ISNUMBER(G15)=FALSE,J15=1,IF(ISNUMBER(G15)=TRUE,G15=INT(G15*100)/100=FALSE)),"Error","")</f>
        <v/>
      </c>
      <c r="J15" s="154">
        <f>COUNTIF(Rates!$B$5:$B$37,E15)</f>
        <v>0</v>
      </c>
    </row>
    <row r="16" spans="2:10" s="103" customFormat="1" x14ac:dyDescent="0.25">
      <c r="B16" s="60" t="s">
        <v>367</v>
      </c>
      <c r="C16" s="94" t="s">
        <v>20</v>
      </c>
      <c r="D16" s="104" t="str">
        <f>IFERROR(IF(VLOOKUP(C16,Overview!$B$30:$E$84,2,FALSE)=0,"",VLOOKUP(C16,Overview!$B$30:$E$84,2,FALSE)),"")</f>
        <v>Tashkent State Technical University</v>
      </c>
      <c r="E16" s="104" t="str">
        <f>IFERROR(IF(OR(VLOOKUP(C16,Overview!$B$30:$E$84,4,FALSE)="Country not found",VLOOKUP(C16,Overview!$B$30:$E$84,3,FALSE)=0),"",VLOOKUP(C16,Overview!$B$30:$E$84,3,FALSE)),"")</f>
        <v>Uzbekistan</v>
      </c>
      <c r="F16" s="65" t="s">
        <v>592</v>
      </c>
      <c r="G16" s="106">
        <v>600</v>
      </c>
      <c r="H16" s="107">
        <f t="shared" si="0"/>
        <v>600</v>
      </c>
      <c r="I16" s="102" t="str">
        <f>IF(OR(COUNTIF(Rates!$J$13:$J$17,B16)=0,COUNTIF(Overview!$B$30:$B$84,C16)=0,D16="",E16="",F16="",ISNUMBER(G16)=FALSE,J16=1,IF(ISNUMBER(G16)=TRUE,G16=INT(G16*100)/100=FALSE)),"Error","")</f>
        <v/>
      </c>
      <c r="J16" s="154">
        <f>COUNTIF(Rates!$B$5:$B$37,E16)</f>
        <v>0</v>
      </c>
    </row>
    <row r="17" spans="2:10" s="103" customFormat="1" x14ac:dyDescent="0.25">
      <c r="B17" s="60" t="s">
        <v>367</v>
      </c>
      <c r="C17" s="94" t="s">
        <v>21</v>
      </c>
      <c r="D17" s="104" t="str">
        <f>IFERROR(IF(VLOOKUP(C17,Overview!$B$30:$E$84,2,FALSE)=0,"",VLOOKUP(C17,Overview!$B$30:$E$84,2,FALSE)),"")</f>
        <v>National University of Uzbekistan</v>
      </c>
      <c r="E17" s="104" t="str">
        <f>IFERROR(IF(OR(VLOOKUP(C17,Overview!$B$30:$E$84,4,FALSE)="Country not found",VLOOKUP(C17,Overview!$B$30:$E$84,3,FALSE)=0),"",VLOOKUP(C17,Overview!$B$30:$E$84,3,FALSE)),"")</f>
        <v>Uzbekistan</v>
      </c>
      <c r="F17" s="65" t="s">
        <v>607</v>
      </c>
      <c r="G17" s="106">
        <v>4000</v>
      </c>
      <c r="H17" s="107">
        <f t="shared" si="0"/>
        <v>4000</v>
      </c>
      <c r="I17" s="102" t="str">
        <f>IF(OR(COUNTIF(Rates!$J$13:$J$17,B17)=0,COUNTIF(Overview!$B$30:$B$84,C17)=0,D17="",E17="",F17="",ISNUMBER(G17)=FALSE,J17=1,IF(ISNUMBER(G17)=TRUE,G17=INT(G17*100)/100=FALSE)),"Error","")</f>
        <v/>
      </c>
      <c r="J17" s="154">
        <f>COUNTIF(Rates!$B$5:$B$37,E17)</f>
        <v>0</v>
      </c>
    </row>
    <row r="18" spans="2:10" s="103" customFormat="1" x14ac:dyDescent="0.25">
      <c r="B18" s="60" t="s">
        <v>367</v>
      </c>
      <c r="C18" s="94" t="s">
        <v>21</v>
      </c>
      <c r="D18" s="104" t="str">
        <f>IFERROR(IF(VLOOKUP(C18,Overview!$B$30:$E$84,2,FALSE)=0,"",VLOOKUP(C18,Overview!$B$30:$E$84,2,FALSE)),"")</f>
        <v>National University of Uzbekistan</v>
      </c>
      <c r="E18" s="104" t="str">
        <f>IFERROR(IF(OR(VLOOKUP(C18,Overview!$B$30:$E$84,4,FALSE)="Country not found",VLOOKUP(C18,Overview!$B$30:$E$84,3,FALSE)=0),"",VLOOKUP(C18,Overview!$B$30:$E$84,3,FALSE)),"")</f>
        <v>Uzbekistan</v>
      </c>
      <c r="F18" s="65" t="s">
        <v>589</v>
      </c>
      <c r="G18" s="106">
        <v>600</v>
      </c>
      <c r="H18" s="107">
        <f t="shared" si="0"/>
        <v>600</v>
      </c>
      <c r="I18" s="102" t="str">
        <f>IF(OR(COUNTIF(Rates!$J$13:$J$17,B18)=0,COUNTIF(Overview!$B$30:$B$84,C18)=0,D18="",E18="",F18="",ISNUMBER(G18)=FALSE,J18=1,IF(ISNUMBER(G18)=TRUE,G18=INT(G18*100)/100=FALSE)),"Error","")</f>
        <v/>
      </c>
      <c r="J18" s="154">
        <f>COUNTIF(Rates!$B$5:$B$37,E18)</f>
        <v>0</v>
      </c>
    </row>
    <row r="19" spans="2:10" s="103" customFormat="1" x14ac:dyDescent="0.25">
      <c r="B19" s="60" t="s">
        <v>367</v>
      </c>
      <c r="C19" s="94" t="s">
        <v>21</v>
      </c>
      <c r="D19" s="104" t="str">
        <f>IFERROR(IF(VLOOKUP(C19,Overview!$B$30:$E$84,2,FALSE)=0,"",VLOOKUP(C19,Overview!$B$30:$E$84,2,FALSE)),"")</f>
        <v>National University of Uzbekistan</v>
      </c>
      <c r="E19" s="104" t="str">
        <f>IFERROR(IF(OR(VLOOKUP(C19,Overview!$B$30:$E$84,4,FALSE)="Country not found",VLOOKUP(C19,Overview!$B$30:$E$84,3,FALSE)=0),"",VLOOKUP(C19,Overview!$B$30:$E$84,3,FALSE)),"")</f>
        <v>Uzbekistan</v>
      </c>
      <c r="F19" s="65" t="s">
        <v>592</v>
      </c>
      <c r="G19" s="106">
        <v>600</v>
      </c>
      <c r="H19" s="107">
        <f t="shared" si="0"/>
        <v>600</v>
      </c>
      <c r="I19" s="102" t="str">
        <f>IF(OR(COUNTIF(Rates!$J$13:$J$17,B19)=0,COUNTIF(Overview!$B$30:$B$84,C19)=0,D19="",E19="",F19="",ISNUMBER(G19)=FALSE,J19=1,IF(ISNUMBER(G19)=TRUE,G19=INT(G19*100)/100=FALSE)),"Error","")</f>
        <v/>
      </c>
      <c r="J19" s="154">
        <f>COUNTIF(Rates!$B$5:$B$37,E19)</f>
        <v>0</v>
      </c>
    </row>
    <row r="20" spans="2:10" s="103" customFormat="1" x14ac:dyDescent="0.25">
      <c r="B20" s="60" t="s">
        <v>367</v>
      </c>
      <c r="C20" s="94" t="s">
        <v>24</v>
      </c>
      <c r="D20" s="104" t="str">
        <f>IFERROR(IF(VLOOKUP(C20,Overview!$B$30:$E$84,2,FALSE)=0,"",VLOOKUP(C20,Overview!$B$30:$E$84,2,FALSE)),"")</f>
        <v>Kyrgyz State Technical University</v>
      </c>
      <c r="E20" s="104" t="str">
        <f>IFERROR(IF(OR(VLOOKUP(C20,Overview!$B$30:$E$84,4,FALSE)="Country not found",VLOOKUP(C20,Overview!$B$30:$E$84,3,FALSE)=0),"",VLOOKUP(C20,Overview!$B$30:$E$84,3,FALSE)),"")</f>
        <v>Kyrgyzstan</v>
      </c>
      <c r="F20" s="65" t="s">
        <v>607</v>
      </c>
      <c r="G20" s="106">
        <v>4000</v>
      </c>
      <c r="H20" s="107">
        <f t="shared" si="0"/>
        <v>4000</v>
      </c>
      <c r="I20" s="102" t="str">
        <f>IF(OR(COUNTIF(Rates!$J$13:$J$17,B20)=0,COUNTIF(Overview!$B$30:$B$84,C20)=0,D20="",E20="",F20="",ISNUMBER(G20)=FALSE,J20=1,IF(ISNUMBER(G20)=TRUE,G20=INT(G20*100)/100=FALSE)),"Error","")</f>
        <v/>
      </c>
      <c r="J20" s="154">
        <f>COUNTIF(Rates!$B$5:$B$37,E20)</f>
        <v>0</v>
      </c>
    </row>
    <row r="21" spans="2:10" s="103" customFormat="1" x14ac:dyDescent="0.25">
      <c r="B21" s="60" t="s">
        <v>367</v>
      </c>
      <c r="C21" s="94" t="s">
        <v>24</v>
      </c>
      <c r="D21" s="104" t="str">
        <f>IFERROR(IF(VLOOKUP(C21,Overview!$B$30:$E$84,2,FALSE)=0,"",VLOOKUP(C21,Overview!$B$30:$E$84,2,FALSE)),"")</f>
        <v>Kyrgyz State Technical University</v>
      </c>
      <c r="E21" s="104" t="str">
        <f>IFERROR(IF(OR(VLOOKUP(C21,Overview!$B$30:$E$84,4,FALSE)="Country not found",VLOOKUP(C21,Overview!$B$30:$E$84,3,FALSE)=0),"",VLOOKUP(C21,Overview!$B$30:$E$84,3,FALSE)),"")</f>
        <v>Kyrgyzstan</v>
      </c>
      <c r="F21" s="65" t="s">
        <v>589</v>
      </c>
      <c r="G21" s="106">
        <v>600</v>
      </c>
      <c r="H21" s="107">
        <f t="shared" si="0"/>
        <v>600</v>
      </c>
      <c r="I21" s="102" t="str">
        <f>IF(OR(COUNTIF(Rates!$J$13:$J$17,B21)=0,COUNTIF(Overview!$B$30:$B$84,C21)=0,D21="",E21="",F21="",ISNUMBER(G21)=FALSE,J21=1,IF(ISNUMBER(G21)=TRUE,G21=INT(G21*100)/100=FALSE)),"Error","")</f>
        <v/>
      </c>
      <c r="J21" s="154">
        <f>COUNTIF(Rates!$B$5:$B$37,E21)</f>
        <v>0</v>
      </c>
    </row>
    <row r="22" spans="2:10" s="103" customFormat="1" x14ac:dyDescent="0.25">
      <c r="B22" s="60" t="s">
        <v>367</v>
      </c>
      <c r="C22" s="94" t="s">
        <v>24</v>
      </c>
      <c r="D22" s="104" t="str">
        <f>IFERROR(IF(VLOOKUP(C22,Overview!$B$30:$E$84,2,FALSE)=0,"",VLOOKUP(C22,Overview!$B$30:$E$84,2,FALSE)),"")</f>
        <v>Kyrgyz State Technical University</v>
      </c>
      <c r="E22" s="104" t="str">
        <f>IFERROR(IF(OR(VLOOKUP(C22,Overview!$B$30:$E$84,4,FALSE)="Country not found",VLOOKUP(C22,Overview!$B$30:$E$84,3,FALSE)=0),"",VLOOKUP(C22,Overview!$B$30:$E$84,3,FALSE)),"")</f>
        <v>Kyrgyzstan</v>
      </c>
      <c r="F22" s="65" t="s">
        <v>592</v>
      </c>
      <c r="G22" s="106">
        <v>600</v>
      </c>
      <c r="H22" s="107">
        <f t="shared" si="0"/>
        <v>600</v>
      </c>
      <c r="I22" s="102" t="str">
        <f>IF(OR(COUNTIF(Rates!$J$13:$J$17,B22)=0,COUNTIF(Overview!$B$30:$B$84,C22)=0,D22="",E22="",F22="",ISNUMBER(G22)=FALSE,J22=1,IF(ISNUMBER(G22)=TRUE,G22=INT(G22*100)/100=FALSE)),"Error","")</f>
        <v/>
      </c>
      <c r="J22" s="154">
        <f>COUNTIF(Rates!$B$5:$B$37,E22)</f>
        <v>0</v>
      </c>
    </row>
    <row r="23" spans="2:10" s="103" customFormat="1" x14ac:dyDescent="0.25">
      <c r="B23" s="60" t="s">
        <v>367</v>
      </c>
      <c r="C23" s="94" t="s">
        <v>25</v>
      </c>
      <c r="D23" s="104" t="str">
        <f>IFERROR(IF(VLOOKUP(C23,Overview!$B$30:$E$84,2,FALSE)=0,"",VLOOKUP(C23,Overview!$B$30:$E$84,2,FALSE)),"")</f>
        <v>Bishkek Academy of Finance and Economics</v>
      </c>
      <c r="E23" s="104" t="str">
        <f>IFERROR(IF(OR(VLOOKUP(C23,Overview!$B$30:$E$84,4,FALSE)="Country not found",VLOOKUP(C23,Overview!$B$30:$E$84,3,FALSE)=0),"",VLOOKUP(C23,Overview!$B$30:$E$84,3,FALSE)),"")</f>
        <v>Kyrgyzstan</v>
      </c>
      <c r="F23" s="65" t="s">
        <v>607</v>
      </c>
      <c r="G23" s="106">
        <v>4000</v>
      </c>
      <c r="H23" s="107">
        <f t="shared" si="0"/>
        <v>4000</v>
      </c>
      <c r="I23" s="102" t="str">
        <f>IF(OR(COUNTIF(Rates!$J$13:$J$17,B23)=0,COUNTIF(Overview!$B$30:$B$84,C23)=0,D23="",E23="",F23="",ISNUMBER(G23)=FALSE,J23=1,IF(ISNUMBER(G23)=TRUE,G23=INT(G23*100)/100=FALSE)),"Error","")</f>
        <v/>
      </c>
      <c r="J23" s="154">
        <f>COUNTIF(Rates!$B$5:$B$37,E23)</f>
        <v>0</v>
      </c>
    </row>
    <row r="24" spans="2:10" s="103" customFormat="1" x14ac:dyDescent="0.25">
      <c r="B24" s="60" t="s">
        <v>367</v>
      </c>
      <c r="C24" s="94" t="s">
        <v>25</v>
      </c>
      <c r="D24" s="104" t="str">
        <f>IFERROR(IF(VLOOKUP(C24,Overview!$B$30:$E$84,2,FALSE)=0,"",VLOOKUP(C24,Overview!$B$30:$E$84,2,FALSE)),"")</f>
        <v>Bishkek Academy of Finance and Economics</v>
      </c>
      <c r="E24" s="104" t="str">
        <f>IFERROR(IF(OR(VLOOKUP(C24,Overview!$B$30:$E$84,4,FALSE)="Country not found",VLOOKUP(C24,Overview!$B$30:$E$84,3,FALSE)=0),"",VLOOKUP(C24,Overview!$B$30:$E$84,3,FALSE)),"")</f>
        <v>Kyrgyzstan</v>
      </c>
      <c r="F24" s="65" t="s">
        <v>589</v>
      </c>
      <c r="G24" s="106">
        <v>600</v>
      </c>
      <c r="H24" s="107">
        <f t="shared" si="0"/>
        <v>600</v>
      </c>
      <c r="I24" s="102" t="str">
        <f>IF(OR(COUNTIF(Rates!$J$13:$J$17,B24)=0,COUNTIF(Overview!$B$30:$B$84,C24)=0,D24="",E24="",F24="",ISNUMBER(G24)=FALSE,J24=1,IF(ISNUMBER(G24)=TRUE,G24=INT(G24*100)/100=FALSE)),"Error","")</f>
        <v/>
      </c>
      <c r="J24" s="154">
        <f>COUNTIF(Rates!$B$5:$B$37,E24)</f>
        <v>0</v>
      </c>
    </row>
    <row r="25" spans="2:10" s="103" customFormat="1" x14ac:dyDescent="0.25">
      <c r="B25" s="60" t="s">
        <v>367</v>
      </c>
      <c r="C25" s="94" t="s">
        <v>25</v>
      </c>
      <c r="D25" s="104" t="str">
        <f>IFERROR(IF(VLOOKUP(C25,Overview!$B$30:$E$84,2,FALSE)=0,"",VLOOKUP(C25,Overview!$B$30:$E$84,2,FALSE)),"")</f>
        <v>Bishkek Academy of Finance and Economics</v>
      </c>
      <c r="E25" s="104" t="str">
        <f>IFERROR(IF(OR(VLOOKUP(C25,Overview!$B$30:$E$84,4,FALSE)="Country not found",VLOOKUP(C25,Overview!$B$30:$E$84,3,FALSE)=0),"",VLOOKUP(C25,Overview!$B$30:$E$84,3,FALSE)),"")</f>
        <v>Kyrgyzstan</v>
      </c>
      <c r="F25" s="65" t="s">
        <v>592</v>
      </c>
      <c r="G25" s="106">
        <v>600</v>
      </c>
      <c r="H25" s="107">
        <f t="shared" si="0"/>
        <v>600</v>
      </c>
      <c r="I25" s="102" t="str">
        <f>IF(OR(COUNTIF(Rates!$J$13:$J$17,B25)=0,COUNTIF(Overview!$B$30:$B$84,C25)=0,D25="",E25="",F25="",ISNUMBER(G25)=FALSE,J25=1,IF(ISNUMBER(G25)=TRUE,G25=INT(G25*100)/100=FALSE)),"Error","")</f>
        <v/>
      </c>
      <c r="J25" s="154">
        <f>COUNTIF(Rates!$B$5:$B$37,E25)</f>
        <v>0</v>
      </c>
    </row>
    <row r="26" spans="2:10" s="103" customFormat="1" x14ac:dyDescent="0.25">
      <c r="B26" s="60" t="s">
        <v>367</v>
      </c>
      <c r="C26" s="94" t="s">
        <v>26</v>
      </c>
      <c r="D26" s="104" t="str">
        <f>IFERROR(IF(VLOOKUP(C26,Overview!$B$30:$E$84,2,FALSE)=0,"",VLOOKUP(C26,Overview!$B$30:$E$84,2,FALSE)),"")</f>
        <v>Osh Technological University</v>
      </c>
      <c r="E26" s="104" t="str">
        <f>IFERROR(IF(OR(VLOOKUP(C26,Overview!$B$30:$E$84,4,FALSE)="Country not found",VLOOKUP(C26,Overview!$B$30:$E$84,3,FALSE)=0),"",VLOOKUP(C26,Overview!$B$30:$E$84,3,FALSE)),"")</f>
        <v>Kyrgyzstan</v>
      </c>
      <c r="F26" s="65" t="s">
        <v>607</v>
      </c>
      <c r="G26" s="106">
        <v>4000</v>
      </c>
      <c r="H26" s="107">
        <f t="shared" si="0"/>
        <v>4000</v>
      </c>
      <c r="I26" s="102" t="str">
        <f>IF(OR(COUNTIF(Rates!$J$13:$J$17,B26)=0,COUNTIF(Overview!$B$30:$B$84,C26)=0,D26="",E26="",F26="",ISNUMBER(G26)=FALSE,J26=1,IF(ISNUMBER(G26)=TRUE,G26=INT(G26*100)/100=FALSE)),"Error","")</f>
        <v/>
      </c>
      <c r="J26" s="154">
        <f>COUNTIF(Rates!$B$5:$B$37,E26)</f>
        <v>0</v>
      </c>
    </row>
    <row r="27" spans="2:10" s="103" customFormat="1" x14ac:dyDescent="0.25">
      <c r="B27" s="60" t="s">
        <v>367</v>
      </c>
      <c r="C27" s="94" t="s">
        <v>26</v>
      </c>
      <c r="D27" s="104" t="str">
        <f>IFERROR(IF(VLOOKUP(C27,Overview!$B$30:$E$84,2,FALSE)=0,"",VLOOKUP(C27,Overview!$B$30:$E$84,2,FALSE)),"")</f>
        <v>Osh Technological University</v>
      </c>
      <c r="E27" s="104" t="str">
        <f>IFERROR(IF(OR(VLOOKUP(C27,Overview!$B$30:$E$84,4,FALSE)="Country not found",VLOOKUP(C27,Overview!$B$30:$E$84,3,FALSE)=0),"",VLOOKUP(C27,Overview!$B$30:$E$84,3,FALSE)),"")</f>
        <v>Kyrgyzstan</v>
      </c>
      <c r="F27" s="65" t="s">
        <v>589</v>
      </c>
      <c r="G27" s="106">
        <v>600</v>
      </c>
      <c r="H27" s="107">
        <f t="shared" si="0"/>
        <v>600</v>
      </c>
      <c r="I27" s="102" t="str">
        <f>IF(OR(COUNTIF(Rates!$J$13:$J$17,B27)=0,COUNTIF(Overview!$B$30:$B$84,C27)=0,D27="",E27="",F27="",ISNUMBER(G27)=FALSE,J27=1,IF(ISNUMBER(G27)=TRUE,G27=INT(G27*100)/100=FALSE)),"Error","")</f>
        <v/>
      </c>
      <c r="J27" s="154">
        <f>COUNTIF(Rates!$B$5:$B$37,E27)</f>
        <v>0</v>
      </c>
    </row>
    <row r="28" spans="2:10" s="103" customFormat="1" x14ac:dyDescent="0.25">
      <c r="B28" s="60" t="s">
        <v>367</v>
      </c>
      <c r="C28" s="94" t="s">
        <v>26</v>
      </c>
      <c r="D28" s="104" t="str">
        <f>IFERROR(IF(VLOOKUP(C28,Overview!$B$30:$E$84,2,FALSE)=0,"",VLOOKUP(C28,Overview!$B$30:$E$84,2,FALSE)),"")</f>
        <v>Osh Technological University</v>
      </c>
      <c r="E28" s="104" t="str">
        <f>IFERROR(IF(OR(VLOOKUP(C28,Overview!$B$30:$E$84,4,FALSE)="Country not found",VLOOKUP(C28,Overview!$B$30:$E$84,3,FALSE)=0),"",VLOOKUP(C28,Overview!$B$30:$E$84,3,FALSE)),"")</f>
        <v>Kyrgyzstan</v>
      </c>
      <c r="F28" s="65" t="s">
        <v>592</v>
      </c>
      <c r="G28" s="106">
        <v>600</v>
      </c>
      <c r="H28" s="107">
        <f t="shared" si="0"/>
        <v>600</v>
      </c>
      <c r="I28" s="102" t="str">
        <f>IF(OR(COUNTIF(Rates!$J$13:$J$17,B28)=0,COUNTIF(Overview!$B$30:$B$84,C28)=0,D28="",E28="",F28="",ISNUMBER(G28)=FALSE,J28=1,IF(ISNUMBER(G28)=TRUE,G28=INT(G28*100)/100=FALSE)),"Error","")</f>
        <v/>
      </c>
      <c r="J28" s="154">
        <f>COUNTIF(Rates!$B$5:$B$37,E28)</f>
        <v>0</v>
      </c>
    </row>
    <row r="29" spans="2:10" s="103" customFormat="1" x14ac:dyDescent="0.25">
      <c r="B29" s="60" t="s">
        <v>367</v>
      </c>
      <c r="C29" s="94" t="s">
        <v>28</v>
      </c>
      <c r="D29" s="104" t="str">
        <f>IFERROR(IF(VLOOKUP(C29,Overview!$B$30:$E$84,2,FALSE)=0,"",VLOOKUP(C29,Overview!$B$30:$E$84,2,FALSE)),"")</f>
        <v>Khujand State University</v>
      </c>
      <c r="E29" s="104" t="str">
        <f>IFERROR(IF(OR(VLOOKUP(C29,Overview!$B$30:$E$84,4,FALSE)="Country not found",VLOOKUP(C29,Overview!$B$30:$E$84,3,FALSE)=0),"",VLOOKUP(C29,Overview!$B$30:$E$84,3,FALSE)),"")</f>
        <v>Tajikistan</v>
      </c>
      <c r="F29" s="65" t="s">
        <v>607</v>
      </c>
      <c r="G29" s="106">
        <v>4000</v>
      </c>
      <c r="H29" s="107">
        <f t="shared" si="0"/>
        <v>4000</v>
      </c>
      <c r="I29" s="102" t="str">
        <f>IF(OR(COUNTIF(Rates!$J$13:$J$17,B29)=0,COUNTIF(Overview!$B$30:$B$84,C29)=0,D29="",E29="",F29="",ISNUMBER(G29)=FALSE,J29=1,IF(ISNUMBER(G29)=TRUE,G29=INT(G29*100)/100=FALSE)),"Error","")</f>
        <v/>
      </c>
      <c r="J29" s="154">
        <f>COUNTIF(Rates!$B$5:$B$37,E29)</f>
        <v>0</v>
      </c>
    </row>
    <row r="30" spans="2:10" s="103" customFormat="1" x14ac:dyDescent="0.25">
      <c r="B30" s="60" t="s">
        <v>367</v>
      </c>
      <c r="C30" s="94" t="s">
        <v>28</v>
      </c>
      <c r="D30" s="104" t="str">
        <f>IFERROR(IF(VLOOKUP(C30,Overview!$B$30:$E$84,2,FALSE)=0,"",VLOOKUP(C30,Overview!$B$30:$E$84,2,FALSE)),"")</f>
        <v>Khujand State University</v>
      </c>
      <c r="E30" s="104" t="str">
        <f>IFERROR(IF(OR(VLOOKUP(C30,Overview!$B$30:$E$84,4,FALSE)="Country not found",VLOOKUP(C30,Overview!$B$30:$E$84,3,FALSE)=0),"",VLOOKUP(C30,Overview!$B$30:$E$84,3,FALSE)),"")</f>
        <v>Tajikistan</v>
      </c>
      <c r="F30" s="65" t="s">
        <v>589</v>
      </c>
      <c r="G30" s="106">
        <v>600</v>
      </c>
      <c r="H30" s="107">
        <f t="shared" si="0"/>
        <v>600</v>
      </c>
      <c r="I30" s="102" t="str">
        <f>IF(OR(COUNTIF(Rates!$J$13:$J$17,B30)=0,COUNTIF(Overview!$B$30:$B$84,C30)=0,D30="",E30="",F30="",ISNUMBER(G30)=FALSE,J30=1,IF(ISNUMBER(G30)=TRUE,G30=INT(G30*100)/100=FALSE)),"Error","")</f>
        <v/>
      </c>
      <c r="J30" s="154">
        <f>COUNTIF(Rates!$B$5:$B$37,E30)</f>
        <v>0</v>
      </c>
    </row>
    <row r="31" spans="2:10" s="103" customFormat="1" x14ac:dyDescent="0.25">
      <c r="B31" s="60" t="s">
        <v>367</v>
      </c>
      <c r="C31" s="94" t="s">
        <v>28</v>
      </c>
      <c r="D31" s="104" t="str">
        <f>IFERROR(IF(VLOOKUP(C31,Overview!$B$30:$E$84,2,FALSE)=0,"",VLOOKUP(C31,Overview!$B$30:$E$84,2,FALSE)),"")</f>
        <v>Khujand State University</v>
      </c>
      <c r="E31" s="104" t="str">
        <f>IFERROR(IF(OR(VLOOKUP(C31,Overview!$B$30:$E$84,4,FALSE)="Country not found",VLOOKUP(C31,Overview!$B$30:$E$84,3,FALSE)=0),"",VLOOKUP(C31,Overview!$B$30:$E$84,3,FALSE)),"")</f>
        <v>Tajikistan</v>
      </c>
      <c r="F31" s="65" t="s">
        <v>592</v>
      </c>
      <c r="G31" s="106">
        <v>600</v>
      </c>
      <c r="H31" s="107">
        <f t="shared" si="0"/>
        <v>600</v>
      </c>
      <c r="I31" s="102" t="str">
        <f>IF(OR(COUNTIF(Rates!$J$13:$J$17,B31)=0,COUNTIF(Overview!$B$30:$B$84,C31)=0,D31="",E31="",F31="",ISNUMBER(G31)=FALSE,J31=1,IF(ISNUMBER(G31)=TRUE,G31=INT(G31*100)/100=FALSE)),"Error","")</f>
        <v/>
      </c>
      <c r="J31" s="154">
        <f>COUNTIF(Rates!$B$5:$B$37,E31)</f>
        <v>0</v>
      </c>
    </row>
    <row r="32" spans="2:10" s="103" customFormat="1" x14ac:dyDescent="0.25">
      <c r="B32" s="60" t="s">
        <v>367</v>
      </c>
      <c r="C32" s="94" t="s">
        <v>29</v>
      </c>
      <c r="D32" s="104" t="str">
        <f>IFERROR(IF(VLOOKUP(C32,Overview!$B$30:$E$84,2,FALSE)=0,"",VLOOKUP(C32,Overview!$B$30:$E$84,2,FALSE)),"")</f>
        <v>Khorog State University</v>
      </c>
      <c r="E32" s="104" t="str">
        <f>IFERROR(IF(OR(VLOOKUP(C32,Overview!$B$30:$E$84,4,FALSE)="Country not found",VLOOKUP(C32,Overview!$B$30:$E$84,3,FALSE)=0),"",VLOOKUP(C32,Overview!$B$30:$E$84,3,FALSE)),"")</f>
        <v>Tajikistan</v>
      </c>
      <c r="F32" s="65" t="s">
        <v>607</v>
      </c>
      <c r="G32" s="106">
        <v>4000</v>
      </c>
      <c r="H32" s="107">
        <f t="shared" si="0"/>
        <v>4000</v>
      </c>
      <c r="I32" s="102" t="str">
        <f>IF(OR(COUNTIF(Rates!$J$13:$J$17,B32)=0,COUNTIF(Overview!$B$30:$B$84,C32)=0,D32="",E32="",F32="",ISNUMBER(G32)=FALSE,J32=1,IF(ISNUMBER(G32)=TRUE,G32=INT(G32*100)/100=FALSE)),"Error","")</f>
        <v/>
      </c>
      <c r="J32" s="154">
        <f>COUNTIF(Rates!$B$5:$B$37,E32)</f>
        <v>0</v>
      </c>
    </row>
    <row r="33" spans="2:10" s="103" customFormat="1" x14ac:dyDescent="0.25">
      <c r="B33" s="60" t="s">
        <v>367</v>
      </c>
      <c r="C33" s="94" t="s">
        <v>29</v>
      </c>
      <c r="D33" s="104" t="str">
        <f>IFERROR(IF(VLOOKUP(C33,Overview!$B$30:$E$84,2,FALSE)=0,"",VLOOKUP(C33,Overview!$B$30:$E$84,2,FALSE)),"")</f>
        <v>Khorog State University</v>
      </c>
      <c r="E33" s="104" t="str">
        <f>IFERROR(IF(OR(VLOOKUP(C33,Overview!$B$30:$E$84,4,FALSE)="Country not found",VLOOKUP(C33,Overview!$B$30:$E$84,3,FALSE)=0),"",VLOOKUP(C33,Overview!$B$30:$E$84,3,FALSE)),"")</f>
        <v>Tajikistan</v>
      </c>
      <c r="F33" s="65" t="s">
        <v>589</v>
      </c>
      <c r="G33" s="106">
        <v>600</v>
      </c>
      <c r="H33" s="107">
        <f t="shared" si="0"/>
        <v>600</v>
      </c>
      <c r="I33" s="102" t="str">
        <f>IF(OR(COUNTIF(Rates!$J$13:$J$17,B33)=0,COUNTIF(Overview!$B$30:$B$84,C33)=0,D33="",E33="",F33="",ISNUMBER(G33)=FALSE,J33=1,IF(ISNUMBER(G33)=TRUE,G33=INT(G33*100)/100=FALSE)),"Error","")</f>
        <v/>
      </c>
      <c r="J33" s="154">
        <f>COUNTIF(Rates!$B$5:$B$37,E33)</f>
        <v>0</v>
      </c>
    </row>
    <row r="34" spans="2:10" s="103" customFormat="1" x14ac:dyDescent="0.25">
      <c r="B34" s="60" t="s">
        <v>367</v>
      </c>
      <c r="C34" s="94" t="s">
        <v>29</v>
      </c>
      <c r="D34" s="104" t="str">
        <f>IFERROR(IF(VLOOKUP(C34,Overview!$B$30:$E$84,2,FALSE)=0,"",VLOOKUP(C34,Overview!$B$30:$E$84,2,FALSE)),"")</f>
        <v>Khorog State University</v>
      </c>
      <c r="E34" s="104" t="str">
        <f>IFERROR(IF(OR(VLOOKUP(C34,Overview!$B$30:$E$84,4,FALSE)="Country not found",VLOOKUP(C34,Overview!$B$30:$E$84,3,FALSE)=0),"",VLOOKUP(C34,Overview!$B$30:$E$84,3,FALSE)),"")</f>
        <v>Tajikistan</v>
      </c>
      <c r="F34" s="65" t="s">
        <v>592</v>
      </c>
      <c r="G34" s="106">
        <v>600</v>
      </c>
      <c r="H34" s="107">
        <f t="shared" si="0"/>
        <v>600</v>
      </c>
      <c r="I34" s="102" t="str">
        <f>IF(OR(COUNTIF(Rates!$J$13:$J$17,B34)=0,COUNTIF(Overview!$B$30:$B$84,C34)=0,D34="",E34="",F34="",ISNUMBER(G34)=FALSE,J34=1,IF(ISNUMBER(G34)=TRUE,G34=INT(G34*100)/100=FALSE)),"Error","")</f>
        <v/>
      </c>
      <c r="J34" s="154">
        <f>COUNTIF(Rates!$B$5:$B$37,E34)</f>
        <v>0</v>
      </c>
    </row>
    <row r="35" spans="2:10" s="103" customFormat="1" x14ac:dyDescent="0.25">
      <c r="B35" s="60" t="s">
        <v>367</v>
      </c>
      <c r="C35" s="94" t="s">
        <v>30</v>
      </c>
      <c r="D35" s="104" t="str">
        <f>IFERROR(IF(VLOOKUP(C35,Overview!$B$30:$E$84,2,FALSE)=0,"",VLOOKUP(C35,Overview!$B$30:$E$84,2,FALSE)),"")</f>
        <v>Tajik Pedagogical University</v>
      </c>
      <c r="E35" s="104" t="str">
        <f>IFERROR(IF(OR(VLOOKUP(C35,Overview!$B$30:$E$84,4,FALSE)="Country not found",VLOOKUP(C35,Overview!$B$30:$E$84,3,FALSE)=0),"",VLOOKUP(C35,Overview!$B$30:$E$84,3,FALSE)),"")</f>
        <v>Tajikistan</v>
      </c>
      <c r="F35" s="65" t="s">
        <v>607</v>
      </c>
      <c r="G35" s="106">
        <v>4000</v>
      </c>
      <c r="H35" s="107">
        <f t="shared" si="0"/>
        <v>4000</v>
      </c>
      <c r="I35" s="102" t="str">
        <f>IF(OR(COUNTIF(Rates!$J$13:$J$17,B35)=0,COUNTIF(Overview!$B$30:$B$84,C35)=0,D35="",E35="",F35="",ISNUMBER(G35)=FALSE,J35=1,IF(ISNUMBER(G35)=TRUE,G35=INT(G35*100)/100=FALSE)),"Error","")</f>
        <v/>
      </c>
      <c r="J35" s="154">
        <f>COUNTIF(Rates!$B$5:$B$37,E35)</f>
        <v>0</v>
      </c>
    </row>
    <row r="36" spans="2:10" s="103" customFormat="1" x14ac:dyDescent="0.25">
      <c r="B36" s="60" t="s">
        <v>367</v>
      </c>
      <c r="C36" s="94" t="s">
        <v>30</v>
      </c>
      <c r="D36" s="104" t="str">
        <f>IFERROR(IF(VLOOKUP(C36,Overview!$B$30:$E$84,2,FALSE)=0,"",VLOOKUP(C36,Overview!$B$30:$E$84,2,FALSE)),"")</f>
        <v>Tajik Pedagogical University</v>
      </c>
      <c r="E36" s="104" t="str">
        <f>IFERROR(IF(OR(VLOOKUP(C36,Overview!$B$30:$E$84,4,FALSE)="Country not found",VLOOKUP(C36,Overview!$B$30:$E$84,3,FALSE)=0),"",VLOOKUP(C36,Overview!$B$30:$E$84,3,FALSE)),"")</f>
        <v>Tajikistan</v>
      </c>
      <c r="F36" s="65" t="s">
        <v>589</v>
      </c>
      <c r="G36" s="106">
        <v>600</v>
      </c>
      <c r="H36" s="107">
        <f t="shared" si="0"/>
        <v>600</v>
      </c>
      <c r="I36" s="102" t="str">
        <f>IF(OR(COUNTIF(Rates!$J$13:$J$17,B36)=0,COUNTIF(Overview!$B$30:$B$84,C36)=0,D36="",E36="",F36="",ISNUMBER(G36)=FALSE,J36=1,IF(ISNUMBER(G36)=TRUE,G36=INT(G36*100)/100=FALSE)),"Error","")</f>
        <v/>
      </c>
      <c r="J36" s="154">
        <f>COUNTIF(Rates!$B$5:$B$37,E36)</f>
        <v>0</v>
      </c>
    </row>
    <row r="37" spans="2:10" s="103" customFormat="1" x14ac:dyDescent="0.25">
      <c r="B37" s="60" t="s">
        <v>367</v>
      </c>
      <c r="C37" s="94" t="s">
        <v>30</v>
      </c>
      <c r="D37" s="104" t="str">
        <f>IFERROR(IF(VLOOKUP(C37,Overview!$B$30:$E$84,2,FALSE)=0,"",VLOOKUP(C37,Overview!$B$30:$E$84,2,FALSE)),"")</f>
        <v>Tajik Pedagogical University</v>
      </c>
      <c r="E37" s="104" t="str">
        <f>IFERROR(IF(OR(VLOOKUP(C37,Overview!$B$30:$E$84,4,FALSE)="Country not found",VLOOKUP(C37,Overview!$B$30:$E$84,3,FALSE)=0),"",VLOOKUP(C37,Overview!$B$30:$E$84,3,FALSE)),"")</f>
        <v>Tajikistan</v>
      </c>
      <c r="F37" s="65" t="s">
        <v>592</v>
      </c>
      <c r="G37" s="106">
        <v>600</v>
      </c>
      <c r="H37" s="107">
        <f t="shared" si="0"/>
        <v>600</v>
      </c>
      <c r="I37" s="102" t="str">
        <f>IF(OR(COUNTIF(Rates!$J$13:$J$17,B37)=0,COUNTIF(Overview!$B$30:$B$84,C37)=0,D37="",E37="",F37="",ISNUMBER(G37)=FALSE,J37=1,IF(ISNUMBER(G37)=TRUE,G37=INT(G37*100)/100=FALSE)),"Error","")</f>
        <v/>
      </c>
      <c r="J37" s="154">
        <f>COUNTIF(Rates!$B$5:$B$37,E37)</f>
        <v>0</v>
      </c>
    </row>
    <row r="38" spans="2:10" s="103" customFormat="1" x14ac:dyDescent="0.25">
      <c r="B38" s="60" t="s">
        <v>367</v>
      </c>
      <c r="C38" s="94" t="s">
        <v>33</v>
      </c>
      <c r="D38" s="104" t="str">
        <f>IFERROR(IF(VLOOKUP(C38,Overview!$B$30:$E$84,2,FALSE)=0,"",VLOOKUP(C38,Overview!$B$30:$E$84,2,FALSE)),"")</f>
        <v>KIMEP University, JSC</v>
      </c>
      <c r="E38" s="104" t="str">
        <f>IFERROR(IF(OR(VLOOKUP(C38,Overview!$B$30:$E$84,4,FALSE)="Country not found",VLOOKUP(C38,Overview!$B$30:$E$84,3,FALSE)=0),"",VLOOKUP(C38,Overview!$B$30:$E$84,3,FALSE)),"")</f>
        <v>Kazakhstan</v>
      </c>
      <c r="F38" s="65" t="s">
        <v>607</v>
      </c>
      <c r="G38" s="106">
        <v>4000</v>
      </c>
      <c r="H38" s="107">
        <f t="shared" si="0"/>
        <v>4000</v>
      </c>
      <c r="I38" s="102" t="str">
        <f>IF(OR(COUNTIF(Rates!$J$13:$J$17,B38)=0,COUNTIF(Overview!$B$30:$B$84,C38)=0,D38="",E38="",F38="",ISNUMBER(G38)=FALSE,J38=1,IF(ISNUMBER(G38)=TRUE,G38=INT(G38*100)/100=FALSE)),"Error","")</f>
        <v/>
      </c>
      <c r="J38" s="154">
        <f>COUNTIF(Rates!$B$5:$B$37,E38)</f>
        <v>0</v>
      </c>
    </row>
    <row r="39" spans="2:10" s="103" customFormat="1" x14ac:dyDescent="0.25">
      <c r="B39" s="60" t="s">
        <v>367</v>
      </c>
      <c r="C39" s="94" t="s">
        <v>33</v>
      </c>
      <c r="D39" s="104" t="str">
        <f>IFERROR(IF(VLOOKUP(C39,Overview!$B$30:$E$84,2,FALSE)=0,"",VLOOKUP(C39,Overview!$B$30:$E$84,2,FALSE)),"")</f>
        <v>KIMEP University, JSC</v>
      </c>
      <c r="E39" s="104" t="str">
        <f>IFERROR(IF(OR(VLOOKUP(C39,Overview!$B$30:$E$84,4,FALSE)="Country not found",VLOOKUP(C39,Overview!$B$30:$E$84,3,FALSE)=0),"",VLOOKUP(C39,Overview!$B$30:$E$84,3,FALSE)),"")</f>
        <v>Kazakhstan</v>
      </c>
      <c r="F39" s="65" t="s">
        <v>589</v>
      </c>
      <c r="G39" s="106">
        <v>600</v>
      </c>
      <c r="H39" s="107">
        <f t="shared" si="0"/>
        <v>600</v>
      </c>
      <c r="I39" s="102" t="str">
        <f>IF(OR(COUNTIF(Rates!$J$13:$J$17,B39)=0,COUNTIF(Overview!$B$30:$B$84,C39)=0,D39="",E39="",F39="",ISNUMBER(G39)=FALSE,J39=1,IF(ISNUMBER(G39)=TRUE,G39=INT(G39*100)/100=FALSE)),"Error","")</f>
        <v/>
      </c>
      <c r="J39" s="154">
        <f>COUNTIF(Rates!$B$5:$B$37,E39)</f>
        <v>0</v>
      </c>
    </row>
    <row r="40" spans="2:10" s="103" customFormat="1" x14ac:dyDescent="0.25">
      <c r="B40" s="60" t="s">
        <v>367</v>
      </c>
      <c r="C40" s="94" t="s">
        <v>33</v>
      </c>
      <c r="D40" s="104" t="str">
        <f>IFERROR(IF(VLOOKUP(C40,Overview!$B$30:$E$84,2,FALSE)=0,"",VLOOKUP(C40,Overview!$B$30:$E$84,2,FALSE)),"")</f>
        <v>KIMEP University, JSC</v>
      </c>
      <c r="E40" s="104" t="str">
        <f>IFERROR(IF(OR(VLOOKUP(C40,Overview!$B$30:$E$84,4,FALSE)="Country not found",VLOOKUP(C40,Overview!$B$30:$E$84,3,FALSE)=0),"",VLOOKUP(C40,Overview!$B$30:$E$84,3,FALSE)),"")</f>
        <v>Kazakhstan</v>
      </c>
      <c r="F40" s="65" t="s">
        <v>592</v>
      </c>
      <c r="G40" s="106">
        <v>600</v>
      </c>
      <c r="H40" s="107">
        <f t="shared" si="0"/>
        <v>600</v>
      </c>
      <c r="I40" s="102" t="str">
        <f>IF(OR(COUNTIF(Rates!$J$13:$J$17,B40)=0,COUNTIF(Overview!$B$30:$B$84,C40)=0,D40="",E40="",F40="",ISNUMBER(G40)=FALSE,J40=1,IF(ISNUMBER(G40)=TRUE,G40=INT(G40*100)/100=FALSE)),"Error","")</f>
        <v/>
      </c>
      <c r="J40" s="154">
        <f>COUNTIF(Rates!$B$5:$B$37,E40)</f>
        <v>0</v>
      </c>
    </row>
    <row r="41" spans="2:10" s="103" customFormat="1" x14ac:dyDescent="0.25">
      <c r="B41" s="60" t="s">
        <v>367</v>
      </c>
      <c r="C41" s="94" t="s">
        <v>126</v>
      </c>
      <c r="D41" s="104" t="str">
        <f>IFERROR(IF(VLOOKUP(C41,Overview!$B$30:$E$84,2,FALSE)=0,"",VLOOKUP(C41,Overview!$B$30:$E$84,2,FALSE)),"")</f>
        <v>Al-Farabi Kazakhstan National University</v>
      </c>
      <c r="E41" s="104" t="str">
        <f>IFERROR(IF(OR(VLOOKUP(C41,Overview!$B$30:$E$84,4,FALSE)="Country not found",VLOOKUP(C41,Overview!$B$30:$E$84,3,FALSE)=0),"",VLOOKUP(C41,Overview!$B$30:$E$84,3,FALSE)),"")</f>
        <v>Kazakhstan</v>
      </c>
      <c r="F41" s="65" t="s">
        <v>607</v>
      </c>
      <c r="G41" s="106">
        <v>4000</v>
      </c>
      <c r="H41" s="107">
        <f t="shared" si="0"/>
        <v>4000</v>
      </c>
      <c r="I41" s="102" t="str">
        <f>IF(OR(COUNTIF(Rates!$J$13:$J$17,B41)=0,COUNTIF(Overview!$B$30:$B$84,C41)=0,D41="",E41="",F41="",ISNUMBER(G41)=FALSE,J41=1,IF(ISNUMBER(G41)=TRUE,G41=INT(G41*100)/100=FALSE)),"Error","")</f>
        <v/>
      </c>
      <c r="J41" s="154">
        <f>COUNTIF(Rates!$B$5:$B$37,E41)</f>
        <v>0</v>
      </c>
    </row>
    <row r="42" spans="2:10" s="103" customFormat="1" x14ac:dyDescent="0.25">
      <c r="B42" s="60" t="s">
        <v>367</v>
      </c>
      <c r="C42" s="94" t="s">
        <v>126</v>
      </c>
      <c r="D42" s="104" t="str">
        <f>IFERROR(IF(VLOOKUP(C42,Overview!$B$30:$E$84,2,FALSE)=0,"",VLOOKUP(C42,Overview!$B$30:$E$84,2,FALSE)),"")</f>
        <v>Al-Farabi Kazakhstan National University</v>
      </c>
      <c r="E42" s="104" t="str">
        <f>IFERROR(IF(OR(VLOOKUP(C42,Overview!$B$30:$E$84,4,FALSE)="Country not found",VLOOKUP(C42,Overview!$B$30:$E$84,3,FALSE)=0),"",VLOOKUP(C42,Overview!$B$30:$E$84,3,FALSE)),"")</f>
        <v>Kazakhstan</v>
      </c>
      <c r="F42" s="65" t="s">
        <v>589</v>
      </c>
      <c r="G42" s="106">
        <v>600</v>
      </c>
      <c r="H42" s="107">
        <f t="shared" si="0"/>
        <v>600</v>
      </c>
      <c r="I42" s="102" t="str">
        <f>IF(OR(COUNTIF(Rates!$J$13:$J$17,B42)=0,COUNTIF(Overview!$B$30:$B$84,C42)=0,D42="",E42="",F42="",ISNUMBER(G42)=FALSE,J42=1,IF(ISNUMBER(G42)=TRUE,G42=INT(G42*100)/100=FALSE)),"Error","")</f>
        <v/>
      </c>
      <c r="J42" s="154">
        <f>COUNTIF(Rates!$B$5:$B$37,E42)</f>
        <v>0</v>
      </c>
    </row>
    <row r="43" spans="2:10" s="103" customFormat="1" x14ac:dyDescent="0.25">
      <c r="B43" s="60" t="s">
        <v>367</v>
      </c>
      <c r="C43" s="94" t="s">
        <v>126</v>
      </c>
      <c r="D43" s="104" t="str">
        <f>IFERROR(IF(VLOOKUP(C43,Overview!$B$30:$E$84,2,FALSE)=0,"",VLOOKUP(C43,Overview!$B$30:$E$84,2,FALSE)),"")</f>
        <v>Al-Farabi Kazakhstan National University</v>
      </c>
      <c r="E43" s="104" t="str">
        <f>IFERROR(IF(OR(VLOOKUP(C43,Overview!$B$30:$E$84,4,FALSE)="Country not found",VLOOKUP(C43,Overview!$B$30:$E$84,3,FALSE)=0),"",VLOOKUP(C43,Overview!$B$30:$E$84,3,FALSE)),"")</f>
        <v>Kazakhstan</v>
      </c>
      <c r="F43" s="65" t="s">
        <v>592</v>
      </c>
      <c r="G43" s="106">
        <v>600</v>
      </c>
      <c r="H43" s="107">
        <f t="shared" si="0"/>
        <v>600</v>
      </c>
      <c r="I43" s="102" t="str">
        <f>IF(OR(COUNTIF(Rates!$J$13:$J$17,B43)=0,COUNTIF(Overview!$B$30:$B$84,C43)=0,D43="",E43="",F43="",ISNUMBER(G43)=FALSE,J43=1,IF(ISNUMBER(G43)=TRUE,G43=INT(G43*100)/100=FALSE)),"Error","")</f>
        <v/>
      </c>
      <c r="J43" s="154">
        <f>COUNTIF(Rates!$B$5:$B$37,E43)</f>
        <v>0</v>
      </c>
    </row>
    <row r="44" spans="2:10" s="103" customFormat="1" x14ac:dyDescent="0.25">
      <c r="B44" s="60" t="s">
        <v>367</v>
      </c>
      <c r="C44" s="94" t="s">
        <v>127</v>
      </c>
      <c r="D44" s="104" t="str">
        <f>IFERROR(IF(VLOOKUP(C44,Overview!$B$30:$E$84,2,FALSE)=0,"",VLOOKUP(C44,Overview!$B$30:$E$84,2,FALSE)),"")</f>
        <v>Kazakhstan National Technical University</v>
      </c>
      <c r="E44" s="104" t="str">
        <f>IFERROR(IF(OR(VLOOKUP(C44,Overview!$B$30:$E$84,4,FALSE)="Country not found",VLOOKUP(C44,Overview!$B$30:$E$84,3,FALSE)=0),"",VLOOKUP(C44,Overview!$B$30:$E$84,3,FALSE)),"")</f>
        <v>Kazakhstan</v>
      </c>
      <c r="F44" s="65" t="s">
        <v>607</v>
      </c>
      <c r="G44" s="106">
        <v>4000</v>
      </c>
      <c r="H44" s="107">
        <f t="shared" ref="H44:H49" si="1">IF(I44="Error",0,ROUND(G44,2))</f>
        <v>4000</v>
      </c>
      <c r="I44" s="102" t="str">
        <f>IF(OR(COUNTIF(Rates!$J$13:$J$17,B44)=0,COUNTIF(Overview!$B$30:$B$84,C44)=0,D44="",E44="",F44="",ISNUMBER(G44)=FALSE,J44=1,IF(ISNUMBER(G44)=TRUE,G44=INT(G44*100)/100=FALSE)),"Error","")</f>
        <v/>
      </c>
      <c r="J44" s="154">
        <f>COUNTIF(Rates!$B$5:$B$37,E44)</f>
        <v>0</v>
      </c>
    </row>
    <row r="45" spans="2:10" s="103" customFormat="1" x14ac:dyDescent="0.25">
      <c r="B45" s="60" t="s">
        <v>367</v>
      </c>
      <c r="C45" s="94" t="s">
        <v>127</v>
      </c>
      <c r="D45" s="104" t="str">
        <f>IFERROR(IF(VLOOKUP(C45,Overview!$B$30:$E$84,2,FALSE)=0,"",VLOOKUP(C45,Overview!$B$30:$E$84,2,FALSE)),"")</f>
        <v>Kazakhstan National Technical University</v>
      </c>
      <c r="E45" s="104" t="str">
        <f>IFERROR(IF(OR(VLOOKUP(C45,Overview!$B$30:$E$84,4,FALSE)="Country not found",VLOOKUP(C45,Overview!$B$30:$E$84,3,FALSE)=0),"",VLOOKUP(C45,Overview!$B$30:$E$84,3,FALSE)),"")</f>
        <v>Kazakhstan</v>
      </c>
      <c r="F45" s="65" t="s">
        <v>589</v>
      </c>
      <c r="G45" s="106">
        <v>600</v>
      </c>
      <c r="H45" s="107">
        <f t="shared" si="1"/>
        <v>600</v>
      </c>
      <c r="I45" s="102" t="str">
        <f>IF(OR(COUNTIF(Rates!$J$13:$J$17,B45)=0,COUNTIF(Overview!$B$30:$B$84,C45)=0,D45="",E45="",F45="",ISNUMBER(G45)=FALSE,J45=1,IF(ISNUMBER(G45)=TRUE,G45=INT(G45*100)/100=FALSE)),"Error","")</f>
        <v/>
      </c>
      <c r="J45" s="154">
        <f>COUNTIF(Rates!$B$5:$B$37,E45)</f>
        <v>0</v>
      </c>
    </row>
    <row r="46" spans="2:10" s="103" customFormat="1" x14ac:dyDescent="0.25">
      <c r="B46" s="60" t="s">
        <v>367</v>
      </c>
      <c r="C46" s="94" t="s">
        <v>127</v>
      </c>
      <c r="D46" s="104" t="str">
        <f>IFERROR(IF(VLOOKUP(C46,Overview!$B$30:$E$84,2,FALSE)=0,"",VLOOKUP(C46,Overview!$B$30:$E$84,2,FALSE)),"")</f>
        <v>Kazakhstan National Technical University</v>
      </c>
      <c r="E46" s="104" t="str">
        <f>IFERROR(IF(OR(VLOOKUP(C46,Overview!$B$30:$E$84,4,FALSE)="Country not found",VLOOKUP(C46,Overview!$B$30:$E$84,3,FALSE)=0),"",VLOOKUP(C46,Overview!$B$30:$E$84,3,FALSE)),"")</f>
        <v>Kazakhstan</v>
      </c>
      <c r="F46" s="65" t="s">
        <v>592</v>
      </c>
      <c r="G46" s="106">
        <v>600</v>
      </c>
      <c r="H46" s="107">
        <f t="shared" si="1"/>
        <v>600</v>
      </c>
      <c r="I46" s="102" t="str">
        <f>IF(OR(COUNTIF(Rates!$J$13:$J$17,B46)=0,COUNTIF(Overview!$B$30:$B$84,C46)=0,D46="",E46="",F46="",ISNUMBER(G46)=FALSE,J46=1,IF(ISNUMBER(G46)=TRUE,G46=INT(G46*100)/100=FALSE)),"Error","")</f>
        <v/>
      </c>
      <c r="J46" s="154">
        <f>COUNTIF(Rates!$B$5:$B$37,E46)</f>
        <v>0</v>
      </c>
    </row>
    <row r="47" spans="2:10" s="103" customFormat="1" x14ac:dyDescent="0.25">
      <c r="B47" s="60" t="s">
        <v>367</v>
      </c>
      <c r="C47" s="94" t="s">
        <v>128</v>
      </c>
      <c r="D47" s="104" t="str">
        <f>IFERROR(IF(VLOOKUP(C47,Overview!$B$30:$E$84,2,FALSE)=0,"",VLOOKUP(C47,Overview!$B$30:$E$84,2,FALSE)),"")</f>
        <v xml:space="preserve">Zhezkazgan Baikonurov University </v>
      </c>
      <c r="E47" s="104" t="str">
        <f>IFERROR(IF(OR(VLOOKUP(C47,Overview!$B$30:$E$84,4,FALSE)="Country not found",VLOOKUP(C47,Overview!$B$30:$E$84,3,FALSE)=0),"",VLOOKUP(C47,Overview!$B$30:$E$84,3,FALSE)),"")</f>
        <v>Kazakhstan</v>
      </c>
      <c r="F47" s="65" t="s">
        <v>607</v>
      </c>
      <c r="G47" s="106">
        <v>4000</v>
      </c>
      <c r="H47" s="107">
        <f t="shared" si="1"/>
        <v>4000</v>
      </c>
      <c r="I47" s="102" t="str">
        <f>IF(OR(COUNTIF(Rates!$J$13:$J$17,B47)=0,COUNTIF(Overview!$B$30:$B$84,C47)=0,D47="",E47="",F47="",ISNUMBER(G47)=FALSE,J47=1,IF(ISNUMBER(G47)=TRUE,G47=INT(G47*100)/100=FALSE)),"Error","")</f>
        <v/>
      </c>
      <c r="J47" s="154">
        <f>COUNTIF(Rates!$B$5:$B$37,E47)</f>
        <v>0</v>
      </c>
    </row>
    <row r="48" spans="2:10" s="103" customFormat="1" x14ac:dyDescent="0.25">
      <c r="B48" s="60" t="s">
        <v>367</v>
      </c>
      <c r="C48" s="94" t="s">
        <v>128</v>
      </c>
      <c r="D48" s="104" t="str">
        <f>IFERROR(IF(VLOOKUP(C48,Overview!$B$30:$E$84,2,FALSE)=0,"",VLOOKUP(C48,Overview!$B$30:$E$84,2,FALSE)),"")</f>
        <v xml:space="preserve">Zhezkazgan Baikonurov University </v>
      </c>
      <c r="E48" s="104" t="str">
        <f>IFERROR(IF(OR(VLOOKUP(C48,Overview!$B$30:$E$84,4,FALSE)="Country not found",VLOOKUP(C48,Overview!$B$30:$E$84,3,FALSE)=0),"",VLOOKUP(C48,Overview!$B$30:$E$84,3,FALSE)),"")</f>
        <v>Kazakhstan</v>
      </c>
      <c r="F48" s="65" t="s">
        <v>589</v>
      </c>
      <c r="G48" s="106">
        <v>600</v>
      </c>
      <c r="H48" s="107">
        <f t="shared" si="1"/>
        <v>600</v>
      </c>
      <c r="I48" s="102" t="str">
        <f>IF(OR(COUNTIF(Rates!$J$13:$J$17,B48)=0,COUNTIF(Overview!$B$30:$B$84,C48)=0,D48="",E48="",F48="",ISNUMBER(G48)=FALSE,J48=1,IF(ISNUMBER(G48)=TRUE,G48=INT(G48*100)/100=FALSE)),"Error","")</f>
        <v/>
      </c>
      <c r="J48" s="154">
        <f>COUNTIF(Rates!$B$5:$B$37,E48)</f>
        <v>0</v>
      </c>
    </row>
    <row r="49" spans="2:10" s="103" customFormat="1" x14ac:dyDescent="0.25">
      <c r="B49" s="60" t="s">
        <v>367</v>
      </c>
      <c r="C49" s="94" t="s">
        <v>128</v>
      </c>
      <c r="D49" s="104" t="str">
        <f>IFERROR(IF(VLOOKUP(C49,Overview!$B$30:$E$84,2,FALSE)=0,"",VLOOKUP(C49,Overview!$B$30:$E$84,2,FALSE)),"")</f>
        <v xml:space="preserve">Zhezkazgan Baikonurov University </v>
      </c>
      <c r="E49" s="104" t="str">
        <f>IFERROR(IF(OR(VLOOKUP(C49,Overview!$B$30:$E$84,4,FALSE)="Country not found",VLOOKUP(C49,Overview!$B$30:$E$84,3,FALSE)=0),"",VLOOKUP(C49,Overview!$B$30:$E$84,3,FALSE)),"")</f>
        <v>Kazakhstan</v>
      </c>
      <c r="F49" s="65" t="s">
        <v>592</v>
      </c>
      <c r="G49" s="106">
        <v>600</v>
      </c>
      <c r="H49" s="107">
        <f t="shared" si="1"/>
        <v>600</v>
      </c>
      <c r="I49" s="102" t="str">
        <f>IF(OR(COUNTIF(Rates!$J$13:$J$17,B49)=0,COUNTIF(Overview!$B$30:$B$84,C49)=0,D49="",E49="",F49="",ISNUMBER(G49)=FALSE,J49=1,IF(ISNUMBER(G49)=TRUE,G49=INT(G49*100)/100=FALSE)),"Error","")</f>
        <v/>
      </c>
      <c r="J49" s="154">
        <f>COUNTIF(Rates!$B$5:$B$37,E49)</f>
        <v>0</v>
      </c>
    </row>
    <row r="50" spans="2:10" s="103" customFormat="1" x14ac:dyDescent="0.25">
      <c r="B50" s="60" t="s">
        <v>365</v>
      </c>
      <c r="C50" s="94" t="s">
        <v>20</v>
      </c>
      <c r="D50" s="104" t="str">
        <f>IFERROR(IF(VLOOKUP(C50,Overview!$B$30:$E$84,2,FALSE)=0,"",VLOOKUP(C50,Overview!$B$30:$E$84,2,FALSE)),"")</f>
        <v>Tashkent State Technical University</v>
      </c>
      <c r="E50" s="104" t="str">
        <f>IFERROR(IF(OR(VLOOKUP(C50,Overview!$B$30:$E$84,4,FALSE)="Country not found",VLOOKUP(C50,Overview!$B$30:$E$84,3,FALSE)=0),"",VLOOKUP(C50,Overview!$B$30:$E$84,3,FALSE)),"")</f>
        <v>Uzbekistan</v>
      </c>
      <c r="F50" s="65" t="s">
        <v>608</v>
      </c>
      <c r="G50" s="106">
        <v>12000</v>
      </c>
      <c r="H50" s="107">
        <f t="shared" si="0"/>
        <v>12000</v>
      </c>
      <c r="I50" s="102" t="str">
        <f>IF(OR(COUNTIF(Rates!$J$13:$J$17,B50)=0,COUNTIF(Overview!$B$30:$B$84,C50)=0,D50="",E50="",F50="",ISNUMBER(G50)=FALSE,J50=1,IF(ISNUMBER(G50)=TRUE,G50=INT(G50*100)/100=FALSE)),"Error","")</f>
        <v/>
      </c>
      <c r="J50" s="154">
        <f>COUNTIF(Rates!$B$5:$B$37,E50)</f>
        <v>0</v>
      </c>
    </row>
    <row r="51" spans="2:10" s="103" customFormat="1" x14ac:dyDescent="0.25">
      <c r="B51" s="60" t="s">
        <v>365</v>
      </c>
      <c r="C51" s="94" t="s">
        <v>20</v>
      </c>
      <c r="D51" s="104" t="str">
        <f>IFERROR(IF(VLOOKUP(C51,Overview!$B$30:$E$84,2,FALSE)=0,"",VLOOKUP(C51,Overview!$B$30:$E$84,2,FALSE)),"")</f>
        <v>Tashkent State Technical University</v>
      </c>
      <c r="E51" s="104" t="str">
        <f>IFERROR(IF(OR(VLOOKUP(C51,Overview!$B$30:$E$84,4,FALSE)="Country not found",VLOOKUP(C51,Overview!$B$30:$E$84,3,FALSE)=0),"",VLOOKUP(C51,Overview!$B$30:$E$84,3,FALSE)),"")</f>
        <v>Uzbekistan</v>
      </c>
      <c r="F51" s="65" t="s">
        <v>590</v>
      </c>
      <c r="G51" s="106">
        <v>1000</v>
      </c>
      <c r="H51" s="107">
        <f t="shared" ref="H51:H60" si="2">IF(I51="Error",0,ROUND(G51,2))</f>
        <v>1000</v>
      </c>
      <c r="I51" s="102" t="str">
        <f>IF(OR(COUNTIF(Rates!$J$13:$J$17,B51)=0,COUNTIF(Overview!$B$30:$B$84,C51)=0,D51="",E51="",F51="",ISNUMBER(G51)=FALSE,J51=1,IF(ISNUMBER(G51)=TRUE,G51=INT(G51*100)/100=FALSE)),"Error","")</f>
        <v/>
      </c>
      <c r="J51" s="154">
        <f>COUNTIF(Rates!$B$5:$B$37,E51)</f>
        <v>0</v>
      </c>
    </row>
    <row r="52" spans="2:10" s="103" customFormat="1" x14ac:dyDescent="0.25">
      <c r="B52" s="60" t="s">
        <v>365</v>
      </c>
      <c r="C52" s="94" t="s">
        <v>20</v>
      </c>
      <c r="D52" s="104" t="str">
        <f>IFERROR(IF(VLOOKUP(C52,Overview!$B$30:$E$84,2,FALSE)=0,"",VLOOKUP(C52,Overview!$B$30:$E$84,2,FALSE)),"")</f>
        <v>Tashkent State Technical University</v>
      </c>
      <c r="E52" s="104" t="str">
        <f>IFERROR(IF(OR(VLOOKUP(C52,Overview!$B$30:$E$84,4,FALSE)="Country not found",VLOOKUP(C52,Overview!$B$30:$E$84,3,FALSE)=0),"",VLOOKUP(C52,Overview!$B$30:$E$84,3,FALSE)),"")</f>
        <v>Uzbekistan</v>
      </c>
      <c r="F52" s="65" t="s">
        <v>591</v>
      </c>
      <c r="G52" s="106">
        <v>600</v>
      </c>
      <c r="H52" s="107">
        <f t="shared" si="2"/>
        <v>600</v>
      </c>
      <c r="I52" s="102" t="str">
        <f>IF(OR(COUNTIF(Rates!$J$13:$J$17,B52)=0,COUNTIF(Overview!$B$30:$B$84,C52)=0,D52="",E52="",F52="",ISNUMBER(G52)=FALSE,J52=1,IF(ISNUMBER(G52)=TRUE,G52=INT(G52*100)/100=FALSE)),"Error","")</f>
        <v/>
      </c>
      <c r="J52" s="154">
        <f>COUNTIF(Rates!$B$5:$B$37,E52)</f>
        <v>0</v>
      </c>
    </row>
    <row r="53" spans="2:10" s="103" customFormat="1" x14ac:dyDescent="0.25">
      <c r="B53" s="60" t="s">
        <v>365</v>
      </c>
      <c r="C53" s="94" t="s">
        <v>20</v>
      </c>
      <c r="D53" s="104" t="str">
        <f>IFERROR(IF(VLOOKUP(C53,Overview!$B$30:$E$84,2,FALSE)=0,"",VLOOKUP(C53,Overview!$B$30:$E$84,2,FALSE)),"")</f>
        <v>Tashkent State Technical University</v>
      </c>
      <c r="E53" s="104" t="str">
        <f>IFERROR(IF(OR(VLOOKUP(C53,Overview!$B$30:$E$84,4,FALSE)="Country not found",VLOOKUP(C53,Overview!$B$30:$E$84,3,FALSE)=0),"",VLOOKUP(C53,Overview!$B$30:$E$84,3,FALSE)),"")</f>
        <v>Uzbekistan</v>
      </c>
      <c r="F53" s="65" t="s">
        <v>592</v>
      </c>
      <c r="G53" s="106">
        <v>800</v>
      </c>
      <c r="H53" s="107">
        <f t="shared" si="2"/>
        <v>800</v>
      </c>
      <c r="I53" s="102" t="str">
        <f>IF(OR(COUNTIF(Rates!$J$13:$J$17,B53)=0,COUNTIF(Overview!$B$30:$B$84,C53)=0,D53="",E53="",F53="",ISNUMBER(G53)=FALSE,J53=1,IF(ISNUMBER(G53)=TRUE,G53=INT(G53*100)/100=FALSE)),"Error","")</f>
        <v/>
      </c>
      <c r="J53" s="154">
        <f>COUNTIF(Rates!$B$5:$B$37,E53)</f>
        <v>0</v>
      </c>
    </row>
    <row r="54" spans="2:10" s="103" customFormat="1" x14ac:dyDescent="0.25">
      <c r="B54" s="60" t="s">
        <v>365</v>
      </c>
      <c r="C54" s="94" t="s">
        <v>20</v>
      </c>
      <c r="D54" s="104" t="str">
        <f>IFERROR(IF(VLOOKUP(C54,Overview!$B$30:$E$84,2,FALSE)=0,"",VLOOKUP(C54,Overview!$B$30:$E$84,2,FALSE)),"")</f>
        <v>Tashkent State Technical University</v>
      </c>
      <c r="E54" s="104" t="str">
        <f>IFERROR(IF(OR(VLOOKUP(C54,Overview!$B$30:$E$84,4,FALSE)="Country not found",VLOOKUP(C54,Overview!$B$30:$E$84,3,FALSE)=0),"",VLOOKUP(C54,Overview!$B$30:$E$84,3,FALSE)),"")</f>
        <v>Uzbekistan</v>
      </c>
      <c r="F54" s="65" t="s">
        <v>595</v>
      </c>
      <c r="G54" s="106">
        <v>600</v>
      </c>
      <c r="H54" s="107">
        <f t="shared" si="2"/>
        <v>600</v>
      </c>
      <c r="I54" s="102" t="str">
        <f>IF(OR(COUNTIF(Rates!$J$13:$J$17,B54)=0,COUNTIF(Overview!$B$30:$B$84,C54)=0,D54="",E54="",F54="",ISNUMBER(G54)=FALSE,J54=1,IF(ISNUMBER(G54)=TRUE,G54=INT(G54*100)/100=FALSE)),"Error","")</f>
        <v/>
      </c>
      <c r="J54" s="154">
        <f>COUNTIF(Rates!$B$5:$B$37,E54)</f>
        <v>0</v>
      </c>
    </row>
    <row r="55" spans="2:10" s="103" customFormat="1" x14ac:dyDescent="0.25">
      <c r="B55" s="60" t="s">
        <v>365</v>
      </c>
      <c r="C55" s="94" t="s">
        <v>24</v>
      </c>
      <c r="D55" s="104" t="str">
        <f>IFERROR(IF(VLOOKUP(C55,Overview!$B$30:$E$84,2,FALSE)=0,"",VLOOKUP(C55,Overview!$B$30:$E$84,2,FALSE)),"")</f>
        <v>Kyrgyz State Technical University</v>
      </c>
      <c r="E55" s="104" t="str">
        <f>IFERROR(IF(OR(VLOOKUP(C55,Overview!$B$30:$E$84,4,FALSE)="Country not found",VLOOKUP(C55,Overview!$B$30:$E$84,3,FALSE)=0),"",VLOOKUP(C55,Overview!$B$30:$E$84,3,FALSE)),"")</f>
        <v>Kyrgyzstan</v>
      </c>
      <c r="F55" s="65" t="s">
        <v>608</v>
      </c>
      <c r="G55" s="106">
        <v>12000</v>
      </c>
      <c r="H55" s="107">
        <f t="shared" si="2"/>
        <v>12000</v>
      </c>
      <c r="I55" s="102" t="str">
        <f>IF(OR(COUNTIF(Rates!$J$13:$J$17,B55)=0,COUNTIF(Overview!$B$30:$B$84,C55)=0,D55="",E55="",F55="",ISNUMBER(G55)=FALSE,J55=1,IF(ISNUMBER(G55)=TRUE,G55=INT(G55*100)/100=FALSE)),"Error","")</f>
        <v/>
      </c>
      <c r="J55" s="154">
        <f>COUNTIF(Rates!$B$5:$B$37,E55)</f>
        <v>0</v>
      </c>
    </row>
    <row r="56" spans="2:10" s="103" customFormat="1" x14ac:dyDescent="0.25">
      <c r="B56" s="60" t="s">
        <v>365</v>
      </c>
      <c r="C56" s="94" t="s">
        <v>24</v>
      </c>
      <c r="D56" s="104" t="str">
        <f>IFERROR(IF(VLOOKUP(C56,Overview!$B$30:$E$84,2,FALSE)=0,"",VLOOKUP(C56,Overview!$B$30:$E$84,2,FALSE)),"")</f>
        <v>Kyrgyz State Technical University</v>
      </c>
      <c r="E56" s="104" t="str">
        <f>IFERROR(IF(OR(VLOOKUP(C56,Overview!$B$30:$E$84,4,FALSE)="Country not found",VLOOKUP(C56,Overview!$B$30:$E$84,3,FALSE)=0),"",VLOOKUP(C56,Overview!$B$30:$E$84,3,FALSE)),"")</f>
        <v>Kyrgyzstan</v>
      </c>
      <c r="F56" s="65" t="s">
        <v>590</v>
      </c>
      <c r="G56" s="106">
        <v>1000</v>
      </c>
      <c r="H56" s="107">
        <f t="shared" si="2"/>
        <v>1000</v>
      </c>
      <c r="I56" s="102" t="str">
        <f>IF(OR(COUNTIF(Rates!$J$13:$J$17,B56)=0,COUNTIF(Overview!$B$30:$B$84,C56)=0,D56="",E56="",F56="",ISNUMBER(G56)=FALSE,J56=1,IF(ISNUMBER(G56)=TRUE,G56=INT(G56*100)/100=FALSE)),"Error","")</f>
        <v/>
      </c>
      <c r="J56" s="154">
        <f>COUNTIF(Rates!$B$5:$B$37,E56)</f>
        <v>0</v>
      </c>
    </row>
    <row r="57" spans="2:10" s="103" customFormat="1" x14ac:dyDescent="0.25">
      <c r="B57" s="60" t="s">
        <v>365</v>
      </c>
      <c r="C57" s="94" t="s">
        <v>24</v>
      </c>
      <c r="D57" s="104" t="str">
        <f>IFERROR(IF(VLOOKUP(C57,Overview!$B$30:$E$84,2,FALSE)=0,"",VLOOKUP(C57,Overview!$B$30:$E$84,2,FALSE)),"")</f>
        <v>Kyrgyz State Technical University</v>
      </c>
      <c r="E57" s="104" t="str">
        <f>IFERROR(IF(OR(VLOOKUP(C57,Overview!$B$30:$E$84,4,FALSE)="Country not found",VLOOKUP(C57,Overview!$B$30:$E$84,3,FALSE)=0),"",VLOOKUP(C57,Overview!$B$30:$E$84,3,FALSE)),"")</f>
        <v>Kyrgyzstan</v>
      </c>
      <c r="F57" s="65" t="s">
        <v>591</v>
      </c>
      <c r="G57" s="106">
        <v>600</v>
      </c>
      <c r="H57" s="107">
        <f t="shared" si="2"/>
        <v>600</v>
      </c>
      <c r="I57" s="102" t="str">
        <f>IF(OR(COUNTIF(Rates!$J$13:$J$17,B57)=0,COUNTIF(Overview!$B$30:$B$84,C57)=0,D57="",E57="",F57="",ISNUMBER(G57)=FALSE,J57=1,IF(ISNUMBER(G57)=TRUE,G57=INT(G57*100)/100=FALSE)),"Error","")</f>
        <v/>
      </c>
      <c r="J57" s="154">
        <f>COUNTIF(Rates!$B$5:$B$37,E57)</f>
        <v>0</v>
      </c>
    </row>
    <row r="58" spans="2:10" s="103" customFormat="1" x14ac:dyDescent="0.25">
      <c r="B58" s="60" t="s">
        <v>365</v>
      </c>
      <c r="C58" s="94" t="s">
        <v>24</v>
      </c>
      <c r="D58" s="104" t="str">
        <f>IFERROR(IF(VLOOKUP(C58,Overview!$B$30:$E$84,2,FALSE)=0,"",VLOOKUP(C58,Overview!$B$30:$E$84,2,FALSE)),"")</f>
        <v>Kyrgyz State Technical University</v>
      </c>
      <c r="E58" s="104" t="str">
        <f>IFERROR(IF(OR(VLOOKUP(C58,Overview!$B$30:$E$84,4,FALSE)="Country not found",VLOOKUP(C58,Overview!$B$30:$E$84,3,FALSE)=0),"",VLOOKUP(C58,Overview!$B$30:$E$84,3,FALSE)),"")</f>
        <v>Kyrgyzstan</v>
      </c>
      <c r="F58" s="65" t="s">
        <v>592</v>
      </c>
      <c r="G58" s="106">
        <v>800</v>
      </c>
      <c r="H58" s="107">
        <f t="shared" si="2"/>
        <v>800</v>
      </c>
      <c r="I58" s="102" t="str">
        <f>IF(OR(COUNTIF(Rates!$J$13:$J$17,B58)=0,COUNTIF(Overview!$B$30:$B$84,C58)=0,D58="",E58="",F58="",ISNUMBER(G58)=FALSE,J58=1,IF(ISNUMBER(G58)=TRUE,G58=INT(G58*100)/100=FALSE)),"Error","")</f>
        <v/>
      </c>
      <c r="J58" s="154">
        <f>COUNTIF(Rates!$B$5:$B$37,E58)</f>
        <v>0</v>
      </c>
    </row>
    <row r="59" spans="2:10" s="103" customFormat="1" x14ac:dyDescent="0.25">
      <c r="B59" s="60" t="s">
        <v>365</v>
      </c>
      <c r="C59" s="94" t="s">
        <v>24</v>
      </c>
      <c r="D59" s="104" t="str">
        <f>IFERROR(IF(VLOOKUP(C59,Overview!$B$30:$E$84,2,FALSE)=0,"",VLOOKUP(C59,Overview!$B$30:$E$84,2,FALSE)),"")</f>
        <v>Kyrgyz State Technical University</v>
      </c>
      <c r="E59" s="104" t="str">
        <f>IFERROR(IF(OR(VLOOKUP(C59,Overview!$B$30:$E$84,4,FALSE)="Country not found",VLOOKUP(C59,Overview!$B$30:$E$84,3,FALSE)=0),"",VLOOKUP(C59,Overview!$B$30:$E$84,3,FALSE)),"")</f>
        <v>Kyrgyzstan</v>
      </c>
      <c r="F59" s="65" t="s">
        <v>593</v>
      </c>
      <c r="G59" s="106">
        <v>800</v>
      </c>
      <c r="H59" s="107">
        <f t="shared" si="2"/>
        <v>800</v>
      </c>
      <c r="I59" s="102" t="str">
        <f>IF(OR(COUNTIF(Rates!$J$13:$J$17,B59)=0,COUNTIF(Overview!$B$30:$B$84,C59)=0,D59="",E59="",F59="",ISNUMBER(G59)=FALSE,J59=1,IF(ISNUMBER(G59)=TRUE,G59=INT(G59*100)/100=FALSE)),"Error","")</f>
        <v/>
      </c>
      <c r="J59" s="154">
        <f>COUNTIF(Rates!$B$5:$B$37,E59)</f>
        <v>0</v>
      </c>
    </row>
    <row r="60" spans="2:10" s="103" customFormat="1" x14ac:dyDescent="0.25">
      <c r="B60" s="60" t="s">
        <v>365</v>
      </c>
      <c r="C60" s="94" t="s">
        <v>24</v>
      </c>
      <c r="D60" s="104" t="str">
        <f>IFERROR(IF(VLOOKUP(C60,Overview!$B$30:$E$84,2,FALSE)=0,"",VLOOKUP(C60,Overview!$B$30:$E$84,2,FALSE)),"")</f>
        <v>Kyrgyz State Technical University</v>
      </c>
      <c r="E60" s="104" t="str">
        <f>IFERROR(IF(OR(VLOOKUP(C60,Overview!$B$30:$E$84,4,FALSE)="Country not found",VLOOKUP(C60,Overview!$B$30:$E$84,3,FALSE)=0),"",VLOOKUP(C60,Overview!$B$30:$E$84,3,FALSE)),"")</f>
        <v>Kyrgyzstan</v>
      </c>
      <c r="F60" s="65" t="s">
        <v>595</v>
      </c>
      <c r="G60" s="106">
        <v>600</v>
      </c>
      <c r="H60" s="107">
        <f t="shared" si="2"/>
        <v>600</v>
      </c>
      <c r="I60" s="102" t="str">
        <f>IF(OR(COUNTIF(Rates!$J$13:$J$17,B60)=0,COUNTIF(Overview!$B$30:$B$84,C60)=0,D60="",E60="",F60="",ISNUMBER(G60)=FALSE,J60=1,IF(ISNUMBER(G60)=TRUE,G60=INT(G60*100)/100=FALSE)),"Error","")</f>
        <v/>
      </c>
      <c r="J60" s="154">
        <f>COUNTIF(Rates!$B$5:$B$37,E60)</f>
        <v>0</v>
      </c>
    </row>
    <row r="61" spans="2:10" s="103" customFormat="1" x14ac:dyDescent="0.25">
      <c r="B61" s="60" t="s">
        <v>365</v>
      </c>
      <c r="C61" s="94" t="s">
        <v>30</v>
      </c>
      <c r="D61" s="104" t="str">
        <f>IFERROR(IF(VLOOKUP(C61,Overview!$B$30:$E$84,2,FALSE)=0,"",VLOOKUP(C61,Overview!$B$30:$E$84,2,FALSE)),"")</f>
        <v>Tajik Pedagogical University</v>
      </c>
      <c r="E61" s="104" t="str">
        <f>IFERROR(IF(OR(VLOOKUP(C61,Overview!$B$30:$E$84,4,FALSE)="Country not found",VLOOKUP(C61,Overview!$B$30:$E$84,3,FALSE)=0),"",VLOOKUP(C61,Overview!$B$30:$E$84,3,FALSE)),"")</f>
        <v>Tajikistan</v>
      </c>
      <c r="F61" s="65" t="s">
        <v>608</v>
      </c>
      <c r="G61" s="106">
        <v>12000</v>
      </c>
      <c r="H61" s="107">
        <f t="shared" ref="H61:H70" si="3">IF(I61="Error",0,ROUND(G61,2))</f>
        <v>12000</v>
      </c>
      <c r="I61" s="102" t="str">
        <f>IF(OR(COUNTIF(Rates!$J$13:$J$17,B61)=0,COUNTIF(Overview!$B$30:$B$84,C61)=0,D61="",E61="",F61="",ISNUMBER(G61)=FALSE,J61=1,IF(ISNUMBER(G61)=TRUE,G61=INT(G61*100)/100=FALSE)),"Error","")</f>
        <v/>
      </c>
      <c r="J61" s="154">
        <f>COUNTIF(Rates!$B$5:$B$37,E61)</f>
        <v>0</v>
      </c>
    </row>
    <row r="62" spans="2:10" s="103" customFormat="1" x14ac:dyDescent="0.25">
      <c r="B62" s="60" t="s">
        <v>365</v>
      </c>
      <c r="C62" s="94" t="s">
        <v>30</v>
      </c>
      <c r="D62" s="104" t="str">
        <f>IFERROR(IF(VLOOKUP(C62,Overview!$B$30:$E$84,2,FALSE)=0,"",VLOOKUP(C62,Overview!$B$30:$E$84,2,FALSE)),"")</f>
        <v>Tajik Pedagogical University</v>
      </c>
      <c r="E62" s="104" t="str">
        <f>IFERROR(IF(OR(VLOOKUP(C62,Overview!$B$30:$E$84,4,FALSE)="Country not found",VLOOKUP(C62,Overview!$B$30:$E$84,3,FALSE)=0),"",VLOOKUP(C62,Overview!$B$30:$E$84,3,FALSE)),"")</f>
        <v>Tajikistan</v>
      </c>
      <c r="F62" s="65" t="s">
        <v>590</v>
      </c>
      <c r="G62" s="106">
        <v>1000</v>
      </c>
      <c r="H62" s="107">
        <f t="shared" si="3"/>
        <v>1000</v>
      </c>
      <c r="I62" s="102" t="str">
        <f>IF(OR(COUNTIF(Rates!$J$13:$J$17,B62)=0,COUNTIF(Overview!$B$30:$B$84,C62)=0,D62="",E62="",F62="",ISNUMBER(G62)=FALSE,J62=1,IF(ISNUMBER(G62)=TRUE,G62=INT(G62*100)/100=FALSE)),"Error","")</f>
        <v/>
      </c>
      <c r="J62" s="154">
        <f>COUNTIF(Rates!$B$5:$B$37,E62)</f>
        <v>0</v>
      </c>
    </row>
    <row r="63" spans="2:10" s="103" customFormat="1" x14ac:dyDescent="0.25">
      <c r="B63" s="60" t="s">
        <v>365</v>
      </c>
      <c r="C63" s="94" t="s">
        <v>30</v>
      </c>
      <c r="D63" s="104" t="str">
        <f>IFERROR(IF(VLOOKUP(C63,Overview!$B$30:$E$84,2,FALSE)=0,"",VLOOKUP(C63,Overview!$B$30:$E$84,2,FALSE)),"")</f>
        <v>Tajik Pedagogical University</v>
      </c>
      <c r="E63" s="104" t="str">
        <f>IFERROR(IF(OR(VLOOKUP(C63,Overview!$B$30:$E$84,4,FALSE)="Country not found",VLOOKUP(C63,Overview!$B$30:$E$84,3,FALSE)=0),"",VLOOKUP(C63,Overview!$B$30:$E$84,3,FALSE)),"")</f>
        <v>Tajikistan</v>
      </c>
      <c r="F63" s="65" t="s">
        <v>591</v>
      </c>
      <c r="G63" s="106">
        <v>600</v>
      </c>
      <c r="H63" s="107">
        <f t="shared" si="3"/>
        <v>600</v>
      </c>
      <c r="I63" s="102" t="str">
        <f>IF(OR(COUNTIF(Rates!$J$13:$J$17,B63)=0,COUNTIF(Overview!$B$30:$B$84,C63)=0,D63="",E63="",F63="",ISNUMBER(G63)=FALSE,J63=1,IF(ISNUMBER(G63)=TRUE,G63=INT(G63*100)/100=FALSE)),"Error","")</f>
        <v/>
      </c>
      <c r="J63" s="154">
        <f>COUNTIF(Rates!$B$5:$B$37,E63)</f>
        <v>0</v>
      </c>
    </row>
    <row r="64" spans="2:10" s="103" customFormat="1" x14ac:dyDescent="0.25">
      <c r="B64" s="60" t="s">
        <v>365</v>
      </c>
      <c r="C64" s="94" t="s">
        <v>30</v>
      </c>
      <c r="D64" s="104" t="str">
        <f>IFERROR(IF(VLOOKUP(C64,Overview!$B$30:$E$84,2,FALSE)=0,"",VLOOKUP(C64,Overview!$B$30:$E$84,2,FALSE)),"")</f>
        <v>Tajik Pedagogical University</v>
      </c>
      <c r="E64" s="104" t="str">
        <f>IFERROR(IF(OR(VLOOKUP(C64,Overview!$B$30:$E$84,4,FALSE)="Country not found",VLOOKUP(C64,Overview!$B$30:$E$84,3,FALSE)=0),"",VLOOKUP(C64,Overview!$B$30:$E$84,3,FALSE)),"")</f>
        <v>Tajikistan</v>
      </c>
      <c r="F64" s="65" t="s">
        <v>592</v>
      </c>
      <c r="G64" s="106">
        <v>800</v>
      </c>
      <c r="H64" s="107">
        <f t="shared" si="3"/>
        <v>800</v>
      </c>
      <c r="I64" s="102" t="str">
        <f>IF(OR(COUNTIF(Rates!$J$13:$J$17,B64)=0,COUNTIF(Overview!$B$30:$B$84,C64)=0,D64="",E64="",F64="",ISNUMBER(G64)=FALSE,J64=1,IF(ISNUMBER(G64)=TRUE,G64=INT(G64*100)/100=FALSE)),"Error","")</f>
        <v/>
      </c>
      <c r="J64" s="154">
        <f>COUNTIF(Rates!$B$5:$B$37,E64)</f>
        <v>0</v>
      </c>
    </row>
    <row r="65" spans="2:10" s="103" customFormat="1" x14ac:dyDescent="0.25">
      <c r="B65" s="60" t="s">
        <v>365</v>
      </c>
      <c r="C65" s="94" t="s">
        <v>30</v>
      </c>
      <c r="D65" s="104" t="str">
        <f>IFERROR(IF(VLOOKUP(C65,Overview!$B$30:$E$84,2,FALSE)=0,"",VLOOKUP(C65,Overview!$B$30:$E$84,2,FALSE)),"")</f>
        <v>Tajik Pedagogical University</v>
      </c>
      <c r="E65" s="104" t="str">
        <f>IFERROR(IF(OR(VLOOKUP(C65,Overview!$B$30:$E$84,4,FALSE)="Country not found",VLOOKUP(C65,Overview!$B$30:$E$84,3,FALSE)=0),"",VLOOKUP(C65,Overview!$B$30:$E$84,3,FALSE)),"")</f>
        <v>Tajikistan</v>
      </c>
      <c r="F65" s="65" t="s">
        <v>595</v>
      </c>
      <c r="G65" s="106">
        <v>600</v>
      </c>
      <c r="H65" s="107">
        <f t="shared" si="3"/>
        <v>600</v>
      </c>
      <c r="I65" s="102" t="str">
        <f>IF(OR(COUNTIF(Rates!$J$13:$J$17,B65)=0,COUNTIF(Overview!$B$30:$B$84,C65)=0,D65="",E65="",F65="",ISNUMBER(G65)=FALSE,J65=1,IF(ISNUMBER(G65)=TRUE,G65=INT(G65*100)/100=FALSE)),"Error","")</f>
        <v/>
      </c>
      <c r="J65" s="154">
        <f>COUNTIF(Rates!$B$5:$B$37,E65)</f>
        <v>0</v>
      </c>
    </row>
    <row r="66" spans="2:10" s="103" customFormat="1" x14ac:dyDescent="0.25">
      <c r="B66" s="60" t="s">
        <v>365</v>
      </c>
      <c r="C66" s="94" t="s">
        <v>33</v>
      </c>
      <c r="D66" s="104" t="str">
        <f>IFERROR(IF(VLOOKUP(C66,Overview!$B$30:$E$84,2,FALSE)=0,"",VLOOKUP(C66,Overview!$B$30:$E$84,2,FALSE)),"")</f>
        <v>KIMEP University, JSC</v>
      </c>
      <c r="E66" s="104" t="str">
        <f>IFERROR(IF(OR(VLOOKUP(C66,Overview!$B$30:$E$84,4,FALSE)="Country not found",VLOOKUP(C66,Overview!$B$30:$E$84,3,FALSE)=0),"",VLOOKUP(C66,Overview!$B$30:$E$84,3,FALSE)),"")</f>
        <v>Kazakhstan</v>
      </c>
      <c r="F66" s="65" t="s">
        <v>608</v>
      </c>
      <c r="G66" s="106">
        <v>12000</v>
      </c>
      <c r="H66" s="107">
        <f t="shared" si="3"/>
        <v>12000</v>
      </c>
      <c r="I66" s="102" t="str">
        <f>IF(OR(COUNTIF(Rates!$J$13:$J$17,B66)=0,COUNTIF(Overview!$B$30:$B$84,C66)=0,D66="",E66="",F66="",ISNUMBER(G66)=FALSE,J66=1,IF(ISNUMBER(G66)=TRUE,G66=INT(G66*100)/100=FALSE)),"Error","")</f>
        <v/>
      </c>
      <c r="J66" s="154">
        <f>COUNTIF(Rates!$B$5:$B$37,E66)</f>
        <v>0</v>
      </c>
    </row>
    <row r="67" spans="2:10" s="103" customFormat="1" x14ac:dyDescent="0.25">
      <c r="B67" s="60" t="s">
        <v>365</v>
      </c>
      <c r="C67" s="94" t="s">
        <v>33</v>
      </c>
      <c r="D67" s="104" t="str">
        <f>IFERROR(IF(VLOOKUP(C67,Overview!$B$30:$E$84,2,FALSE)=0,"",VLOOKUP(C67,Overview!$B$30:$E$84,2,FALSE)),"")</f>
        <v>KIMEP University, JSC</v>
      </c>
      <c r="E67" s="104" t="str">
        <f>IFERROR(IF(OR(VLOOKUP(C67,Overview!$B$30:$E$84,4,FALSE)="Country not found",VLOOKUP(C67,Overview!$B$30:$E$84,3,FALSE)=0),"",VLOOKUP(C67,Overview!$B$30:$E$84,3,FALSE)),"")</f>
        <v>Kazakhstan</v>
      </c>
      <c r="F67" s="65" t="s">
        <v>590</v>
      </c>
      <c r="G67" s="106">
        <v>1000</v>
      </c>
      <c r="H67" s="107">
        <f t="shared" si="3"/>
        <v>1000</v>
      </c>
      <c r="I67" s="102" t="str">
        <f>IF(OR(COUNTIF(Rates!$J$13:$J$17,B67)=0,COUNTIF(Overview!$B$30:$B$84,C67)=0,D67="",E67="",F67="",ISNUMBER(G67)=FALSE,J67=1,IF(ISNUMBER(G67)=TRUE,G67=INT(G67*100)/100=FALSE)),"Error","")</f>
        <v/>
      </c>
      <c r="J67" s="154">
        <f>COUNTIF(Rates!$B$5:$B$37,E67)</f>
        <v>0</v>
      </c>
    </row>
    <row r="68" spans="2:10" s="103" customFormat="1" x14ac:dyDescent="0.25">
      <c r="B68" s="60" t="s">
        <v>365</v>
      </c>
      <c r="C68" s="94" t="s">
        <v>33</v>
      </c>
      <c r="D68" s="104" t="str">
        <f>IFERROR(IF(VLOOKUP(C68,Overview!$B$30:$E$84,2,FALSE)=0,"",VLOOKUP(C68,Overview!$B$30:$E$84,2,FALSE)),"")</f>
        <v>KIMEP University, JSC</v>
      </c>
      <c r="E68" s="104" t="str">
        <f>IFERROR(IF(OR(VLOOKUP(C68,Overview!$B$30:$E$84,4,FALSE)="Country not found",VLOOKUP(C68,Overview!$B$30:$E$84,3,FALSE)=0),"",VLOOKUP(C68,Overview!$B$30:$E$84,3,FALSE)),"")</f>
        <v>Kazakhstan</v>
      </c>
      <c r="F68" s="65" t="s">
        <v>591</v>
      </c>
      <c r="G68" s="106">
        <v>600</v>
      </c>
      <c r="H68" s="107">
        <f t="shared" si="3"/>
        <v>600</v>
      </c>
      <c r="I68" s="102" t="str">
        <f>IF(OR(COUNTIF(Rates!$J$13:$J$17,B68)=0,COUNTIF(Overview!$B$30:$B$84,C68)=0,D68="",E68="",F68="",ISNUMBER(G68)=FALSE,J68=1,IF(ISNUMBER(G68)=TRUE,G68=INT(G68*100)/100=FALSE)),"Error","")</f>
        <v/>
      </c>
      <c r="J68" s="154">
        <f>COUNTIF(Rates!$B$5:$B$37,E68)</f>
        <v>0</v>
      </c>
    </row>
    <row r="69" spans="2:10" s="103" customFormat="1" x14ac:dyDescent="0.25">
      <c r="B69" s="60" t="s">
        <v>365</v>
      </c>
      <c r="C69" s="94" t="s">
        <v>33</v>
      </c>
      <c r="D69" s="104" t="str">
        <f>IFERROR(IF(VLOOKUP(C69,Overview!$B$30:$E$84,2,FALSE)=0,"",VLOOKUP(C69,Overview!$B$30:$E$84,2,FALSE)),"")</f>
        <v>KIMEP University, JSC</v>
      </c>
      <c r="E69" s="104" t="str">
        <f>IFERROR(IF(OR(VLOOKUP(C69,Overview!$B$30:$E$84,4,FALSE)="Country not found",VLOOKUP(C69,Overview!$B$30:$E$84,3,FALSE)=0),"",VLOOKUP(C69,Overview!$B$30:$E$84,3,FALSE)),"")</f>
        <v>Kazakhstan</v>
      </c>
      <c r="F69" s="65" t="s">
        <v>592</v>
      </c>
      <c r="G69" s="106">
        <v>800</v>
      </c>
      <c r="H69" s="107">
        <f t="shared" si="3"/>
        <v>800</v>
      </c>
      <c r="I69" s="102" t="str">
        <f>IF(OR(COUNTIF(Rates!$J$13:$J$17,B69)=0,COUNTIF(Overview!$B$30:$B$84,C69)=0,D69="",E69="",F69="",ISNUMBER(G69)=FALSE,J69=1,IF(ISNUMBER(G69)=TRUE,G69=INT(G69*100)/100=FALSE)),"Error","")</f>
        <v/>
      </c>
      <c r="J69" s="154">
        <f>COUNTIF(Rates!$B$5:$B$37,E69)</f>
        <v>0</v>
      </c>
    </row>
    <row r="70" spans="2:10" s="103" customFormat="1" x14ac:dyDescent="0.25">
      <c r="B70" s="60" t="s">
        <v>365</v>
      </c>
      <c r="C70" s="94" t="s">
        <v>33</v>
      </c>
      <c r="D70" s="104" t="str">
        <f>IFERROR(IF(VLOOKUP(C70,Overview!$B$30:$E$84,2,FALSE)=0,"",VLOOKUP(C70,Overview!$B$30:$E$84,2,FALSE)),"")</f>
        <v>KIMEP University, JSC</v>
      </c>
      <c r="E70" s="104" t="str">
        <f>IFERROR(IF(OR(VLOOKUP(C70,Overview!$B$30:$E$84,4,FALSE)="Country not found",VLOOKUP(C70,Overview!$B$30:$E$84,3,FALSE)=0),"",VLOOKUP(C70,Overview!$B$30:$E$84,3,FALSE)),"")</f>
        <v>Kazakhstan</v>
      </c>
      <c r="F70" s="65" t="s">
        <v>595</v>
      </c>
      <c r="G70" s="106">
        <v>600</v>
      </c>
      <c r="H70" s="107">
        <f t="shared" si="3"/>
        <v>600</v>
      </c>
      <c r="I70" s="102" t="str">
        <f>IF(OR(COUNTIF(Rates!$J$13:$J$17,B70)=0,COUNTIF(Overview!$B$30:$B$84,C70)=0,D70="",E70="",F70="",ISNUMBER(G70)=FALSE,J70=1,IF(ISNUMBER(G70)=TRUE,G70=INT(G70*100)/100=FALSE)),"Error","")</f>
        <v/>
      </c>
      <c r="J70" s="154">
        <f>COUNTIF(Rates!$B$5:$B$37,E70)</f>
        <v>0</v>
      </c>
    </row>
  </sheetData>
  <sheetProtection password="E359" sheet="1" objects="1" scenarios="1" selectLockedCells="1"/>
  <dataConsolidate/>
  <mergeCells count="11">
    <mergeCell ref="I11:I12"/>
    <mergeCell ref="B2:I2"/>
    <mergeCell ref="H11:H12"/>
    <mergeCell ref="G11:G12"/>
    <mergeCell ref="F11:F12"/>
    <mergeCell ref="E11:E12"/>
    <mergeCell ref="B4:B9"/>
    <mergeCell ref="C4:D9"/>
    <mergeCell ref="D11:D12"/>
    <mergeCell ref="B11:B12"/>
    <mergeCell ref="C11:C12"/>
  </mergeCells>
  <conditionalFormatting sqref="I13:I14">
    <cfRule type="containsText" dxfId="278" priority="438" operator="containsText" text="Error">
      <formula>NOT(ISERROR(SEARCH("Error",I13)))</formula>
    </cfRule>
  </conditionalFormatting>
  <conditionalFormatting sqref="D13:E14">
    <cfRule type="containsBlanks" dxfId="277" priority="433">
      <formula>LEN(TRIM(D13))=0</formula>
    </cfRule>
  </conditionalFormatting>
  <conditionalFormatting sqref="E11:E12">
    <cfRule type="expression" dxfId="276" priority="410">
      <formula>COUNTIF($J:$J,1)</formula>
    </cfRule>
  </conditionalFormatting>
  <conditionalFormatting sqref="E13">
    <cfRule type="expression" dxfId="275" priority="356">
      <formula>COUNTIF(J13,1)</formula>
    </cfRule>
  </conditionalFormatting>
  <conditionalFormatting sqref="E14">
    <cfRule type="expression" dxfId="274" priority="355">
      <formula>COUNTIF(J14,1)</formula>
    </cfRule>
  </conditionalFormatting>
  <conditionalFormatting sqref="I17">
    <cfRule type="containsText" dxfId="273" priority="339" operator="containsText" text="Error">
      <formula>NOT(ISERROR(SEARCH("Error",I17)))</formula>
    </cfRule>
  </conditionalFormatting>
  <conditionalFormatting sqref="D17:E17">
    <cfRule type="containsBlanks" dxfId="272" priority="338">
      <formula>LEN(TRIM(D17))=0</formula>
    </cfRule>
  </conditionalFormatting>
  <conditionalFormatting sqref="E17">
    <cfRule type="expression" dxfId="271" priority="337">
      <formula>COUNTIF(J17,1)</formula>
    </cfRule>
  </conditionalFormatting>
  <conditionalFormatting sqref="I20">
    <cfRule type="containsText" dxfId="270" priority="336" operator="containsText" text="Error">
      <formula>NOT(ISERROR(SEARCH("Error",I20)))</formula>
    </cfRule>
  </conditionalFormatting>
  <conditionalFormatting sqref="D20:E20">
    <cfRule type="containsBlanks" dxfId="269" priority="335">
      <formula>LEN(TRIM(D20))=0</formula>
    </cfRule>
  </conditionalFormatting>
  <conditionalFormatting sqref="E20">
    <cfRule type="expression" dxfId="268" priority="334">
      <formula>COUNTIF(J20,1)</formula>
    </cfRule>
  </conditionalFormatting>
  <conditionalFormatting sqref="I23">
    <cfRule type="containsText" dxfId="267" priority="333" operator="containsText" text="Error">
      <formula>NOT(ISERROR(SEARCH("Error",I23)))</formula>
    </cfRule>
  </conditionalFormatting>
  <conditionalFormatting sqref="D23:E23">
    <cfRule type="containsBlanks" dxfId="266" priority="332">
      <formula>LEN(TRIM(D23))=0</formula>
    </cfRule>
  </conditionalFormatting>
  <conditionalFormatting sqref="E23">
    <cfRule type="expression" dxfId="265" priority="331">
      <formula>COUNTIF(J23,1)</formula>
    </cfRule>
  </conditionalFormatting>
  <conditionalFormatting sqref="I26">
    <cfRule type="containsText" dxfId="264" priority="330" operator="containsText" text="Error">
      <formula>NOT(ISERROR(SEARCH("Error",I26)))</formula>
    </cfRule>
  </conditionalFormatting>
  <conditionalFormatting sqref="D26:E26">
    <cfRule type="containsBlanks" dxfId="263" priority="329">
      <formula>LEN(TRIM(D26))=0</formula>
    </cfRule>
  </conditionalFormatting>
  <conditionalFormatting sqref="E26">
    <cfRule type="expression" dxfId="262" priority="328">
      <formula>COUNTIF(J26,1)</formula>
    </cfRule>
  </conditionalFormatting>
  <conditionalFormatting sqref="I29">
    <cfRule type="containsText" dxfId="261" priority="327" operator="containsText" text="Error">
      <formula>NOT(ISERROR(SEARCH("Error",I29)))</formula>
    </cfRule>
  </conditionalFormatting>
  <conditionalFormatting sqref="D29:E29">
    <cfRule type="containsBlanks" dxfId="260" priority="326">
      <formula>LEN(TRIM(D29))=0</formula>
    </cfRule>
  </conditionalFormatting>
  <conditionalFormatting sqref="E29">
    <cfRule type="expression" dxfId="259" priority="325">
      <formula>COUNTIF(J29,1)</formula>
    </cfRule>
  </conditionalFormatting>
  <conditionalFormatting sqref="I32">
    <cfRule type="containsText" dxfId="258" priority="324" operator="containsText" text="Error">
      <formula>NOT(ISERROR(SEARCH("Error",I32)))</formula>
    </cfRule>
  </conditionalFormatting>
  <conditionalFormatting sqref="D32:E32">
    <cfRule type="containsBlanks" dxfId="257" priority="323">
      <formula>LEN(TRIM(D32))=0</formula>
    </cfRule>
  </conditionalFormatting>
  <conditionalFormatting sqref="E32">
    <cfRule type="expression" dxfId="256" priority="322">
      <formula>COUNTIF(J32,1)</formula>
    </cfRule>
  </conditionalFormatting>
  <conditionalFormatting sqref="I35">
    <cfRule type="containsText" dxfId="255" priority="321" operator="containsText" text="Error">
      <formula>NOT(ISERROR(SEARCH("Error",I35)))</formula>
    </cfRule>
  </conditionalFormatting>
  <conditionalFormatting sqref="D35:E35">
    <cfRule type="containsBlanks" dxfId="254" priority="320">
      <formula>LEN(TRIM(D35))=0</formula>
    </cfRule>
  </conditionalFormatting>
  <conditionalFormatting sqref="E35">
    <cfRule type="expression" dxfId="253" priority="319">
      <formula>COUNTIF(J35,1)</formula>
    </cfRule>
  </conditionalFormatting>
  <conditionalFormatting sqref="I38">
    <cfRule type="containsText" dxfId="252" priority="318" operator="containsText" text="Error">
      <formula>NOT(ISERROR(SEARCH("Error",I38)))</formula>
    </cfRule>
  </conditionalFormatting>
  <conditionalFormatting sqref="D38:E38">
    <cfRule type="containsBlanks" dxfId="251" priority="317">
      <formula>LEN(TRIM(D38))=0</formula>
    </cfRule>
  </conditionalFormatting>
  <conditionalFormatting sqref="E38">
    <cfRule type="expression" dxfId="250" priority="316">
      <formula>COUNTIF(J38,1)</formula>
    </cfRule>
  </conditionalFormatting>
  <conditionalFormatting sqref="I41">
    <cfRule type="containsText" dxfId="249" priority="315" operator="containsText" text="Error">
      <formula>NOT(ISERROR(SEARCH("Error",I41)))</formula>
    </cfRule>
  </conditionalFormatting>
  <conditionalFormatting sqref="D41:E41">
    <cfRule type="containsBlanks" dxfId="248" priority="314">
      <formula>LEN(TRIM(D41))=0</formula>
    </cfRule>
  </conditionalFormatting>
  <conditionalFormatting sqref="E41">
    <cfRule type="expression" dxfId="247" priority="313">
      <formula>COUNTIF(J41,1)</formula>
    </cfRule>
  </conditionalFormatting>
  <conditionalFormatting sqref="I42">
    <cfRule type="containsText" dxfId="246" priority="312" operator="containsText" text="Error">
      <formula>NOT(ISERROR(SEARCH("Error",I42)))</formula>
    </cfRule>
  </conditionalFormatting>
  <conditionalFormatting sqref="D42:E42">
    <cfRule type="containsBlanks" dxfId="245" priority="311">
      <formula>LEN(TRIM(D42))=0</formula>
    </cfRule>
  </conditionalFormatting>
  <conditionalFormatting sqref="E42">
    <cfRule type="expression" dxfId="244" priority="310">
      <formula>COUNTIF(J42,1)</formula>
    </cfRule>
  </conditionalFormatting>
  <conditionalFormatting sqref="I50">
    <cfRule type="containsText" dxfId="243" priority="309" operator="containsText" text="Error">
      <formula>NOT(ISERROR(SEARCH("Error",I50)))</formula>
    </cfRule>
  </conditionalFormatting>
  <conditionalFormatting sqref="D50:E50">
    <cfRule type="containsBlanks" dxfId="242" priority="308">
      <formula>LEN(TRIM(D50))=0</formula>
    </cfRule>
  </conditionalFormatting>
  <conditionalFormatting sqref="E50">
    <cfRule type="expression" dxfId="241" priority="307">
      <formula>COUNTIF(J50,1)</formula>
    </cfRule>
  </conditionalFormatting>
  <conditionalFormatting sqref="I51">
    <cfRule type="containsText" dxfId="240" priority="306" operator="containsText" text="Error">
      <formula>NOT(ISERROR(SEARCH("Error",I51)))</formula>
    </cfRule>
  </conditionalFormatting>
  <conditionalFormatting sqref="D51:E51">
    <cfRule type="containsBlanks" dxfId="239" priority="305">
      <formula>LEN(TRIM(D51))=0</formula>
    </cfRule>
  </conditionalFormatting>
  <conditionalFormatting sqref="E51">
    <cfRule type="expression" dxfId="238" priority="304">
      <formula>COUNTIF(J51,1)</formula>
    </cfRule>
  </conditionalFormatting>
  <conditionalFormatting sqref="I55">
    <cfRule type="containsText" dxfId="237" priority="297" operator="containsText" text="Error">
      <formula>NOT(ISERROR(SEARCH("Error",I55)))</formula>
    </cfRule>
  </conditionalFormatting>
  <conditionalFormatting sqref="D55:E55">
    <cfRule type="containsBlanks" dxfId="236" priority="296">
      <formula>LEN(TRIM(D55))=0</formula>
    </cfRule>
  </conditionalFormatting>
  <conditionalFormatting sqref="E55">
    <cfRule type="expression" dxfId="235" priority="295">
      <formula>COUNTIF(J55,1)</formula>
    </cfRule>
  </conditionalFormatting>
  <conditionalFormatting sqref="I56">
    <cfRule type="containsText" dxfId="234" priority="294" operator="containsText" text="Error">
      <formula>NOT(ISERROR(SEARCH("Error",I56)))</formula>
    </cfRule>
  </conditionalFormatting>
  <conditionalFormatting sqref="D56:E56">
    <cfRule type="containsBlanks" dxfId="233" priority="293">
      <formula>LEN(TRIM(D56))=0</formula>
    </cfRule>
  </conditionalFormatting>
  <conditionalFormatting sqref="E56">
    <cfRule type="expression" dxfId="232" priority="292">
      <formula>COUNTIF(J56,1)</formula>
    </cfRule>
  </conditionalFormatting>
  <conditionalFormatting sqref="I18">
    <cfRule type="containsText" dxfId="231" priority="264" operator="containsText" text="Error">
      <formula>NOT(ISERROR(SEARCH("Error",I18)))</formula>
    </cfRule>
  </conditionalFormatting>
  <conditionalFormatting sqref="D18:E18">
    <cfRule type="containsBlanks" dxfId="230" priority="263">
      <formula>LEN(TRIM(D18))=0</formula>
    </cfRule>
  </conditionalFormatting>
  <conditionalFormatting sqref="E18">
    <cfRule type="expression" dxfId="229" priority="262">
      <formula>COUNTIF(J18,1)</formula>
    </cfRule>
  </conditionalFormatting>
  <conditionalFormatting sqref="I15">
    <cfRule type="containsText" dxfId="228" priority="261" operator="containsText" text="Error">
      <formula>NOT(ISERROR(SEARCH("Error",I15)))</formula>
    </cfRule>
  </conditionalFormatting>
  <conditionalFormatting sqref="D15:E15">
    <cfRule type="containsBlanks" dxfId="227" priority="260">
      <formula>LEN(TRIM(D15))=0</formula>
    </cfRule>
  </conditionalFormatting>
  <conditionalFormatting sqref="E15">
    <cfRule type="expression" dxfId="226" priority="259">
      <formula>COUNTIF(J15,1)</formula>
    </cfRule>
  </conditionalFormatting>
  <conditionalFormatting sqref="I21">
    <cfRule type="containsText" dxfId="225" priority="258" operator="containsText" text="Error">
      <formula>NOT(ISERROR(SEARCH("Error",I21)))</formula>
    </cfRule>
  </conditionalFormatting>
  <conditionalFormatting sqref="D21:E21">
    <cfRule type="containsBlanks" dxfId="224" priority="257">
      <formula>LEN(TRIM(D21))=0</formula>
    </cfRule>
  </conditionalFormatting>
  <conditionalFormatting sqref="E21">
    <cfRule type="expression" dxfId="223" priority="256">
      <formula>COUNTIF(J21,1)</formula>
    </cfRule>
  </conditionalFormatting>
  <conditionalFormatting sqref="I27">
    <cfRule type="containsText" dxfId="222" priority="255" operator="containsText" text="Error">
      <formula>NOT(ISERROR(SEARCH("Error",I27)))</formula>
    </cfRule>
  </conditionalFormatting>
  <conditionalFormatting sqref="D27:E27">
    <cfRule type="containsBlanks" dxfId="221" priority="254">
      <formula>LEN(TRIM(D27))=0</formula>
    </cfRule>
  </conditionalFormatting>
  <conditionalFormatting sqref="E27">
    <cfRule type="expression" dxfId="220" priority="253">
      <formula>COUNTIF(J27,1)</formula>
    </cfRule>
  </conditionalFormatting>
  <conditionalFormatting sqref="I24">
    <cfRule type="containsText" dxfId="219" priority="252" operator="containsText" text="Error">
      <formula>NOT(ISERROR(SEARCH("Error",I24)))</formula>
    </cfRule>
  </conditionalFormatting>
  <conditionalFormatting sqref="D24:E24">
    <cfRule type="containsBlanks" dxfId="218" priority="251">
      <formula>LEN(TRIM(D24))=0</formula>
    </cfRule>
  </conditionalFormatting>
  <conditionalFormatting sqref="E24">
    <cfRule type="expression" dxfId="217" priority="250">
      <formula>COUNTIF(J24,1)</formula>
    </cfRule>
  </conditionalFormatting>
  <conditionalFormatting sqref="I30">
    <cfRule type="containsText" dxfId="216" priority="249" operator="containsText" text="Error">
      <formula>NOT(ISERROR(SEARCH("Error",I30)))</formula>
    </cfRule>
  </conditionalFormatting>
  <conditionalFormatting sqref="D30:E30">
    <cfRule type="containsBlanks" dxfId="215" priority="248">
      <formula>LEN(TRIM(D30))=0</formula>
    </cfRule>
  </conditionalFormatting>
  <conditionalFormatting sqref="E30">
    <cfRule type="expression" dxfId="214" priority="247">
      <formula>COUNTIF(J30,1)</formula>
    </cfRule>
  </conditionalFormatting>
  <conditionalFormatting sqref="I33">
    <cfRule type="containsText" dxfId="213" priority="246" operator="containsText" text="Error">
      <formula>NOT(ISERROR(SEARCH("Error",I33)))</formula>
    </cfRule>
  </conditionalFormatting>
  <conditionalFormatting sqref="D33:E33">
    <cfRule type="containsBlanks" dxfId="212" priority="245">
      <formula>LEN(TRIM(D33))=0</formula>
    </cfRule>
  </conditionalFormatting>
  <conditionalFormatting sqref="E33">
    <cfRule type="expression" dxfId="211" priority="244">
      <formula>COUNTIF(J33,1)</formula>
    </cfRule>
  </conditionalFormatting>
  <conditionalFormatting sqref="I36">
    <cfRule type="containsText" dxfId="210" priority="243" operator="containsText" text="Error">
      <formula>NOT(ISERROR(SEARCH("Error",I36)))</formula>
    </cfRule>
  </conditionalFormatting>
  <conditionalFormatting sqref="D36:E36">
    <cfRule type="containsBlanks" dxfId="209" priority="242">
      <formula>LEN(TRIM(D36))=0</formula>
    </cfRule>
  </conditionalFormatting>
  <conditionalFormatting sqref="E36">
    <cfRule type="expression" dxfId="208" priority="241">
      <formula>COUNTIF(J36,1)</formula>
    </cfRule>
  </conditionalFormatting>
  <conditionalFormatting sqref="I39">
    <cfRule type="containsText" dxfId="207" priority="240" operator="containsText" text="Error">
      <formula>NOT(ISERROR(SEARCH("Error",I39)))</formula>
    </cfRule>
  </conditionalFormatting>
  <conditionalFormatting sqref="D39:E39">
    <cfRule type="containsBlanks" dxfId="206" priority="239">
      <formula>LEN(TRIM(D39))=0</formula>
    </cfRule>
  </conditionalFormatting>
  <conditionalFormatting sqref="E39">
    <cfRule type="expression" dxfId="205" priority="238">
      <formula>COUNTIF(J39,1)</formula>
    </cfRule>
  </conditionalFormatting>
  <conditionalFormatting sqref="I61">
    <cfRule type="containsText" dxfId="204" priority="237" operator="containsText" text="Error">
      <formula>NOT(ISERROR(SEARCH("Error",I61)))</formula>
    </cfRule>
  </conditionalFormatting>
  <conditionalFormatting sqref="D61:E61">
    <cfRule type="containsBlanks" dxfId="203" priority="236">
      <formula>LEN(TRIM(D61))=0</formula>
    </cfRule>
  </conditionalFormatting>
  <conditionalFormatting sqref="E61">
    <cfRule type="expression" dxfId="202" priority="235">
      <formula>COUNTIF(J61,1)</formula>
    </cfRule>
  </conditionalFormatting>
  <conditionalFormatting sqref="I62">
    <cfRule type="containsText" dxfId="201" priority="234" operator="containsText" text="Error">
      <formula>NOT(ISERROR(SEARCH("Error",I62)))</formula>
    </cfRule>
  </conditionalFormatting>
  <conditionalFormatting sqref="D62:E62">
    <cfRule type="containsBlanks" dxfId="200" priority="233">
      <formula>LEN(TRIM(D62))=0</formula>
    </cfRule>
  </conditionalFormatting>
  <conditionalFormatting sqref="E62">
    <cfRule type="expression" dxfId="199" priority="232">
      <formula>COUNTIF(J62,1)</formula>
    </cfRule>
  </conditionalFormatting>
  <conditionalFormatting sqref="I66">
    <cfRule type="containsText" dxfId="198" priority="231" operator="containsText" text="Error">
      <formula>NOT(ISERROR(SEARCH("Error",I66)))</formula>
    </cfRule>
  </conditionalFormatting>
  <conditionalFormatting sqref="D66:E66">
    <cfRule type="containsBlanks" dxfId="197" priority="230">
      <formula>LEN(TRIM(D66))=0</formula>
    </cfRule>
  </conditionalFormatting>
  <conditionalFormatting sqref="E66">
    <cfRule type="expression" dxfId="196" priority="229">
      <formula>COUNTIF(J66,1)</formula>
    </cfRule>
  </conditionalFormatting>
  <conditionalFormatting sqref="I67">
    <cfRule type="containsText" dxfId="195" priority="228" operator="containsText" text="Error">
      <formula>NOT(ISERROR(SEARCH("Error",I67)))</formula>
    </cfRule>
  </conditionalFormatting>
  <conditionalFormatting sqref="D67:E67">
    <cfRule type="containsBlanks" dxfId="194" priority="227">
      <formula>LEN(TRIM(D67))=0</formula>
    </cfRule>
  </conditionalFormatting>
  <conditionalFormatting sqref="E67">
    <cfRule type="expression" dxfId="193" priority="226">
      <formula>COUNTIF(J67,1)</formula>
    </cfRule>
  </conditionalFormatting>
  <conditionalFormatting sqref="I52">
    <cfRule type="containsText" dxfId="192" priority="177" operator="containsText" text="Error">
      <formula>NOT(ISERROR(SEARCH("Error",I52)))</formula>
    </cfRule>
  </conditionalFormatting>
  <conditionalFormatting sqref="D52:E52">
    <cfRule type="containsBlanks" dxfId="191" priority="176">
      <formula>LEN(TRIM(D52))=0</formula>
    </cfRule>
  </conditionalFormatting>
  <conditionalFormatting sqref="E52">
    <cfRule type="expression" dxfId="190" priority="175">
      <formula>COUNTIF(J52,1)</formula>
    </cfRule>
  </conditionalFormatting>
  <conditionalFormatting sqref="I57">
    <cfRule type="containsText" dxfId="189" priority="171" operator="containsText" text="Error">
      <formula>NOT(ISERROR(SEARCH("Error",I57)))</formula>
    </cfRule>
  </conditionalFormatting>
  <conditionalFormatting sqref="D57:E57">
    <cfRule type="containsBlanks" dxfId="188" priority="170">
      <formula>LEN(TRIM(D57))=0</formula>
    </cfRule>
  </conditionalFormatting>
  <conditionalFormatting sqref="E57">
    <cfRule type="expression" dxfId="187" priority="169">
      <formula>COUNTIF(J57,1)</formula>
    </cfRule>
  </conditionalFormatting>
  <conditionalFormatting sqref="I63">
    <cfRule type="containsText" dxfId="186" priority="156" operator="containsText" text="Error">
      <formula>NOT(ISERROR(SEARCH("Error",I63)))</formula>
    </cfRule>
  </conditionalFormatting>
  <conditionalFormatting sqref="D63:E63">
    <cfRule type="containsBlanks" dxfId="185" priority="155">
      <formula>LEN(TRIM(D63))=0</formula>
    </cfRule>
  </conditionalFormatting>
  <conditionalFormatting sqref="E63">
    <cfRule type="expression" dxfId="184" priority="154">
      <formula>COUNTIF(J63,1)</formula>
    </cfRule>
  </conditionalFormatting>
  <conditionalFormatting sqref="I68">
    <cfRule type="containsText" dxfId="183" priority="153" operator="containsText" text="Error">
      <formula>NOT(ISERROR(SEARCH("Error",I68)))</formula>
    </cfRule>
  </conditionalFormatting>
  <conditionalFormatting sqref="D68:E68">
    <cfRule type="containsBlanks" dxfId="182" priority="152">
      <formula>LEN(TRIM(D68))=0</formula>
    </cfRule>
  </conditionalFormatting>
  <conditionalFormatting sqref="E68">
    <cfRule type="expression" dxfId="181" priority="151">
      <formula>COUNTIF(J68,1)</formula>
    </cfRule>
  </conditionalFormatting>
  <conditionalFormatting sqref="I16">
    <cfRule type="containsText" dxfId="180" priority="150" operator="containsText" text="Error">
      <formula>NOT(ISERROR(SEARCH("Error",I16)))</formula>
    </cfRule>
  </conditionalFormatting>
  <conditionalFormatting sqref="D16:E16">
    <cfRule type="containsBlanks" dxfId="179" priority="149">
      <formula>LEN(TRIM(D16))=0</formula>
    </cfRule>
  </conditionalFormatting>
  <conditionalFormatting sqref="E16">
    <cfRule type="expression" dxfId="178" priority="148">
      <formula>COUNTIF(J16,1)</formula>
    </cfRule>
  </conditionalFormatting>
  <conditionalFormatting sqref="I19">
    <cfRule type="containsText" dxfId="177" priority="144" operator="containsText" text="Error">
      <formula>NOT(ISERROR(SEARCH("Error",I19)))</formula>
    </cfRule>
  </conditionalFormatting>
  <conditionalFormatting sqref="D19:E19">
    <cfRule type="containsBlanks" dxfId="176" priority="143">
      <formula>LEN(TRIM(D19))=0</formula>
    </cfRule>
  </conditionalFormatting>
  <conditionalFormatting sqref="E19">
    <cfRule type="expression" dxfId="175" priority="142">
      <formula>COUNTIF(J19,1)</formula>
    </cfRule>
  </conditionalFormatting>
  <conditionalFormatting sqref="I22">
    <cfRule type="containsText" dxfId="174" priority="141" operator="containsText" text="Error">
      <formula>NOT(ISERROR(SEARCH("Error",I22)))</formula>
    </cfRule>
  </conditionalFormatting>
  <conditionalFormatting sqref="D22:E22">
    <cfRule type="containsBlanks" dxfId="173" priority="140">
      <formula>LEN(TRIM(D22))=0</formula>
    </cfRule>
  </conditionalFormatting>
  <conditionalFormatting sqref="E22">
    <cfRule type="expression" dxfId="172" priority="139">
      <formula>COUNTIF(J22,1)</formula>
    </cfRule>
  </conditionalFormatting>
  <conditionalFormatting sqref="I25">
    <cfRule type="containsText" dxfId="171" priority="138" operator="containsText" text="Error">
      <formula>NOT(ISERROR(SEARCH("Error",I25)))</formula>
    </cfRule>
  </conditionalFormatting>
  <conditionalFormatting sqref="D25:E25">
    <cfRule type="containsBlanks" dxfId="170" priority="137">
      <formula>LEN(TRIM(D25))=0</formula>
    </cfRule>
  </conditionalFormatting>
  <conditionalFormatting sqref="E25">
    <cfRule type="expression" dxfId="169" priority="136">
      <formula>COUNTIF(J25,1)</formula>
    </cfRule>
  </conditionalFormatting>
  <conditionalFormatting sqref="I28">
    <cfRule type="containsText" dxfId="168" priority="135" operator="containsText" text="Error">
      <formula>NOT(ISERROR(SEARCH("Error",I28)))</formula>
    </cfRule>
  </conditionalFormatting>
  <conditionalFormatting sqref="D28:E28">
    <cfRule type="containsBlanks" dxfId="167" priority="134">
      <formula>LEN(TRIM(D28))=0</formula>
    </cfRule>
  </conditionalFormatting>
  <conditionalFormatting sqref="E28">
    <cfRule type="expression" dxfId="166" priority="133">
      <formula>COUNTIF(J28,1)</formula>
    </cfRule>
  </conditionalFormatting>
  <conditionalFormatting sqref="I31">
    <cfRule type="containsText" dxfId="165" priority="132" operator="containsText" text="Error">
      <formula>NOT(ISERROR(SEARCH("Error",I31)))</formula>
    </cfRule>
  </conditionalFormatting>
  <conditionalFormatting sqref="D31:E31">
    <cfRule type="containsBlanks" dxfId="164" priority="131">
      <formula>LEN(TRIM(D31))=0</formula>
    </cfRule>
  </conditionalFormatting>
  <conditionalFormatting sqref="E31">
    <cfRule type="expression" dxfId="163" priority="130">
      <formula>COUNTIF(J31,1)</formula>
    </cfRule>
  </conditionalFormatting>
  <conditionalFormatting sqref="I34">
    <cfRule type="containsText" dxfId="162" priority="129" operator="containsText" text="Error">
      <formula>NOT(ISERROR(SEARCH("Error",I34)))</formula>
    </cfRule>
  </conditionalFormatting>
  <conditionalFormatting sqref="D34:E34">
    <cfRule type="containsBlanks" dxfId="161" priority="128">
      <formula>LEN(TRIM(D34))=0</formula>
    </cfRule>
  </conditionalFormatting>
  <conditionalFormatting sqref="E34">
    <cfRule type="expression" dxfId="160" priority="127">
      <formula>COUNTIF(J34,1)</formula>
    </cfRule>
  </conditionalFormatting>
  <conditionalFormatting sqref="I37">
    <cfRule type="containsText" dxfId="159" priority="126" operator="containsText" text="Error">
      <formula>NOT(ISERROR(SEARCH("Error",I37)))</formula>
    </cfRule>
  </conditionalFormatting>
  <conditionalFormatting sqref="D37:E37">
    <cfRule type="containsBlanks" dxfId="158" priority="125">
      <formula>LEN(TRIM(D37))=0</formula>
    </cfRule>
  </conditionalFormatting>
  <conditionalFormatting sqref="E37">
    <cfRule type="expression" dxfId="157" priority="124">
      <formula>COUNTIF(J37,1)</formula>
    </cfRule>
  </conditionalFormatting>
  <conditionalFormatting sqref="I40">
    <cfRule type="containsText" dxfId="156" priority="123" operator="containsText" text="Error">
      <formula>NOT(ISERROR(SEARCH("Error",I40)))</formula>
    </cfRule>
  </conditionalFormatting>
  <conditionalFormatting sqref="D40:E40">
    <cfRule type="containsBlanks" dxfId="155" priority="122">
      <formula>LEN(TRIM(D40))=0</formula>
    </cfRule>
  </conditionalFormatting>
  <conditionalFormatting sqref="E40">
    <cfRule type="expression" dxfId="154" priority="121">
      <formula>COUNTIF(J40,1)</formula>
    </cfRule>
  </conditionalFormatting>
  <conditionalFormatting sqref="I43">
    <cfRule type="containsText" dxfId="153" priority="120" operator="containsText" text="Error">
      <formula>NOT(ISERROR(SEARCH("Error",I43)))</formula>
    </cfRule>
  </conditionalFormatting>
  <conditionalFormatting sqref="D43:E43">
    <cfRule type="containsBlanks" dxfId="152" priority="119">
      <formula>LEN(TRIM(D43))=0</formula>
    </cfRule>
  </conditionalFormatting>
  <conditionalFormatting sqref="E43">
    <cfRule type="expression" dxfId="151" priority="118">
      <formula>COUNTIF(J43,1)</formula>
    </cfRule>
  </conditionalFormatting>
  <conditionalFormatting sqref="I53">
    <cfRule type="containsText" dxfId="150" priority="117" operator="containsText" text="Error">
      <formula>NOT(ISERROR(SEARCH("Error",I53)))</formula>
    </cfRule>
  </conditionalFormatting>
  <conditionalFormatting sqref="D53:E53">
    <cfRule type="containsBlanks" dxfId="149" priority="116">
      <formula>LEN(TRIM(D53))=0</formula>
    </cfRule>
  </conditionalFormatting>
  <conditionalFormatting sqref="E53">
    <cfRule type="expression" dxfId="148" priority="115">
      <formula>COUNTIF(J53,1)</formula>
    </cfRule>
  </conditionalFormatting>
  <conditionalFormatting sqref="I58">
    <cfRule type="containsText" dxfId="147" priority="111" operator="containsText" text="Error">
      <formula>NOT(ISERROR(SEARCH("Error",I58)))</formula>
    </cfRule>
  </conditionalFormatting>
  <conditionalFormatting sqref="D58:E58">
    <cfRule type="containsBlanks" dxfId="146" priority="110">
      <formula>LEN(TRIM(D58))=0</formula>
    </cfRule>
  </conditionalFormatting>
  <conditionalFormatting sqref="E58">
    <cfRule type="expression" dxfId="145" priority="109">
      <formula>COUNTIF(J58,1)</formula>
    </cfRule>
  </conditionalFormatting>
  <conditionalFormatting sqref="I64">
    <cfRule type="containsText" dxfId="144" priority="96" operator="containsText" text="Error">
      <formula>NOT(ISERROR(SEARCH("Error",I64)))</formula>
    </cfRule>
  </conditionalFormatting>
  <conditionalFormatting sqref="D64:E64">
    <cfRule type="containsBlanks" dxfId="143" priority="95">
      <formula>LEN(TRIM(D64))=0</formula>
    </cfRule>
  </conditionalFormatting>
  <conditionalFormatting sqref="E64">
    <cfRule type="expression" dxfId="142" priority="94">
      <formula>COUNTIF(J64,1)</formula>
    </cfRule>
  </conditionalFormatting>
  <conditionalFormatting sqref="I69">
    <cfRule type="containsText" dxfId="141" priority="93" operator="containsText" text="Error">
      <formula>NOT(ISERROR(SEARCH("Error",I69)))</formula>
    </cfRule>
  </conditionalFormatting>
  <conditionalFormatting sqref="D69:E69">
    <cfRule type="containsBlanks" dxfId="140" priority="92">
      <formula>LEN(TRIM(D69))=0</formula>
    </cfRule>
  </conditionalFormatting>
  <conditionalFormatting sqref="E69">
    <cfRule type="expression" dxfId="139" priority="91">
      <formula>COUNTIF(J69,1)</formula>
    </cfRule>
  </conditionalFormatting>
  <conditionalFormatting sqref="I59">
    <cfRule type="containsText" dxfId="138" priority="90" operator="containsText" text="Error">
      <formula>NOT(ISERROR(SEARCH("Error",I59)))</formula>
    </cfRule>
  </conditionalFormatting>
  <conditionalFormatting sqref="D59:E59">
    <cfRule type="containsBlanks" dxfId="137" priority="89">
      <formula>LEN(TRIM(D59))=0</formula>
    </cfRule>
  </conditionalFormatting>
  <conditionalFormatting sqref="E59">
    <cfRule type="expression" dxfId="136" priority="88">
      <formula>COUNTIF(J59,1)</formula>
    </cfRule>
  </conditionalFormatting>
  <conditionalFormatting sqref="I54">
    <cfRule type="containsText" dxfId="135" priority="87" operator="containsText" text="Error">
      <formula>NOT(ISERROR(SEARCH("Error",I54)))</formula>
    </cfRule>
  </conditionalFormatting>
  <conditionalFormatting sqref="D54:E54">
    <cfRule type="containsBlanks" dxfId="134" priority="86">
      <formula>LEN(TRIM(D54))=0</formula>
    </cfRule>
  </conditionalFormatting>
  <conditionalFormatting sqref="E54">
    <cfRule type="expression" dxfId="133" priority="85">
      <formula>COUNTIF(J54,1)</formula>
    </cfRule>
  </conditionalFormatting>
  <conditionalFormatting sqref="I60">
    <cfRule type="containsText" dxfId="132" priority="81" operator="containsText" text="Error">
      <formula>NOT(ISERROR(SEARCH("Error",I60)))</formula>
    </cfRule>
  </conditionalFormatting>
  <conditionalFormatting sqref="D60:E60">
    <cfRule type="containsBlanks" dxfId="131" priority="80">
      <formula>LEN(TRIM(D60))=0</formula>
    </cfRule>
  </conditionalFormatting>
  <conditionalFormatting sqref="E60">
    <cfRule type="expression" dxfId="130" priority="79">
      <formula>COUNTIF(J60,1)</formula>
    </cfRule>
  </conditionalFormatting>
  <conditionalFormatting sqref="I65">
    <cfRule type="containsText" dxfId="129" priority="66" operator="containsText" text="Error">
      <formula>NOT(ISERROR(SEARCH("Error",I65)))</formula>
    </cfRule>
  </conditionalFormatting>
  <conditionalFormatting sqref="D65:E65">
    <cfRule type="containsBlanks" dxfId="128" priority="65">
      <formula>LEN(TRIM(D65))=0</formula>
    </cfRule>
  </conditionalFormatting>
  <conditionalFormatting sqref="E65">
    <cfRule type="expression" dxfId="127" priority="64">
      <formula>COUNTIF(J65,1)</formula>
    </cfRule>
  </conditionalFormatting>
  <conditionalFormatting sqref="I70">
    <cfRule type="containsText" dxfId="126" priority="63" operator="containsText" text="Error">
      <formula>NOT(ISERROR(SEARCH("Error",I70)))</formula>
    </cfRule>
  </conditionalFormatting>
  <conditionalFormatting sqref="D70:E70">
    <cfRule type="containsBlanks" dxfId="125" priority="62">
      <formula>LEN(TRIM(D70))=0</formula>
    </cfRule>
  </conditionalFormatting>
  <conditionalFormatting sqref="E70">
    <cfRule type="expression" dxfId="124" priority="61">
      <formula>COUNTIF(J70,1)</formula>
    </cfRule>
  </conditionalFormatting>
  <conditionalFormatting sqref="I44">
    <cfRule type="containsText" dxfId="123" priority="54" operator="containsText" text="Error">
      <formula>NOT(ISERROR(SEARCH("Error",I44)))</formula>
    </cfRule>
  </conditionalFormatting>
  <conditionalFormatting sqref="D44:E44">
    <cfRule type="containsBlanks" dxfId="122" priority="53">
      <formula>LEN(TRIM(D44))=0</formula>
    </cfRule>
  </conditionalFormatting>
  <conditionalFormatting sqref="E44">
    <cfRule type="expression" dxfId="121" priority="52">
      <formula>COUNTIF(J44,1)</formula>
    </cfRule>
  </conditionalFormatting>
  <conditionalFormatting sqref="I45">
    <cfRule type="containsText" dxfId="120" priority="51" operator="containsText" text="Error">
      <formula>NOT(ISERROR(SEARCH("Error",I45)))</formula>
    </cfRule>
  </conditionalFormatting>
  <conditionalFormatting sqref="D45:E45">
    <cfRule type="containsBlanks" dxfId="119" priority="50">
      <formula>LEN(TRIM(D45))=0</formula>
    </cfRule>
  </conditionalFormatting>
  <conditionalFormatting sqref="E45">
    <cfRule type="expression" dxfId="118" priority="49">
      <formula>COUNTIF(J45,1)</formula>
    </cfRule>
  </conditionalFormatting>
  <conditionalFormatting sqref="I46">
    <cfRule type="containsText" dxfId="117" priority="48" operator="containsText" text="Error">
      <formula>NOT(ISERROR(SEARCH("Error",I46)))</formula>
    </cfRule>
  </conditionalFormatting>
  <conditionalFormatting sqref="D46:E46">
    <cfRule type="containsBlanks" dxfId="116" priority="47">
      <formula>LEN(TRIM(D46))=0</formula>
    </cfRule>
  </conditionalFormatting>
  <conditionalFormatting sqref="E46">
    <cfRule type="expression" dxfId="115" priority="46">
      <formula>COUNTIF(J46,1)</formula>
    </cfRule>
  </conditionalFormatting>
  <conditionalFormatting sqref="I47">
    <cfRule type="containsText" dxfId="114" priority="45" operator="containsText" text="Error">
      <formula>NOT(ISERROR(SEARCH("Error",I47)))</formula>
    </cfRule>
  </conditionalFormatting>
  <conditionalFormatting sqref="D47:E47">
    <cfRule type="containsBlanks" dxfId="113" priority="44">
      <formula>LEN(TRIM(D47))=0</formula>
    </cfRule>
  </conditionalFormatting>
  <conditionalFormatting sqref="E47">
    <cfRule type="expression" dxfId="112" priority="43">
      <formula>COUNTIF(J47,1)</formula>
    </cfRule>
  </conditionalFormatting>
  <conditionalFormatting sqref="I48">
    <cfRule type="containsText" dxfId="111" priority="42" operator="containsText" text="Error">
      <formula>NOT(ISERROR(SEARCH("Error",I48)))</formula>
    </cfRule>
  </conditionalFormatting>
  <conditionalFormatting sqref="D48:E48">
    <cfRule type="containsBlanks" dxfId="110" priority="41">
      <formula>LEN(TRIM(D48))=0</formula>
    </cfRule>
  </conditionalFormatting>
  <conditionalFormatting sqref="E48">
    <cfRule type="expression" dxfId="109" priority="40">
      <formula>COUNTIF(J48,1)</formula>
    </cfRule>
  </conditionalFormatting>
  <conditionalFormatting sqref="I49">
    <cfRule type="containsText" dxfId="108" priority="39" operator="containsText" text="Error">
      <formula>NOT(ISERROR(SEARCH("Error",I49)))</formula>
    </cfRule>
  </conditionalFormatting>
  <conditionalFormatting sqref="D49:E49">
    <cfRule type="containsBlanks" dxfId="107" priority="38">
      <formula>LEN(TRIM(D49))=0</formula>
    </cfRule>
  </conditionalFormatting>
  <conditionalFormatting sqref="E49">
    <cfRule type="expression" dxfId="106" priority="37">
      <formula>COUNTIF(J49,1)</formula>
    </cfRule>
  </conditionalFormatting>
  <dataValidations xWindow="167" yWindow="240" count="2">
    <dataValidation type="custom" allowBlank="1" showInputMessage="1" showErrorMessage="1" error="Format error (2 decimals only)" prompt="Please encode amount (2 decimals only)" sqref="G13:G70">
      <formula1>G13=INT(G13*100)/100</formula1>
    </dataValidation>
    <dataValidation allowBlank="1" showInputMessage="1" showErrorMessage="1" error="Please encode Nature, type and specifications" prompt="Please encode Nature, type and specifications" sqref="F13:F70"/>
  </dataValidations>
  <printOptions horizontalCentered="1"/>
  <pageMargins left="0.23622047244094491" right="0.23622047244094491" top="0.39370078740157483" bottom="0.94488188976377963" header="0.31496062992125984" footer="0.31496062992125984"/>
  <pageSetup paperSize="9" scale="44" orientation="landscape" r:id="rId1"/>
  <headerFooter>
    <oddFooter xml:space="preserve">&amp;CPage &amp;P of 3
</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8200" r:id="rId4" name="Button 1">
              <controlPr defaultSize="0" print="0" autoFill="0" autoPict="0" macro="[0]!AddRow">
                <anchor moveWithCells="1" sizeWithCells="1">
                  <from>
                    <xdr:col>1</xdr:col>
                    <xdr:colOff>85725</xdr:colOff>
                    <xdr:row>1</xdr:row>
                    <xdr:rowOff>76200</xdr:rowOff>
                  </from>
                  <to>
                    <xdr:col>1</xdr:col>
                    <xdr:colOff>1066800</xdr:colOff>
                    <xdr:row>1</xdr:row>
                    <xdr:rowOff>438150</xdr:rowOff>
                  </to>
                </anchor>
              </controlPr>
            </control>
          </mc:Choice>
        </mc:AlternateContent>
        <mc:AlternateContent xmlns:mc="http://schemas.openxmlformats.org/markup-compatibility/2006">
          <mc:Choice Requires="x14">
            <control shapeId="8201" r:id="rId5" name="Button 2">
              <controlPr defaultSize="0" print="0" autoFill="0" autoPict="0" macro="[0]!DeleteRow">
                <anchor moveWithCells="1" sizeWithCells="1">
                  <from>
                    <xdr:col>1</xdr:col>
                    <xdr:colOff>1123950</xdr:colOff>
                    <xdr:row>1</xdr:row>
                    <xdr:rowOff>76200</xdr:rowOff>
                  </from>
                  <to>
                    <xdr:col>2</xdr:col>
                    <xdr:colOff>57150</xdr:colOff>
                    <xdr:row>1</xdr:row>
                    <xdr:rowOff>438150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xWindow="167" yWindow="240" count="2">
        <x14:dataValidation type="list" allowBlank="1" showInputMessage="1" showErrorMessage="1" error="Click arrow to select Work Package" prompt="Click arrow to select Work Package">
          <x14:formula1>
            <xm:f>Rates!$J$13:$J$17</xm:f>
          </x14:formula1>
          <xm:sqref>B13:B70</xm:sqref>
        </x14:dataValidation>
        <x14:dataValidation type="list" allowBlank="1" showInputMessage="1" showErrorMessage="1" error="Click arrow to select Partner N°" prompt="Click arrow to select Partner N°">
          <x14:formula1>
            <xm:f>Overview!$B$30:$B$84</xm:f>
          </x14:formula1>
          <xm:sqref>C13:C70</xm:sqref>
        </x14:dataValidation>
      </x14:dataValidations>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tabColor theme="3" tint="0.39997558519241921"/>
  </sheetPr>
  <dimension ref="B1:I14"/>
  <sheetViews>
    <sheetView showGridLines="0" topLeftCell="B1" zoomScale="85" zoomScaleNormal="85" zoomScaleSheetLayoutView="85" workbookViewId="0">
      <pane ySplit="13" topLeftCell="A14" activePane="bottomLeft" state="frozen"/>
      <selection pane="bottomLeft" activeCell="F14" sqref="F14"/>
    </sheetView>
  </sheetViews>
  <sheetFormatPr defaultColWidth="9.140625" defaultRowHeight="18" x14ac:dyDescent="0.25"/>
  <cols>
    <col min="1" max="1" width="1.7109375" style="36" customWidth="1"/>
    <col min="2" max="2" width="30.7109375" style="36" customWidth="1"/>
    <col min="3" max="3" width="10.7109375" style="36" customWidth="1"/>
    <col min="4" max="5" width="50.7109375" style="36" customWidth="1"/>
    <col min="6" max="6" width="120.7109375" style="36" customWidth="1"/>
    <col min="7" max="8" width="20.7109375" style="36" customWidth="1"/>
    <col min="9" max="9" width="11.28515625" style="36" bestFit="1" customWidth="1"/>
    <col min="10" max="10" width="1.7109375" style="36" customWidth="1"/>
    <col min="11" max="16384" width="9.140625" style="36"/>
  </cols>
  <sheetData>
    <row r="1" spans="2:9" ht="8.1" customHeight="1" x14ac:dyDescent="0.25"/>
    <row r="2" spans="2:9" s="67" customFormat="1" ht="39.950000000000003" customHeight="1" x14ac:dyDescent="0.25">
      <c r="B2" s="193" t="s">
        <v>484</v>
      </c>
      <c r="C2" s="193"/>
      <c r="D2" s="193"/>
      <c r="E2" s="193"/>
      <c r="F2" s="193"/>
      <c r="G2" s="193"/>
      <c r="H2" s="193"/>
      <c r="I2" s="193"/>
    </row>
    <row r="3" spans="2:9" s="67" customFormat="1" ht="8.1" customHeight="1" x14ac:dyDescent="0.25">
      <c r="B3" s="105"/>
      <c r="F3" s="156"/>
      <c r="G3" s="156"/>
      <c r="H3" s="156"/>
      <c r="I3" s="88"/>
    </row>
    <row r="4" spans="2:9" s="67" customFormat="1" ht="9.9499999999999993" customHeight="1" x14ac:dyDescent="0.25">
      <c r="B4" s="199" t="s">
        <v>482</v>
      </c>
      <c r="C4" s="202">
        <f>SUM(H:H)</f>
        <v>20000</v>
      </c>
      <c r="D4" s="203"/>
      <c r="F4" s="156"/>
      <c r="G4" s="156"/>
      <c r="H4" s="156"/>
      <c r="I4" s="88"/>
    </row>
    <row r="5" spans="2:9" s="67" customFormat="1" ht="9.9499999999999993" customHeight="1" x14ac:dyDescent="0.25">
      <c r="B5" s="200"/>
      <c r="C5" s="204"/>
      <c r="D5" s="205"/>
      <c r="F5" s="156"/>
      <c r="G5" s="156"/>
      <c r="H5" s="156"/>
      <c r="I5" s="88"/>
    </row>
    <row r="6" spans="2:9" s="67" customFormat="1" ht="9.9499999999999993" customHeight="1" x14ac:dyDescent="0.25">
      <c r="B6" s="200"/>
      <c r="C6" s="204"/>
      <c r="D6" s="205"/>
      <c r="F6" s="156"/>
      <c r="G6" s="156"/>
      <c r="H6" s="156"/>
      <c r="I6" s="88"/>
    </row>
    <row r="7" spans="2:9" s="67" customFormat="1" ht="9.9499999999999993" customHeight="1" x14ac:dyDescent="0.25">
      <c r="B7" s="200"/>
      <c r="C7" s="204"/>
      <c r="D7" s="205"/>
      <c r="F7" s="156"/>
      <c r="G7" s="156"/>
      <c r="H7" s="156"/>
      <c r="I7" s="88"/>
    </row>
    <row r="8" spans="2:9" s="67" customFormat="1" ht="9.9499999999999993" customHeight="1" x14ac:dyDescent="0.25">
      <c r="B8" s="200"/>
      <c r="C8" s="204"/>
      <c r="D8" s="205"/>
      <c r="F8" s="156"/>
      <c r="G8" s="156"/>
      <c r="H8" s="156"/>
      <c r="I8" s="88"/>
    </row>
    <row r="9" spans="2:9" s="67" customFormat="1" ht="9.9499999999999993" customHeight="1" x14ac:dyDescent="0.25">
      <c r="B9" s="201"/>
      <c r="C9" s="206"/>
      <c r="D9" s="207"/>
      <c r="F9" s="156"/>
      <c r="G9" s="156"/>
      <c r="H9" s="156"/>
      <c r="I9" s="88"/>
    </row>
    <row r="10" spans="2:9" s="67" customFormat="1" ht="8.1" customHeight="1" x14ac:dyDescent="0.25">
      <c r="B10" s="68"/>
      <c r="C10" s="69"/>
      <c r="D10" s="69"/>
      <c r="E10" s="69"/>
      <c r="F10" s="70"/>
      <c r="G10" s="70"/>
      <c r="H10" s="70"/>
      <c r="I10" s="92"/>
    </row>
    <row r="11" spans="2:9" s="157" customFormat="1" ht="42" customHeight="1" x14ac:dyDescent="0.25">
      <c r="B11" s="183" t="s">
        <v>353</v>
      </c>
      <c r="C11" s="183" t="s">
        <v>335</v>
      </c>
      <c r="D11" s="183" t="s">
        <v>533</v>
      </c>
      <c r="E11" s="183" t="s">
        <v>534</v>
      </c>
      <c r="F11" s="186" t="s">
        <v>290</v>
      </c>
      <c r="G11" s="192" t="s">
        <v>356</v>
      </c>
      <c r="H11" s="192" t="s">
        <v>355</v>
      </c>
      <c r="I11" s="192" t="s">
        <v>535</v>
      </c>
    </row>
    <row r="12" spans="2:9" ht="23.85" customHeight="1" x14ac:dyDescent="0.25">
      <c r="B12" s="184"/>
      <c r="C12" s="184"/>
      <c r="D12" s="184"/>
      <c r="E12" s="184"/>
      <c r="F12" s="184"/>
      <c r="G12" s="184"/>
      <c r="H12" s="184"/>
      <c r="I12" s="184"/>
    </row>
    <row r="13" spans="2:9" s="103" customFormat="1" hidden="1" x14ac:dyDescent="0.25">
      <c r="B13" s="60"/>
      <c r="C13" s="94"/>
      <c r="D13" s="95" t="str">
        <f>IFERROR(IF(VLOOKUP(C13,Overview!$B$30:$E$84,2,FALSE)=0,"",VLOOKUP(C13,Overview!$B$30:$E$84,2,FALSE)),"")</f>
        <v/>
      </c>
      <c r="E13" s="95" t="str">
        <f>IFERROR(IF(OR(VLOOKUP(C13,Overview!$B$30:$E$84,4,FALSE)="Country not found",VLOOKUP(C13,Overview!$B$30:$E$84,3,FALSE)=0),"",VLOOKUP(C13,Overview!$B$30:$E$84,3,FALSE)),"")</f>
        <v/>
      </c>
      <c r="F13" s="65"/>
      <c r="G13" s="106"/>
      <c r="H13" s="107">
        <f>IF(I13="Error",0,ROUND(G13,2))</f>
        <v>0</v>
      </c>
      <c r="I13" s="102" t="str">
        <f>IF(OR(COUNTIF(Rates!$J$13:$J$17,B13)=0,COUNTIF(Overview!$B$30:$B$84,C13)=0,D13="",E13="",F13="",ISNUMBER(G13)=FALSE,IF(ISNUMBER(G13)=TRUE,G13=INT(G13*100)/100=FALSE)),"Error","")</f>
        <v>Error</v>
      </c>
    </row>
    <row r="14" spans="2:9" s="103" customFormat="1" x14ac:dyDescent="0.25">
      <c r="B14" s="60" t="s">
        <v>366</v>
      </c>
      <c r="C14" s="94" t="s">
        <v>17</v>
      </c>
      <c r="D14" s="95" t="str">
        <f>IFERROR(IF(VLOOKUP(C14,Overview!$B$30:$E$84,2,FALSE)=0,"",VLOOKUP(C14,Overview!$B$30:$E$84,2,FALSE)),"")</f>
        <v>Wroclaw Technical University</v>
      </c>
      <c r="E14" s="95" t="str">
        <f>IFERROR(IF(OR(VLOOKUP(C14,Overview!$B$30:$E$84,4,FALSE)="Country not found",VLOOKUP(C14,Overview!$B$30:$E$84,3,FALSE)=0),"",VLOOKUP(C14,Overview!$B$30:$E$84,3,FALSE)),"")</f>
        <v>Poland</v>
      </c>
      <c r="F14" s="65" t="s">
        <v>594</v>
      </c>
      <c r="G14" s="106">
        <v>20000</v>
      </c>
      <c r="H14" s="107">
        <f>IF(I14="Error",0,ROUND(G14,2))</f>
        <v>20000</v>
      </c>
      <c r="I14" s="102" t="str">
        <f>IF(OR(COUNTIF(Rates!$J$13:$J$17,B14)=0,COUNTIF(Overview!$B$30:$B$84,C14)=0,D14="",E14="",F14="",ISNUMBER(G14)=FALSE,IF(ISNUMBER(G14)=TRUE,G14=INT(G14*100)/100=FALSE)),"Error","")</f>
        <v/>
      </c>
    </row>
  </sheetData>
  <sheetProtection password="E359" sheet="1" objects="1" scenarios="1" selectLockedCells="1"/>
  <dataConsolidate/>
  <mergeCells count="11">
    <mergeCell ref="I11:I12"/>
    <mergeCell ref="B2:I2"/>
    <mergeCell ref="H11:H12"/>
    <mergeCell ref="B4:B9"/>
    <mergeCell ref="C4:D9"/>
    <mergeCell ref="B11:B12"/>
    <mergeCell ref="C11:C12"/>
    <mergeCell ref="D11:D12"/>
    <mergeCell ref="E11:E12"/>
    <mergeCell ref="F11:F12"/>
    <mergeCell ref="G11:G12"/>
  </mergeCells>
  <conditionalFormatting sqref="I13:I14">
    <cfRule type="containsText" dxfId="105" priority="82" operator="containsText" text="Error">
      <formula>NOT(ISERROR(SEARCH("Error",I13)))</formula>
    </cfRule>
  </conditionalFormatting>
  <conditionalFormatting sqref="D13:E14">
    <cfRule type="containsBlanks" dxfId="104" priority="76">
      <formula>LEN(TRIM(D13))=0</formula>
    </cfRule>
  </conditionalFormatting>
  <dataValidations count="2">
    <dataValidation type="custom" allowBlank="1" showInputMessage="1" showErrorMessage="1" error="Format error (2 decimals only)" prompt="Please encode amount (2 decimals only)" sqref="G13:G14">
      <formula1>G13=INT(G13*100)/100</formula1>
    </dataValidation>
    <dataValidation allowBlank="1" showInputMessage="1" showErrorMessage="1" error="Please encode Nature, type and specifications" prompt="Please encode Nature, type and specifications" sqref="F13:F14"/>
  </dataValidations>
  <printOptions horizontalCentered="1"/>
  <pageMargins left="0.23622047244094491" right="0.23622047244094491" top="0.39370078740157483" bottom="0.94488188976377963" header="0.31496062992125984" footer="0.31496062992125984"/>
  <pageSetup paperSize="9" scale="44" orientation="landscape" r:id="rId1"/>
  <headerFooter>
    <oddFooter xml:space="preserve">&amp;CPage &amp;P of 3
</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34823" r:id="rId4" name="Button 1">
              <controlPr defaultSize="0" print="0" autoFill="0" autoPict="0" macro="[0]!AddRow">
                <anchor moveWithCells="1" sizeWithCells="1">
                  <from>
                    <xdr:col>1</xdr:col>
                    <xdr:colOff>85725</xdr:colOff>
                    <xdr:row>1</xdr:row>
                    <xdr:rowOff>76200</xdr:rowOff>
                  </from>
                  <to>
                    <xdr:col>1</xdr:col>
                    <xdr:colOff>1066800</xdr:colOff>
                    <xdr:row>1</xdr:row>
                    <xdr:rowOff>438150</xdr:rowOff>
                  </to>
                </anchor>
              </controlPr>
            </control>
          </mc:Choice>
        </mc:AlternateContent>
        <mc:AlternateContent xmlns:mc="http://schemas.openxmlformats.org/markup-compatibility/2006">
          <mc:Choice Requires="x14">
            <control shapeId="34824" r:id="rId5" name="Button 2">
              <controlPr defaultSize="0" print="0" autoFill="0" autoPict="0" macro="[0]!DeleteRow">
                <anchor moveWithCells="1" sizeWithCells="1">
                  <from>
                    <xdr:col>1</xdr:col>
                    <xdr:colOff>1123950</xdr:colOff>
                    <xdr:row>1</xdr:row>
                    <xdr:rowOff>76200</xdr:rowOff>
                  </from>
                  <to>
                    <xdr:col>2</xdr:col>
                    <xdr:colOff>57150</xdr:colOff>
                    <xdr:row>1</xdr:row>
                    <xdr:rowOff>438150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
        <x14:dataValidation type="list" allowBlank="1" showInputMessage="1" showErrorMessage="1" error="Click arrow to select Work Package" prompt="Click arrow to select Work Package">
          <x14:formula1>
            <xm:f>Rates!$J$13:$J$17</xm:f>
          </x14:formula1>
          <xm:sqref>B13:B14</xm:sqref>
        </x14:dataValidation>
        <x14:dataValidation type="list" allowBlank="1" showInputMessage="1" showErrorMessage="1" error="Click arrow to select Partner N°" prompt="Click arrow to select Partner N°">
          <x14:formula1>
            <xm:f>Overview!$B$30:$B$84</xm:f>
          </x14:formula1>
          <xm:sqref>C13:C14</xm:sqref>
        </x14:dataValidation>
      </x14:dataValidations>
    </ext>
  </extLs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tabColor theme="9" tint="-0.249977111117893"/>
  </sheetPr>
  <dimension ref="B1:R14"/>
  <sheetViews>
    <sheetView showGridLines="0" zoomScale="85" zoomScaleNormal="85" zoomScaleSheetLayoutView="85" workbookViewId="0">
      <pane ySplit="13" topLeftCell="A14" activePane="bottomLeft" state="frozen"/>
      <selection pane="bottomLeft" activeCell="B14" sqref="B14"/>
    </sheetView>
  </sheetViews>
  <sheetFormatPr defaultColWidth="9.140625" defaultRowHeight="18" x14ac:dyDescent="0.25"/>
  <cols>
    <col min="1" max="1" width="1.7109375" style="36" customWidth="1"/>
    <col min="2" max="2" width="28.7109375" style="36" customWidth="1"/>
    <col min="3" max="4" width="50.7109375" style="36" customWidth="1"/>
    <col min="5" max="5" width="40.7109375" style="36" customWidth="1"/>
    <col min="6" max="6" width="30.7109375" style="36" customWidth="1"/>
    <col min="7" max="7" width="14.28515625" style="36" bestFit="1" customWidth="1"/>
    <col min="8" max="8" width="40.7109375" style="36" customWidth="1"/>
    <col min="9" max="9" width="30.7109375" style="36" customWidth="1"/>
    <col min="10" max="10" width="24.7109375" style="36" bestFit="1" customWidth="1"/>
    <col min="11" max="11" width="14.7109375" style="36" customWidth="1"/>
    <col min="12" max="14" width="20.7109375" style="36" customWidth="1"/>
    <col min="15" max="15" width="11.7109375" style="36" bestFit="1" customWidth="1"/>
    <col min="16" max="18" width="1.7109375" style="114" hidden="1" customWidth="1"/>
    <col min="19" max="19" width="1.7109375" style="36" customWidth="1"/>
    <col min="20" max="16384" width="9.140625" style="36"/>
  </cols>
  <sheetData>
    <row r="1" spans="2:18" ht="8.1" customHeight="1" x14ac:dyDescent="0.25"/>
    <row r="2" spans="2:18" s="67" customFormat="1" ht="39.950000000000003" customHeight="1" x14ac:dyDescent="0.25">
      <c r="B2" s="193" t="s">
        <v>562</v>
      </c>
      <c r="C2" s="193"/>
      <c r="D2" s="193"/>
      <c r="E2" s="193"/>
      <c r="F2" s="193"/>
      <c r="G2" s="193"/>
      <c r="H2" s="193"/>
      <c r="I2" s="193"/>
      <c r="J2" s="193"/>
      <c r="K2" s="193"/>
      <c r="L2" s="193"/>
      <c r="M2" s="193"/>
      <c r="N2" s="193"/>
      <c r="O2" s="193"/>
      <c r="P2" s="115"/>
      <c r="Q2" s="115"/>
      <c r="R2" s="115"/>
    </row>
    <row r="3" spans="2:18" s="67" customFormat="1" ht="8.1" customHeight="1" x14ac:dyDescent="0.25">
      <c r="B3" s="105"/>
      <c r="C3" s="156"/>
      <c r="D3" s="156"/>
      <c r="E3" s="156"/>
      <c r="F3" s="156"/>
      <c r="G3" s="156"/>
      <c r="H3" s="156"/>
      <c r="I3" s="156"/>
      <c r="J3" s="156"/>
      <c r="K3" s="156"/>
      <c r="L3" s="156"/>
      <c r="M3" s="156"/>
      <c r="N3" s="156"/>
      <c r="O3" s="88"/>
      <c r="P3" s="115"/>
      <c r="Q3" s="115"/>
      <c r="R3" s="115"/>
    </row>
    <row r="4" spans="2:18" s="67" customFormat="1" ht="9.9499999999999993" customHeight="1" x14ac:dyDescent="0.25">
      <c r="B4" s="197" t="s">
        <v>345</v>
      </c>
      <c r="C4" s="198">
        <f>SUM(L:L)</f>
        <v>0</v>
      </c>
      <c r="D4" s="116"/>
      <c r="E4" s="156"/>
      <c r="F4" s="156"/>
      <c r="G4" s="156"/>
      <c r="H4" s="156"/>
      <c r="I4" s="156"/>
      <c r="J4" s="156"/>
      <c r="K4" s="156"/>
      <c r="L4" s="156"/>
      <c r="M4" s="156"/>
      <c r="N4" s="156"/>
      <c r="O4" s="88"/>
      <c r="P4" s="115"/>
      <c r="Q4" s="115"/>
      <c r="R4" s="115"/>
    </row>
    <row r="5" spans="2:18" s="67" customFormat="1" ht="9.9499999999999993" customHeight="1" x14ac:dyDescent="0.25">
      <c r="B5" s="197"/>
      <c r="C5" s="198"/>
      <c r="D5" s="116"/>
      <c r="E5" s="156"/>
      <c r="F5" s="156"/>
      <c r="G5" s="156"/>
      <c r="H5" s="156"/>
      <c r="I5" s="156"/>
      <c r="J5" s="156"/>
      <c r="K5" s="156"/>
      <c r="L5" s="156"/>
      <c r="M5" s="156"/>
      <c r="N5" s="156"/>
      <c r="O5" s="88"/>
      <c r="P5" s="115"/>
      <c r="Q5" s="115"/>
      <c r="R5" s="115"/>
    </row>
    <row r="6" spans="2:18" s="67" customFormat="1" ht="9.9499999999999993" customHeight="1" x14ac:dyDescent="0.25">
      <c r="B6" s="197" t="s">
        <v>485</v>
      </c>
      <c r="C6" s="198">
        <f>SUM(M:M)</f>
        <v>0</v>
      </c>
      <c r="D6" s="116"/>
      <c r="E6" s="156"/>
      <c r="F6" s="156"/>
      <c r="G6" s="156"/>
      <c r="H6" s="156"/>
      <c r="I6" s="156"/>
      <c r="J6" s="156"/>
      <c r="K6" s="156"/>
      <c r="L6" s="156"/>
      <c r="M6" s="156"/>
      <c r="N6" s="156"/>
      <c r="O6" s="88"/>
      <c r="P6" s="115"/>
      <c r="Q6" s="115"/>
      <c r="R6" s="115"/>
    </row>
    <row r="7" spans="2:18" s="67" customFormat="1" ht="9.9499999999999993" customHeight="1" x14ac:dyDescent="0.25">
      <c r="B7" s="197"/>
      <c r="C7" s="198"/>
      <c r="D7" s="116"/>
      <c r="E7" s="156"/>
      <c r="F7" s="156"/>
      <c r="G7" s="156"/>
      <c r="H7" s="156"/>
      <c r="I7" s="156"/>
      <c r="J7" s="156"/>
      <c r="K7" s="156"/>
      <c r="L7" s="156"/>
      <c r="M7" s="156"/>
      <c r="N7" s="156"/>
      <c r="O7" s="88"/>
      <c r="P7" s="115"/>
      <c r="Q7" s="115"/>
      <c r="R7" s="115"/>
    </row>
    <row r="8" spans="2:18" s="67" customFormat="1" ht="9.9499999999999993" customHeight="1" x14ac:dyDescent="0.25">
      <c r="B8" s="197" t="s">
        <v>482</v>
      </c>
      <c r="C8" s="198">
        <f>C4+C6</f>
        <v>0</v>
      </c>
      <c r="D8" s="116"/>
      <c r="E8" s="156"/>
      <c r="F8" s="156"/>
      <c r="G8" s="156"/>
      <c r="H8" s="156"/>
      <c r="I8" s="156"/>
      <c r="J8" s="156"/>
      <c r="K8" s="156"/>
      <c r="L8" s="156"/>
      <c r="M8" s="156"/>
      <c r="N8" s="156"/>
      <c r="O8" s="88"/>
      <c r="P8" s="115"/>
      <c r="Q8" s="115"/>
      <c r="R8" s="115"/>
    </row>
    <row r="9" spans="2:18" s="67" customFormat="1" ht="9.9499999999999993" customHeight="1" x14ac:dyDescent="0.25">
      <c r="B9" s="197"/>
      <c r="C9" s="198"/>
      <c r="D9" s="116"/>
      <c r="E9" s="156"/>
      <c r="F9" s="156"/>
      <c r="G9" s="156"/>
      <c r="H9" s="156"/>
      <c r="I9" s="156"/>
      <c r="J9" s="156"/>
      <c r="K9" s="156"/>
      <c r="L9" s="156"/>
      <c r="M9" s="156"/>
      <c r="N9" s="156"/>
      <c r="O9" s="88"/>
      <c r="P9" s="115"/>
      <c r="Q9" s="115"/>
      <c r="R9" s="115"/>
    </row>
    <row r="10" spans="2:18" s="67" customFormat="1" ht="8.1" customHeight="1" x14ac:dyDescent="0.25">
      <c r="B10" s="68"/>
      <c r="C10" s="70"/>
      <c r="D10" s="70"/>
      <c r="E10" s="70"/>
      <c r="F10" s="70"/>
      <c r="G10" s="70"/>
      <c r="H10" s="70"/>
      <c r="I10" s="70"/>
      <c r="J10" s="70"/>
      <c r="K10" s="70"/>
      <c r="L10" s="70"/>
      <c r="M10" s="70"/>
      <c r="N10" s="70"/>
      <c r="O10" s="92"/>
      <c r="P10" s="115"/>
      <c r="Q10" s="115"/>
      <c r="R10" s="115"/>
    </row>
    <row r="11" spans="2:18" s="157" customFormat="1" ht="42" customHeight="1" x14ac:dyDescent="0.25">
      <c r="B11" s="183" t="s">
        <v>335</v>
      </c>
      <c r="C11" s="183" t="s">
        <v>533</v>
      </c>
      <c r="D11" s="183" t="s">
        <v>534</v>
      </c>
      <c r="E11" s="186" t="s">
        <v>513</v>
      </c>
      <c r="F11" s="186" t="s">
        <v>540</v>
      </c>
      <c r="G11" s="183" t="s">
        <v>525</v>
      </c>
      <c r="H11" s="194" t="s">
        <v>526</v>
      </c>
      <c r="I11" s="194" t="s">
        <v>541</v>
      </c>
      <c r="J11" s="186" t="s">
        <v>524</v>
      </c>
      <c r="K11" s="183" t="s">
        <v>517</v>
      </c>
      <c r="L11" s="196" t="s">
        <v>363</v>
      </c>
      <c r="M11" s="183" t="s">
        <v>487</v>
      </c>
      <c r="N11" s="192" t="s">
        <v>354</v>
      </c>
      <c r="O11" s="192" t="s">
        <v>535</v>
      </c>
      <c r="P11" s="117"/>
      <c r="Q11" s="117"/>
      <c r="R11" s="117"/>
    </row>
    <row r="12" spans="2:18" ht="23.85" customHeight="1" x14ac:dyDescent="0.25">
      <c r="B12" s="184"/>
      <c r="C12" s="184"/>
      <c r="D12" s="184"/>
      <c r="E12" s="184"/>
      <c r="F12" s="184"/>
      <c r="G12" s="184"/>
      <c r="H12" s="195"/>
      <c r="I12" s="195"/>
      <c r="J12" s="184"/>
      <c r="K12" s="184"/>
      <c r="L12" s="195"/>
      <c r="M12" s="184"/>
      <c r="N12" s="184"/>
      <c r="O12" s="184"/>
    </row>
    <row r="13" spans="2:18" hidden="1" x14ac:dyDescent="0.25">
      <c r="B13" s="94"/>
      <c r="C13" s="95" t="str">
        <f>IFERROR(IF(VLOOKUP(B13,Overview!$B$30:$E$84,2,FALSE)=0,"",VLOOKUP(B13,Overview!$B$30:$E$84,2,FALSE)),"")</f>
        <v/>
      </c>
      <c r="D13" s="95" t="str">
        <f>IFERROR(IF(OR(VLOOKUP(B13,Overview!$B$30:$E$84,4,FALSE)="Country not found",VLOOKUP(B13,Overview!$B$30:$E$84,3,FALSE)=0),"",VLOOKUP(B13,Overview!$B$30:$E$84,3,FALSE)),"")</f>
        <v/>
      </c>
      <c r="E13" s="118" t="str">
        <f>IF(D13="","",CONCATENATE("Students from"," ",VLOOKUP(D13,Rates!$B$5:$D$105,3,FALSE)))</f>
        <v/>
      </c>
      <c r="F13" s="108"/>
      <c r="G13" s="110"/>
      <c r="H13" s="109"/>
      <c r="I13" s="108"/>
      <c r="J13" s="108"/>
      <c r="K13" s="110"/>
      <c r="L13" s="111">
        <f>IF(O13="Error",0,ROUND(ROUND(G13,0)*(VLOOKUP(J13,Rates!$J$5:$K$10,2,FALSE)),2))</f>
        <v>0</v>
      </c>
      <c r="M13" s="112">
        <f>IF(O13="Error",0,ROUND(ROUND(G13,0)*(ROUND(K13,0)*(INDEX(SubRates,MATCH(H13,SubCountry,0),MATCH(E13,SubCat,0)))),2))</f>
        <v>0</v>
      </c>
      <c r="N13" s="113">
        <f t="shared" ref="N13" si="0">L13+M13</f>
        <v>0</v>
      </c>
      <c r="O13" s="102" t="str">
        <f>IF(OR(COUNTIF(Overview!$B$30:$B$84,B13)=0,C13="",D13="",COUNTIF(SubCountry,D13)=0,E13="",F13="",ISNUMBER(G13)=FALSE,COUNTIF(SubCountry,H13)=0,I13="",COUNTIF(Rates!$J$5:$J$10,J13)=0,ISNUMBER(K13)=FALSE,OR(K13&lt;2,K13&gt;12),P13=1,IF(ISNUMBER(G13)=TRUE,G13=INT(G13*1)/1=FALSE),IF(ISNUMBER(K13)=TRUE,K13=INT(K13*1)/1=FALSE)),"Error","")</f>
        <v>Error</v>
      </c>
      <c r="P13" s="114">
        <f>IF(AND(COUNTIF(Rates!$M$5:$M$37,D13)=1,COUNTIF(Rates!$M$5:$M$37,H13)=1),1,0)</f>
        <v>0</v>
      </c>
      <c r="Q13" s="114">
        <f>IF(AND(D13&lt;&gt;"",COUNTIF(SubCountry,D13)=0),1,0)</f>
        <v>0</v>
      </c>
      <c r="R13" s="114">
        <f>IF(AND(H13&lt;&gt;"",COUNTIF(SubCountry,H13)=0),1,0)</f>
        <v>0</v>
      </c>
    </row>
    <row r="14" spans="2:18" x14ac:dyDescent="0.25">
      <c r="B14" s="94"/>
      <c r="C14" s="95" t="str">
        <f>IFERROR(IF(VLOOKUP(B14,Overview!$B$30:$E$84,2,FALSE)=0,"",VLOOKUP(B14,Overview!$B$30:$E$84,2,FALSE)),"")</f>
        <v/>
      </c>
      <c r="D14" s="95" t="str">
        <f>IFERROR(IF(OR(VLOOKUP(B14,Overview!$B$30:$E$84,4,FALSE)="Country not found",VLOOKUP(B14,Overview!$B$30:$E$84,3,FALSE)=0),"",VLOOKUP(B14,Overview!$B$30:$E$84,3,FALSE)),"")</f>
        <v/>
      </c>
      <c r="E14" s="118" t="str">
        <f>IF(D14="","",CONCATENATE("Students from"," ",VLOOKUP(D14,Rates!$B$5:$D$105,3,FALSE)))</f>
        <v/>
      </c>
      <c r="F14" s="108"/>
      <c r="G14" s="110"/>
      <c r="H14" s="109"/>
      <c r="I14" s="108"/>
      <c r="J14" s="108"/>
      <c r="K14" s="110"/>
      <c r="L14" s="111">
        <f>IF(O14="Error",0,ROUND(ROUND(G14,0)*(VLOOKUP(J14,Rates!$J$5:$K$10,2,FALSE)),2))</f>
        <v>0</v>
      </c>
      <c r="M14" s="112">
        <f>IF(O14="Error",0,ROUND(ROUND(G14,0)*(ROUND(K14,0)*(INDEX(SubRates,MATCH(H14,SubCountry,0),MATCH(E14,SubCat,0)))),2))</f>
        <v>0</v>
      </c>
      <c r="N14" s="113">
        <f t="shared" ref="N14" si="1">L14+M14</f>
        <v>0</v>
      </c>
      <c r="O14" s="102" t="str">
        <f>IF(OR(COUNTIF(Overview!$B$30:$B$84,B14)=0,C14="",D14="",COUNTIF(SubCountry,D14)=0,E14="",F14="",ISNUMBER(G14)=FALSE,COUNTIF(SubCountry,H14)=0,I14="",COUNTIF(Rates!$J$5:$J$10,J14)=0,ISNUMBER(K14)=FALSE,OR(K14&lt;2,K14&gt;12),P14=1,IF(ISNUMBER(G14)=TRUE,G14=INT(G14*1)/1=FALSE),IF(ISNUMBER(K14)=TRUE,K14=INT(K14*1)/1=FALSE)),"Error","")</f>
        <v>Error</v>
      </c>
      <c r="P14" s="114">
        <f>IF(AND(COUNTIF(Rates!$M$5:$M$37,D14)=1,COUNTIF(Rates!$M$5:$M$37,H14)=1),1,0)</f>
        <v>0</v>
      </c>
      <c r="Q14" s="114">
        <f>IF(AND(D14&lt;&gt;"",COUNTIF(SubCountry,D14)=0),1,0)</f>
        <v>0</v>
      </c>
      <c r="R14" s="114">
        <f>IF(AND(H14&lt;&gt;"",COUNTIF(SubCountry,H14)=0),1,0)</f>
        <v>0</v>
      </c>
    </row>
  </sheetData>
  <sheetProtection password="E359" sheet="1" objects="1" scenarios="1" selectLockedCells="1"/>
  <dataConsolidate/>
  <mergeCells count="21">
    <mergeCell ref="O11:O12"/>
    <mergeCell ref="B2:O2"/>
    <mergeCell ref="K11:K12"/>
    <mergeCell ref="L11:L12"/>
    <mergeCell ref="M11:M12"/>
    <mergeCell ref="N11:N12"/>
    <mergeCell ref="I11:I12"/>
    <mergeCell ref="J11:J12"/>
    <mergeCell ref="B4:B5"/>
    <mergeCell ref="C4:C5"/>
    <mergeCell ref="B6:B7"/>
    <mergeCell ref="C6:C7"/>
    <mergeCell ref="B8:B9"/>
    <mergeCell ref="C8:C9"/>
    <mergeCell ref="F11:F12"/>
    <mergeCell ref="H11:H12"/>
    <mergeCell ref="B11:B12"/>
    <mergeCell ref="C11:C12"/>
    <mergeCell ref="D11:D12"/>
    <mergeCell ref="E11:E12"/>
    <mergeCell ref="G11:G12"/>
  </mergeCells>
  <conditionalFormatting sqref="O13:O14">
    <cfRule type="containsText" dxfId="103" priority="149" operator="containsText" text="Error">
      <formula>NOT(ISERROR(SEARCH("Error",O13)))</formula>
    </cfRule>
  </conditionalFormatting>
  <conditionalFormatting sqref="C13:E14">
    <cfRule type="containsBlanks" dxfId="102" priority="43">
      <formula>LEN(TRIM(C13))=0</formula>
    </cfRule>
  </conditionalFormatting>
  <conditionalFormatting sqref="D11:D12">
    <cfRule type="expression" dxfId="101" priority="44">
      <formula>OR(COUNTIF($P:$P,1),COUNTIF($Q:$Q,1))</formula>
    </cfRule>
  </conditionalFormatting>
  <conditionalFormatting sqref="D13">
    <cfRule type="expression" dxfId="100" priority="45">
      <formula>OR(COUNTIF(P13,1),COUNTIF(Q13,1))</formula>
    </cfRule>
  </conditionalFormatting>
  <conditionalFormatting sqref="D14">
    <cfRule type="expression" dxfId="99" priority="140">
      <formula>OR(COUNTIF(P14,1),COUNTIF(Q14,1))</formula>
    </cfRule>
  </conditionalFormatting>
  <conditionalFormatting sqref="H11:H12">
    <cfRule type="expression" dxfId="98" priority="142">
      <formula>OR(COUNTIF($P:$P,1),COUNTIF($R:$R,1))</formula>
    </cfRule>
  </conditionalFormatting>
  <dataValidations count="6">
    <dataValidation allowBlank="1" showInputMessage="1" errorTitle="Warning: Max Ceilings exceeded" error="Please be aware that this exceed the &quot;Ceilings&quot; for the maximum amounts for staff cost by country" sqref="L13:L14"/>
    <dataValidation type="whole" allowBlank="1" showInputMessage="1" showErrorMessage="1" error="Format error (whole number only)" prompt="Please encode number (whole number only)" sqref="G13:G14">
      <formula1>0</formula1>
      <formula2>50000</formula2>
    </dataValidation>
    <dataValidation allowBlank="1" showInputMessage="1" showErrorMessage="1" error="Please encode City of Departure" prompt="Please encode City of Departure" sqref="F13:F14"/>
    <dataValidation allowBlank="1" showInputMessage="1" showErrorMessage="1" error="Please encode City of Destination" prompt="Please encode City of Destination" sqref="I13:I14"/>
    <dataValidation allowBlank="1" sqref="E13:E14"/>
    <dataValidation type="list" allowBlank="1" showInputMessage="1" showErrorMessage="1" error="Click arrow to select Receiving Country" prompt="Click arrow to select Receiving Country" sqref="H13:H14">
      <formula1>SubCountry</formula1>
    </dataValidation>
  </dataValidations>
  <printOptions horizontalCentered="1"/>
  <pageMargins left="0.23622047244094491" right="0.23622047244094491" top="0.39370078740157483" bottom="0.94488188976377963" header="0.31496062992125984" footer="0.31496062992125984"/>
  <pageSetup paperSize="9" scale="35" orientation="landscape" r:id="rId1"/>
  <headerFooter>
    <oddFooter xml:space="preserve">&amp;CPage &amp;P of 3
</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23568" r:id="rId4" name="Button 3">
              <controlPr defaultSize="0" print="0" autoFill="0" autoPict="0" macro="[0]!Button3_Click">
                <anchor moveWithCells="1" sizeWithCells="1">
                  <from>
                    <xdr:col>2</xdr:col>
                    <xdr:colOff>247650</xdr:colOff>
                    <xdr:row>1</xdr:row>
                    <xdr:rowOff>76200</xdr:rowOff>
                  </from>
                  <to>
                    <xdr:col>2</xdr:col>
                    <xdr:colOff>1638300</xdr:colOff>
                    <xdr:row>1</xdr:row>
                    <xdr:rowOff>438150</xdr:rowOff>
                  </to>
                </anchor>
              </controlPr>
            </control>
          </mc:Choice>
        </mc:AlternateContent>
        <mc:AlternateContent xmlns:mc="http://schemas.openxmlformats.org/markup-compatibility/2006">
          <mc:Choice Requires="x14">
            <control shapeId="23569" r:id="rId5" name="Button 1">
              <controlPr defaultSize="0" print="0" autoFill="0" autoPict="0" macro="[0]!AddRow">
                <anchor moveWithCells="1" sizeWithCells="1">
                  <from>
                    <xdr:col>1</xdr:col>
                    <xdr:colOff>85725</xdr:colOff>
                    <xdr:row>1</xdr:row>
                    <xdr:rowOff>76200</xdr:rowOff>
                  </from>
                  <to>
                    <xdr:col>1</xdr:col>
                    <xdr:colOff>1066800</xdr:colOff>
                    <xdr:row>1</xdr:row>
                    <xdr:rowOff>438150</xdr:rowOff>
                  </to>
                </anchor>
              </controlPr>
            </control>
          </mc:Choice>
        </mc:AlternateContent>
        <mc:AlternateContent xmlns:mc="http://schemas.openxmlformats.org/markup-compatibility/2006">
          <mc:Choice Requires="x14">
            <control shapeId="23570" r:id="rId6" name="Button 2">
              <controlPr defaultSize="0" print="0" autoFill="0" autoPict="0" macro="[0]!DeleteRow">
                <anchor moveWithCells="1" sizeWithCells="1">
                  <from>
                    <xdr:col>1</xdr:col>
                    <xdr:colOff>1123950</xdr:colOff>
                    <xdr:row>1</xdr:row>
                    <xdr:rowOff>76200</xdr:rowOff>
                  </from>
                  <to>
                    <xdr:col>2</xdr:col>
                    <xdr:colOff>190500</xdr:colOff>
                    <xdr:row>1</xdr:row>
                    <xdr:rowOff>438150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3">
        <x14:dataValidation type="list" allowBlank="1" showInputMessage="1" showErrorMessage="1" error="Click arrow to select Partner N°" prompt="Click arrow to select Partner N°">
          <x14:formula1>
            <xm:f>Overview!$B$30:$B$84</xm:f>
          </x14:formula1>
          <xm:sqref>B13:B14</xm:sqref>
        </x14:dataValidation>
        <x14:dataValidation type="list" allowBlank="1" showInputMessage="1" showErrorMessage="1" error="Click arrow to select Distance" prompt="Click arrow to select Distance">
          <x14:formula1>
            <xm:f>Rates!$J$5:$J$10</xm:f>
          </x14:formula1>
          <xm:sqref>J13:J14</xm:sqref>
        </x14:dataValidation>
        <x14:dataValidation type="list" allowBlank="1" showInputMessage="1" showErrorMessage="1" error="Please click to select Number of Months - Min 2 months / Max 12 months" prompt="Please click to select Number of Months - Min 2 months / Max 12 months">
          <x14:formula1>
            <xm:f>Rates!$U$6:$U$16</xm:f>
          </x14:formula1>
          <xm:sqref>K13:K14</xm:sqref>
        </x14:dataValidation>
      </x14:dataValidations>
    </ext>
  </extLs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tabColor theme="9" tint="-0.249977111117893"/>
  </sheetPr>
  <dimension ref="B1:R14"/>
  <sheetViews>
    <sheetView showGridLines="0" zoomScale="85" zoomScaleNormal="85" zoomScaleSheetLayoutView="85" workbookViewId="0">
      <pane ySplit="13" topLeftCell="A14" activePane="bottomLeft" state="frozen"/>
      <selection pane="bottomLeft" activeCell="B14" sqref="B14"/>
    </sheetView>
  </sheetViews>
  <sheetFormatPr defaultColWidth="9.140625" defaultRowHeight="18" x14ac:dyDescent="0.25"/>
  <cols>
    <col min="1" max="1" width="1.7109375" style="36" customWidth="1"/>
    <col min="2" max="2" width="28.7109375" style="36" customWidth="1"/>
    <col min="3" max="4" width="50.7109375" style="36" customWidth="1"/>
    <col min="5" max="5" width="40.7109375" style="36" customWidth="1"/>
    <col min="6" max="6" width="30.7109375" style="36" customWidth="1"/>
    <col min="7" max="7" width="14.28515625" style="36" bestFit="1" customWidth="1"/>
    <col min="8" max="8" width="40.7109375" style="36" customWidth="1"/>
    <col min="9" max="9" width="30.7109375" style="36" customWidth="1"/>
    <col min="10" max="10" width="24.7109375" style="36" customWidth="1"/>
    <col min="11" max="11" width="14.7109375" style="36" customWidth="1"/>
    <col min="12" max="14" width="20.7109375" style="36" customWidth="1"/>
    <col min="15" max="15" width="11.7109375" style="36" customWidth="1"/>
    <col min="16" max="18" width="1.7109375" style="114" hidden="1" customWidth="1"/>
    <col min="19" max="19" width="1.7109375" style="36" customWidth="1"/>
    <col min="20" max="16384" width="9.140625" style="36"/>
  </cols>
  <sheetData>
    <row r="1" spans="2:18" ht="8.1" customHeight="1" x14ac:dyDescent="0.25"/>
    <row r="2" spans="2:18" s="67" customFormat="1" ht="39.950000000000003" customHeight="1" x14ac:dyDescent="0.25">
      <c r="B2" s="193" t="s">
        <v>563</v>
      </c>
      <c r="C2" s="193"/>
      <c r="D2" s="193"/>
      <c r="E2" s="193"/>
      <c r="F2" s="193"/>
      <c r="G2" s="193"/>
      <c r="H2" s="193"/>
      <c r="I2" s="193"/>
      <c r="J2" s="193"/>
      <c r="K2" s="193"/>
      <c r="L2" s="193"/>
      <c r="M2" s="193"/>
      <c r="N2" s="193"/>
      <c r="O2" s="193"/>
      <c r="P2" s="115"/>
      <c r="Q2" s="115"/>
      <c r="R2" s="115"/>
    </row>
    <row r="3" spans="2:18" s="67" customFormat="1" ht="8.1" customHeight="1" x14ac:dyDescent="0.25">
      <c r="B3" s="105"/>
      <c r="C3" s="156"/>
      <c r="D3" s="156"/>
      <c r="E3" s="156"/>
      <c r="F3" s="156"/>
      <c r="G3" s="156"/>
      <c r="H3" s="156"/>
      <c r="I3" s="156"/>
      <c r="J3" s="156"/>
      <c r="K3" s="156"/>
      <c r="L3" s="156"/>
      <c r="M3" s="156"/>
      <c r="N3" s="156"/>
      <c r="O3" s="88"/>
      <c r="P3" s="115"/>
      <c r="Q3" s="115"/>
      <c r="R3" s="115"/>
    </row>
    <row r="4" spans="2:18" s="67" customFormat="1" ht="9.9499999999999993" customHeight="1" x14ac:dyDescent="0.25">
      <c r="B4" s="197" t="s">
        <v>345</v>
      </c>
      <c r="C4" s="198">
        <f>SUM(L:L)</f>
        <v>0</v>
      </c>
      <c r="D4" s="116"/>
      <c r="E4" s="156"/>
      <c r="F4" s="156"/>
      <c r="G4" s="156"/>
      <c r="H4" s="156"/>
      <c r="I4" s="156"/>
      <c r="J4" s="156"/>
      <c r="K4" s="156"/>
      <c r="L4" s="156"/>
      <c r="M4" s="156"/>
      <c r="N4" s="156"/>
      <c r="O4" s="88"/>
      <c r="P4" s="115"/>
      <c r="Q4" s="115"/>
      <c r="R4" s="115"/>
    </row>
    <row r="5" spans="2:18" s="67" customFormat="1" ht="9.9499999999999993" customHeight="1" x14ac:dyDescent="0.25">
      <c r="B5" s="197"/>
      <c r="C5" s="198"/>
      <c r="D5" s="116"/>
      <c r="E5" s="156"/>
      <c r="F5" s="156"/>
      <c r="G5" s="156"/>
      <c r="H5" s="156"/>
      <c r="I5" s="156"/>
      <c r="J5" s="156"/>
      <c r="K5" s="156"/>
      <c r="L5" s="156"/>
      <c r="M5" s="156"/>
      <c r="N5" s="156"/>
      <c r="O5" s="88"/>
      <c r="P5" s="115"/>
      <c r="Q5" s="115"/>
      <c r="R5" s="115"/>
    </row>
    <row r="6" spans="2:18" s="67" customFormat="1" ht="9.9499999999999993" customHeight="1" x14ac:dyDescent="0.25">
      <c r="B6" s="197" t="s">
        <v>485</v>
      </c>
      <c r="C6" s="198">
        <f>SUM(M:M)</f>
        <v>0</v>
      </c>
      <c r="D6" s="116"/>
      <c r="E6" s="156"/>
      <c r="F6" s="156"/>
      <c r="G6" s="156"/>
      <c r="H6" s="156"/>
      <c r="I6" s="156"/>
      <c r="J6" s="156"/>
      <c r="K6" s="156"/>
      <c r="L6" s="156"/>
      <c r="M6" s="156"/>
      <c r="N6" s="156"/>
      <c r="O6" s="88"/>
      <c r="P6" s="115"/>
      <c r="Q6" s="115"/>
      <c r="R6" s="115"/>
    </row>
    <row r="7" spans="2:18" s="67" customFormat="1" ht="9.9499999999999993" customHeight="1" x14ac:dyDescent="0.25">
      <c r="B7" s="197"/>
      <c r="C7" s="198"/>
      <c r="D7" s="116"/>
      <c r="E7" s="156"/>
      <c r="F7" s="156"/>
      <c r="G7" s="156"/>
      <c r="H7" s="156"/>
      <c r="I7" s="156"/>
      <c r="J7" s="156"/>
      <c r="K7" s="156"/>
      <c r="L7" s="156"/>
      <c r="M7" s="156"/>
      <c r="N7" s="156"/>
      <c r="O7" s="88"/>
      <c r="P7" s="115"/>
      <c r="Q7" s="115"/>
      <c r="R7" s="115"/>
    </row>
    <row r="8" spans="2:18" s="67" customFormat="1" ht="9.9499999999999993" customHeight="1" x14ac:dyDescent="0.25">
      <c r="B8" s="197" t="s">
        <v>482</v>
      </c>
      <c r="C8" s="198">
        <f>C4+C6</f>
        <v>0</v>
      </c>
      <c r="D8" s="116"/>
      <c r="E8" s="156"/>
      <c r="F8" s="156"/>
      <c r="G8" s="156"/>
      <c r="H8" s="156"/>
      <c r="I8" s="156"/>
      <c r="J8" s="156"/>
      <c r="K8" s="156"/>
      <c r="L8" s="156"/>
      <c r="M8" s="156"/>
      <c r="N8" s="156"/>
      <c r="O8" s="88"/>
      <c r="P8" s="115"/>
      <c r="Q8" s="115"/>
      <c r="R8" s="115"/>
    </row>
    <row r="9" spans="2:18" s="67" customFormat="1" ht="9.9499999999999993" customHeight="1" x14ac:dyDescent="0.25">
      <c r="B9" s="197"/>
      <c r="C9" s="198"/>
      <c r="D9" s="116"/>
      <c r="E9" s="156"/>
      <c r="F9" s="156"/>
      <c r="G9" s="156"/>
      <c r="H9" s="156"/>
      <c r="I9" s="156"/>
      <c r="J9" s="156"/>
      <c r="K9" s="156"/>
      <c r="L9" s="156"/>
      <c r="M9" s="156"/>
      <c r="N9" s="156"/>
      <c r="O9" s="88"/>
      <c r="P9" s="115"/>
      <c r="Q9" s="115"/>
      <c r="R9" s="115"/>
    </row>
    <row r="10" spans="2:18" s="67" customFormat="1" ht="8.1" customHeight="1" x14ac:dyDescent="0.25">
      <c r="B10" s="68"/>
      <c r="C10" s="70"/>
      <c r="D10" s="70"/>
      <c r="E10" s="70"/>
      <c r="F10" s="70"/>
      <c r="G10" s="70"/>
      <c r="H10" s="70"/>
      <c r="I10" s="70"/>
      <c r="J10" s="70"/>
      <c r="K10" s="70"/>
      <c r="L10" s="70"/>
      <c r="M10" s="70"/>
      <c r="N10" s="70"/>
      <c r="O10" s="92"/>
      <c r="P10" s="115"/>
      <c r="Q10" s="115"/>
      <c r="R10" s="115"/>
    </row>
    <row r="11" spans="2:18" s="157" customFormat="1" ht="42" customHeight="1" x14ac:dyDescent="0.25">
      <c r="B11" s="183" t="s">
        <v>335</v>
      </c>
      <c r="C11" s="183" t="s">
        <v>533</v>
      </c>
      <c r="D11" s="183" t="s">
        <v>534</v>
      </c>
      <c r="E11" s="186" t="s">
        <v>513</v>
      </c>
      <c r="F11" s="186" t="s">
        <v>540</v>
      </c>
      <c r="G11" s="183" t="s">
        <v>525</v>
      </c>
      <c r="H11" s="194" t="s">
        <v>526</v>
      </c>
      <c r="I11" s="194" t="s">
        <v>541</v>
      </c>
      <c r="J11" s="186" t="s">
        <v>524</v>
      </c>
      <c r="K11" s="183" t="s">
        <v>521</v>
      </c>
      <c r="L11" s="196" t="s">
        <v>363</v>
      </c>
      <c r="M11" s="192" t="s">
        <v>487</v>
      </c>
      <c r="N11" s="192" t="s">
        <v>354</v>
      </c>
      <c r="O11" s="192" t="s">
        <v>535</v>
      </c>
      <c r="P11" s="117"/>
      <c r="Q11" s="117"/>
      <c r="R11" s="117"/>
    </row>
    <row r="12" spans="2:18" ht="23.85" customHeight="1" x14ac:dyDescent="0.25">
      <c r="B12" s="184"/>
      <c r="C12" s="184"/>
      <c r="D12" s="184"/>
      <c r="E12" s="184"/>
      <c r="F12" s="184"/>
      <c r="G12" s="184"/>
      <c r="H12" s="195"/>
      <c r="I12" s="195"/>
      <c r="J12" s="184"/>
      <c r="K12" s="184"/>
      <c r="L12" s="195"/>
      <c r="M12" s="184"/>
      <c r="N12" s="184"/>
      <c r="O12" s="184"/>
    </row>
    <row r="13" spans="2:18" hidden="1" x14ac:dyDescent="0.25">
      <c r="B13" s="94"/>
      <c r="C13" s="95" t="str">
        <f>IFERROR(IF(VLOOKUP(B13,Overview!$B$30:$E$84,2,FALSE)=0,"",VLOOKUP(B13,Overview!$B$30:$E$84,2,FALSE)),"")</f>
        <v/>
      </c>
      <c r="D13" s="95" t="str">
        <f>IFERROR(IF(OR(VLOOKUP(B13,Overview!$B$30:$E$84,4,FALSE)="Country not found",VLOOKUP(B13,Overview!$B$30:$E$84,3,FALSE)=0),"",VLOOKUP(B13,Overview!$B$30:$E$84,3,FALSE)),"")</f>
        <v/>
      </c>
      <c r="E13" s="118" t="str">
        <f>IF(D13="","",CONCATENATE("Staff from"," ",VLOOKUP(D13,Rates!$B$5:$D$105,3,FALSE)))</f>
        <v/>
      </c>
      <c r="F13" s="108"/>
      <c r="G13" s="110"/>
      <c r="H13" s="109"/>
      <c r="I13" s="108"/>
      <c r="J13" s="108"/>
      <c r="K13" s="110"/>
      <c r="L13" s="111">
        <f>IF(O13="Error",0,ROUND(ROUND(G13,0)*(VLOOKUP(J13,Rates!$J$5:$K$10,2,FALSE)),2))</f>
        <v>0</v>
      </c>
      <c r="M13" s="112">
        <f>IF(O13="Error",0,ROUND(IF(AND(ROUND(K13,0)&gt;0,ROUND(K13,0)&lt;=14),ROUND(G13,0)*(ROUND(K13,0)*(INDEX(SubRates,MATCH(H13,SubCountry,0),MATCH(E13,SubCat,0)))),IF(AND(ROUND(K13,0)&gt;14,ROUND(K13,0)&lt;=60),ROUND(G13,0)*((14*(INDEX(SubRates,MATCH(H13,SubCountry,0),MATCH(E13,SubCat,0)))))+ROUND(G13,0)*(((ROUND(K13,0)-14)*(0.7*INDEX(SubRates,MATCH(H13,SubCountry,0),MATCH(E13,SubCat,0))))),IF(ROUND(K13,0)&gt;60,0))),2))</f>
        <v>0</v>
      </c>
      <c r="N13" s="113">
        <f t="shared" ref="N13:N14" si="0">L13+M13</f>
        <v>0</v>
      </c>
      <c r="O13" s="102" t="str">
        <f>IF(OR(COUNTIF(Overview!$B$30:$B$84,B13)=0,C13="",D13="",COUNTIF(SubCountry,D13)=0,E13="",F13="",ISNUMBER(G13)=FALSE,COUNTIF(SubCountry,H13)=0,I13="",COUNTIF(Rates!$J$5:$J$10,J13)=0,ISNUMBER(K13)=FALSE,OR(K13&lt;5,K13&gt;60),P13=1,IF(ISNUMBER(G13)=TRUE,G13=INT(G13*1)/1=FALSE),IF(ISNUMBER(K13)=TRUE,K13=INT(K13*1)/1=FALSE)),"Error","")</f>
        <v>Error</v>
      </c>
      <c r="P13" s="114">
        <f>IF(AND(COUNTIF(Rates!$M$5:$M$37,D13)=1,COUNTIF(Rates!$M$5:$M$37,H13)=1),1,0)</f>
        <v>0</v>
      </c>
      <c r="Q13" s="114">
        <f>IF(AND(D13&lt;&gt;"",COUNTIF(SubCountry,D13)=0),1,0)</f>
        <v>0</v>
      </c>
      <c r="R13" s="114">
        <f>IF(AND(H13&lt;&gt;"",COUNTIF(SubCountry,H13)=0),1,0)</f>
        <v>0</v>
      </c>
    </row>
    <row r="14" spans="2:18" x14ac:dyDescent="0.25">
      <c r="B14" s="94"/>
      <c r="C14" s="95" t="str">
        <f>IFERROR(IF(VLOOKUP(B14,Overview!$B$30:$E$84,2,FALSE)=0,"",VLOOKUP(B14,Overview!$B$30:$E$84,2,FALSE)),"")</f>
        <v/>
      </c>
      <c r="D14" s="95" t="str">
        <f>IFERROR(IF(OR(VLOOKUP(B14,Overview!$B$30:$E$84,4,FALSE)="Country not found",VLOOKUP(B14,Overview!$B$30:$E$84,3,FALSE)=0),"",VLOOKUP(B14,Overview!$B$30:$E$84,3,FALSE)),"")</f>
        <v/>
      </c>
      <c r="E14" s="118" t="str">
        <f>IF(D14="","",CONCATENATE("Staff from"," ",VLOOKUP(D14,Rates!$B$5:$D$105,3,FALSE)))</f>
        <v/>
      </c>
      <c r="F14" s="108"/>
      <c r="G14" s="110"/>
      <c r="H14" s="109"/>
      <c r="I14" s="108"/>
      <c r="J14" s="108"/>
      <c r="K14" s="110"/>
      <c r="L14" s="111">
        <f>IF(O14="Error",0,ROUND(ROUND(G14,0)*(VLOOKUP(J14,Rates!$J$5:$K$10,2,FALSE)),2))</f>
        <v>0</v>
      </c>
      <c r="M14" s="112">
        <f>IF(O14="Error",0,ROUND(IF(AND(ROUND(K14,0)&gt;0,ROUND(K14,0)&lt;=14),ROUND(G14,0)*(ROUND(K14,0)*(INDEX(SubRates,MATCH(H14,SubCountry,0),MATCH(E14,SubCat,0)))),IF(AND(ROUND(K14,0)&gt;14,ROUND(K14,0)&lt;=60),ROUND(G14,0)*((14*(INDEX(SubRates,MATCH(H14,SubCountry,0),MATCH(E14,SubCat,0)))))+ROUND(G14,0)*(((ROUND(K14,0)-14)*(0.7*INDEX(SubRates,MATCH(H14,SubCountry,0),MATCH(E14,SubCat,0))))),IF(ROUND(K14,0)&gt;60,0))),2))</f>
        <v>0</v>
      </c>
      <c r="N14" s="113">
        <f t="shared" si="0"/>
        <v>0</v>
      </c>
      <c r="O14" s="102" t="str">
        <f>IF(OR(COUNTIF(Overview!$B$30:$B$84,B14)=0,C14="",D14="",COUNTIF(SubCountry,D14)=0,E14="",F14="",ISNUMBER(G14)=FALSE,COUNTIF(SubCountry,H14)=0,I14="",COUNTIF(Rates!$J$5:$J$10,J14)=0,ISNUMBER(K14)=FALSE,OR(K14&lt;5,K14&gt;60),P14=1,IF(ISNUMBER(G14)=TRUE,G14=INT(G14*1)/1=FALSE),IF(ISNUMBER(K14)=TRUE,K14=INT(K14*1)/1=FALSE)),"Error","")</f>
        <v>Error</v>
      </c>
      <c r="P14" s="114">
        <f>IF(AND(COUNTIF(Rates!$M$5:$M$37,D14)=1,COUNTIF(Rates!$M$5:$M$37,H14)=1),1,0)</f>
        <v>0</v>
      </c>
      <c r="Q14" s="114">
        <f>IF(AND(D14&lt;&gt;"",COUNTIF(SubCountry,D14)=0),1,0)</f>
        <v>0</v>
      </c>
      <c r="R14" s="114">
        <f>IF(AND(H14&lt;&gt;"",COUNTIF(SubCountry,H14)=0),1,0)</f>
        <v>0</v>
      </c>
    </row>
  </sheetData>
  <sheetProtection password="E359" sheet="1" objects="1" scenarios="1" selectLockedCells="1"/>
  <dataConsolidate/>
  <mergeCells count="21">
    <mergeCell ref="O11:O12"/>
    <mergeCell ref="B2:O2"/>
    <mergeCell ref="E11:E12"/>
    <mergeCell ref="F11:F12"/>
    <mergeCell ref="N11:N12"/>
    <mergeCell ref="H11:H12"/>
    <mergeCell ref="I11:I12"/>
    <mergeCell ref="J11:J12"/>
    <mergeCell ref="K11:K12"/>
    <mergeCell ref="L11:L12"/>
    <mergeCell ref="M11:M12"/>
    <mergeCell ref="G11:G12"/>
    <mergeCell ref="B8:B9"/>
    <mergeCell ref="C8:C9"/>
    <mergeCell ref="B11:B12"/>
    <mergeCell ref="C11:C12"/>
    <mergeCell ref="D11:D12"/>
    <mergeCell ref="B4:B5"/>
    <mergeCell ref="C4:C5"/>
    <mergeCell ref="B6:B7"/>
    <mergeCell ref="C6:C7"/>
  </mergeCells>
  <conditionalFormatting sqref="O13:O14">
    <cfRule type="containsText" dxfId="97" priority="114" operator="containsText" text="Error">
      <formula>NOT(ISERROR(SEARCH("Error",O13)))</formula>
    </cfRule>
  </conditionalFormatting>
  <conditionalFormatting sqref="C13:E14">
    <cfRule type="containsBlanks" dxfId="96" priority="7">
      <formula>LEN(TRIM(C13))=0</formula>
    </cfRule>
  </conditionalFormatting>
  <conditionalFormatting sqref="H11:H12">
    <cfRule type="expression" dxfId="95" priority="107">
      <formula>OR(COUNTIF($P:$P,1),COUNTIF($R:$R,1))</formula>
    </cfRule>
  </conditionalFormatting>
  <conditionalFormatting sqref="D13">
    <cfRule type="expression" dxfId="94" priority="9">
      <formula>OR(COUNTIF(P13,1),COUNTIF(Q13,1))</formula>
    </cfRule>
  </conditionalFormatting>
  <conditionalFormatting sqref="D14">
    <cfRule type="expression" dxfId="93" priority="10">
      <formula>OR(COUNTIF(P14,1),COUNTIF(Q14,1))</formula>
    </cfRule>
  </conditionalFormatting>
  <conditionalFormatting sqref="D11:D12">
    <cfRule type="expression" dxfId="92" priority="8">
      <formula>OR(COUNTIF($P:$P,1),COUNTIF($Q:$Q,1))</formula>
    </cfRule>
  </conditionalFormatting>
  <dataValidations count="5">
    <dataValidation type="list" allowBlank="1" showInputMessage="1" showErrorMessage="1" error="Click arrow to select Receiving Country" prompt="Click arrow to select Receiving Country" sqref="H13:H14">
      <formula1>SubCountry</formula1>
    </dataValidation>
    <dataValidation allowBlank="1" showInputMessage="1" showErrorMessage="1" error="Please encode City of Destination" prompt="Please encode City of Destination" sqref="I13:I14"/>
    <dataValidation allowBlank="1" showInputMessage="1" showErrorMessage="1" error="Please encode City of Departure" prompt="Please encode City of Departure" sqref="F13:F14"/>
    <dataValidation type="whole" allowBlank="1" showInputMessage="1" showErrorMessage="1" error="Format error (wole number only)" prompt="Please encode number (whole number only)" sqref="G13:G14">
      <formula1>0</formula1>
      <formula2>50000</formula2>
    </dataValidation>
    <dataValidation allowBlank="1" showInputMessage="1" errorTitle="Warning: Max Ceilings exceeded" error="Please be aware that this exceed the &quot;Ceilings&quot; for the maximum amounts for staff cost by country" sqref="L13:L14"/>
  </dataValidations>
  <printOptions horizontalCentered="1"/>
  <pageMargins left="0.23622047244094491" right="0.23622047244094491" top="0.39370078740157483" bottom="0.94488188976377963" header="0.31496062992125984" footer="0.31496062992125984"/>
  <pageSetup paperSize="9" scale="35" orientation="landscape" r:id="rId1"/>
  <headerFooter>
    <oddFooter xml:space="preserve">&amp;CPage &amp;P of 3
</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36876" r:id="rId4" name="Button 3">
              <controlPr defaultSize="0" print="0" autoFill="0" autoPict="0" macro="[0]!Button3_Click">
                <anchor moveWithCells="1" sizeWithCells="1">
                  <from>
                    <xdr:col>2</xdr:col>
                    <xdr:colOff>247650</xdr:colOff>
                    <xdr:row>1</xdr:row>
                    <xdr:rowOff>76200</xdr:rowOff>
                  </from>
                  <to>
                    <xdr:col>2</xdr:col>
                    <xdr:colOff>1638300</xdr:colOff>
                    <xdr:row>1</xdr:row>
                    <xdr:rowOff>438150</xdr:rowOff>
                  </to>
                </anchor>
              </controlPr>
            </control>
          </mc:Choice>
        </mc:AlternateContent>
        <mc:AlternateContent xmlns:mc="http://schemas.openxmlformats.org/markup-compatibility/2006">
          <mc:Choice Requires="x14">
            <control shapeId="36877" r:id="rId5" name="Button 1">
              <controlPr defaultSize="0" print="0" autoFill="0" autoPict="0" macro="[0]!AddRow">
                <anchor moveWithCells="1" sizeWithCells="1">
                  <from>
                    <xdr:col>1</xdr:col>
                    <xdr:colOff>85725</xdr:colOff>
                    <xdr:row>1</xdr:row>
                    <xdr:rowOff>76200</xdr:rowOff>
                  </from>
                  <to>
                    <xdr:col>1</xdr:col>
                    <xdr:colOff>1066800</xdr:colOff>
                    <xdr:row>1</xdr:row>
                    <xdr:rowOff>438150</xdr:rowOff>
                  </to>
                </anchor>
              </controlPr>
            </control>
          </mc:Choice>
        </mc:AlternateContent>
        <mc:AlternateContent xmlns:mc="http://schemas.openxmlformats.org/markup-compatibility/2006">
          <mc:Choice Requires="x14">
            <control shapeId="36878" r:id="rId6" name="Button 2">
              <controlPr defaultSize="0" print="0" autoFill="0" autoPict="0" macro="[0]!DeleteRow">
                <anchor moveWithCells="1" sizeWithCells="1">
                  <from>
                    <xdr:col>1</xdr:col>
                    <xdr:colOff>1123950</xdr:colOff>
                    <xdr:row>1</xdr:row>
                    <xdr:rowOff>76200</xdr:rowOff>
                  </from>
                  <to>
                    <xdr:col>2</xdr:col>
                    <xdr:colOff>190500</xdr:colOff>
                    <xdr:row>1</xdr:row>
                    <xdr:rowOff>438150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3">
        <x14:dataValidation type="list" allowBlank="1" showInputMessage="1" showErrorMessage="1" error="Please click to select  Number of days - Min 5 days / Max 60 days" prompt="Please click to select  Number of days - Min 5 days / Max 60 days">
          <x14:formula1>
            <xm:f>Rates!$Z$9:$Z$64</xm:f>
          </x14:formula1>
          <xm:sqref>K13:K14</xm:sqref>
        </x14:dataValidation>
        <x14:dataValidation type="list" allowBlank="1" showInputMessage="1" showErrorMessage="1" error="Click arrow to select Distance" prompt="Click arrow to select Distance">
          <x14:formula1>
            <xm:f>Rates!$J$5:$J$10</xm:f>
          </x14:formula1>
          <xm:sqref>J13:J14</xm:sqref>
        </x14:dataValidation>
        <x14:dataValidation type="list" allowBlank="1" showInputMessage="1" showErrorMessage="1" error="Click arrow to select Partner N°" prompt="Click arrow to select Partner N°">
          <x14:formula1>
            <xm:f>Overview!$B$30:$B$84</xm:f>
          </x14:formula1>
          <xm:sqref>B13:B14</xm:sqref>
        </x14:dataValidation>
      </x14:dataValidations>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
    <tabColor theme="7" tint="-0.499984740745262"/>
  </sheetPr>
  <dimension ref="B1:J54"/>
  <sheetViews>
    <sheetView showGridLines="0" zoomScale="60" zoomScaleNormal="60" zoomScaleSheetLayoutView="55" workbookViewId="0">
      <pane ySplit="13" topLeftCell="A29" activePane="bottomLeft" state="frozen"/>
      <selection pane="bottomLeft" activeCell="G15" sqref="G15"/>
    </sheetView>
  </sheetViews>
  <sheetFormatPr defaultColWidth="9.140625" defaultRowHeight="18" x14ac:dyDescent="0.25"/>
  <cols>
    <col min="1" max="1" width="1.7109375" style="36" customWidth="1"/>
    <col min="2" max="2" width="28.7109375" style="36" customWidth="1"/>
    <col min="3" max="4" width="50.7109375" style="36" customWidth="1"/>
    <col min="5" max="5" width="40.7109375" style="36" customWidth="1"/>
    <col min="6" max="6" width="39.7109375" style="36" customWidth="1"/>
    <col min="7" max="7" width="60.7109375" style="36" customWidth="1"/>
    <col min="8" max="9" width="20.7109375" style="36" customWidth="1"/>
    <col min="10" max="10" width="11.28515625" style="36" bestFit="1" customWidth="1"/>
    <col min="11" max="11" width="1.7109375" style="36" customWidth="1"/>
    <col min="12" max="16384" width="9.140625" style="36"/>
  </cols>
  <sheetData>
    <row r="1" spans="2:10" ht="8.1" customHeight="1" x14ac:dyDescent="0.25"/>
    <row r="2" spans="2:10" s="67" customFormat="1" ht="39.950000000000003" customHeight="1" x14ac:dyDescent="0.25">
      <c r="B2" s="193" t="s">
        <v>504</v>
      </c>
      <c r="C2" s="193"/>
      <c r="D2" s="193"/>
      <c r="E2" s="193"/>
      <c r="F2" s="193"/>
      <c r="G2" s="193"/>
      <c r="H2" s="193"/>
      <c r="I2" s="193"/>
      <c r="J2" s="193"/>
    </row>
    <row r="3" spans="2:10" s="67" customFormat="1" ht="8.1" customHeight="1" x14ac:dyDescent="0.25">
      <c r="B3" s="105"/>
      <c r="H3" s="156"/>
      <c r="I3" s="156"/>
      <c r="J3" s="88"/>
    </row>
    <row r="4" spans="2:10" s="67" customFormat="1" ht="9.9499999999999993" customHeight="1" x14ac:dyDescent="0.25">
      <c r="B4" s="199" t="s">
        <v>482</v>
      </c>
      <c r="C4" s="208">
        <f>SUM(I:I)</f>
        <v>86380</v>
      </c>
      <c r="D4" s="119"/>
      <c r="H4" s="156"/>
      <c r="I4" s="156"/>
      <c r="J4" s="88"/>
    </row>
    <row r="5" spans="2:10" s="67" customFormat="1" ht="9.9499999999999993" customHeight="1" x14ac:dyDescent="0.25">
      <c r="B5" s="200"/>
      <c r="C5" s="209"/>
      <c r="D5" s="119"/>
      <c r="H5" s="156"/>
      <c r="I5" s="156"/>
      <c r="J5" s="88"/>
    </row>
    <row r="6" spans="2:10" s="67" customFormat="1" ht="9.9499999999999993" customHeight="1" x14ac:dyDescent="0.25">
      <c r="B6" s="200"/>
      <c r="C6" s="209"/>
      <c r="D6" s="119"/>
      <c r="H6" s="156"/>
      <c r="I6" s="156"/>
      <c r="J6" s="88"/>
    </row>
    <row r="7" spans="2:10" s="67" customFormat="1" ht="9.9499999999999993" customHeight="1" x14ac:dyDescent="0.25">
      <c r="B7" s="200"/>
      <c r="C7" s="209"/>
      <c r="D7" s="119"/>
      <c r="H7" s="156"/>
      <c r="I7" s="156"/>
      <c r="J7" s="88"/>
    </row>
    <row r="8" spans="2:10" s="67" customFormat="1" ht="9.9499999999999993" customHeight="1" x14ac:dyDescent="0.25">
      <c r="B8" s="200"/>
      <c r="C8" s="209"/>
      <c r="D8" s="119"/>
      <c r="H8" s="156"/>
      <c r="I8" s="156"/>
      <c r="J8" s="88"/>
    </row>
    <row r="9" spans="2:10" s="67" customFormat="1" ht="9.9499999999999993" customHeight="1" x14ac:dyDescent="0.25">
      <c r="B9" s="201"/>
      <c r="C9" s="210"/>
      <c r="D9" s="119"/>
      <c r="H9" s="156"/>
      <c r="I9" s="156"/>
      <c r="J9" s="88"/>
    </row>
    <row r="10" spans="2:10" s="67" customFormat="1" ht="8.1" customHeight="1" x14ac:dyDescent="0.25">
      <c r="B10" s="68"/>
      <c r="C10" s="69"/>
      <c r="D10" s="69"/>
      <c r="E10" s="69"/>
      <c r="F10" s="69"/>
      <c r="G10" s="69"/>
      <c r="H10" s="70"/>
      <c r="I10" s="70"/>
      <c r="J10" s="92"/>
    </row>
    <row r="11" spans="2:10" s="157" customFormat="1" ht="42" customHeight="1" x14ac:dyDescent="0.25">
      <c r="B11" s="183" t="s">
        <v>529</v>
      </c>
      <c r="C11" s="183" t="s">
        <v>533</v>
      </c>
      <c r="D11" s="183" t="s">
        <v>534</v>
      </c>
      <c r="E11" s="183" t="s">
        <v>490</v>
      </c>
      <c r="F11" s="186" t="s">
        <v>491</v>
      </c>
      <c r="G11" s="186" t="s">
        <v>492</v>
      </c>
      <c r="H11" s="192" t="s">
        <v>356</v>
      </c>
      <c r="I11" s="192" t="s">
        <v>355</v>
      </c>
      <c r="J11" s="192" t="s">
        <v>535</v>
      </c>
    </row>
    <row r="12" spans="2:10" ht="23.85" customHeight="1" x14ac:dyDescent="0.25">
      <c r="B12" s="184"/>
      <c r="C12" s="184"/>
      <c r="D12" s="184"/>
      <c r="E12" s="184"/>
      <c r="F12" s="184"/>
      <c r="G12" s="184"/>
      <c r="H12" s="184"/>
      <c r="I12" s="184"/>
      <c r="J12" s="184"/>
    </row>
    <row r="13" spans="2:10" s="103" customFormat="1" hidden="1" x14ac:dyDescent="0.25">
      <c r="B13" s="66"/>
      <c r="C13" s="95" t="str">
        <f>IFERROR(IF(VLOOKUP(B13,Overview!$B$30:$E$84,2,FALSE)=0,"",VLOOKUP(B13,Overview!$B$30:$E$84,2,FALSE)),"")</f>
        <v/>
      </c>
      <c r="D13" s="95" t="str">
        <f>IFERROR(IF(OR(VLOOKUP(B13,Overview!$B$30:$E$84,4,FALSE)="Country not found",VLOOKUP(B13,Overview!$B$30:$E$84,3,FALSE)=0),"",VLOOKUP(B13,Overview!$B$30:$E$84,3,FALSE)),"")</f>
        <v/>
      </c>
      <c r="E13" s="120"/>
      <c r="F13" s="65"/>
      <c r="G13" s="65"/>
      <c r="H13" s="106"/>
      <c r="I13" s="107">
        <f t="shared" ref="I13:I26" si="0">IF(J13="Error",0,ROUND(H13,2))</f>
        <v>0</v>
      </c>
      <c r="J13" s="102" t="str">
        <f>IF(OR(COUNTIF(Overview!$B$30:$B$84,B13)=0,C13="",D13="",E13="",F13="",G13="",ISNUMBER(H13)=FALSE,IF(ISNUMBER(H13)=TRUE,H13=INT(H13*100)/100=FALSE)),"Error","")</f>
        <v>Error</v>
      </c>
    </row>
    <row r="14" spans="2:10" s="103" customFormat="1" ht="36" x14ac:dyDescent="0.25">
      <c r="B14" s="94" t="s">
        <v>26</v>
      </c>
      <c r="C14" s="95" t="str">
        <f>IFERROR(IF(VLOOKUP(B14,Overview!$B$30:$E$84,2,FALSE)=0,"",VLOOKUP(B14,Overview!$B$30:$E$84,2,FALSE)),"")</f>
        <v>Osh Technological University</v>
      </c>
      <c r="D14" s="95" t="str">
        <f>IFERROR(IF(OR(VLOOKUP(B14,Overview!$B$30:$E$84,4,FALSE)="Country not found",VLOOKUP(B14,Overview!$B$30:$E$84,3,FALSE)=0),"",VLOOKUP(B14,Overview!$B$30:$E$84,3,FALSE)),"")</f>
        <v>Kyrgyzstan</v>
      </c>
      <c r="E14" s="120" t="s">
        <v>601</v>
      </c>
      <c r="F14" s="65" t="s">
        <v>602</v>
      </c>
      <c r="G14" s="65" t="s">
        <v>617</v>
      </c>
      <c r="H14" s="106">
        <v>2320</v>
      </c>
      <c r="I14" s="107">
        <f t="shared" si="0"/>
        <v>2320</v>
      </c>
      <c r="J14" s="102" t="str">
        <f>IF(OR(COUNTIF(Overview!$B$30:$B$84,B14)=0,C14="",D14="",E14="",F14="",G14="",ISNUMBER(H14)=FALSE,IF(ISNUMBER(H14)=TRUE,H14=INT(H14*100)/100=FALSE)),"Error","")</f>
        <v/>
      </c>
    </row>
    <row r="15" spans="2:10" s="103" customFormat="1" ht="36" x14ac:dyDescent="0.25">
      <c r="B15" s="94" t="s">
        <v>28</v>
      </c>
      <c r="C15" s="95" t="str">
        <f>IFERROR(IF(VLOOKUP(B15,Overview!$B$30:$E$84,2,FALSE)=0,"",VLOOKUP(B15,Overview!$B$30:$E$84,2,FALSE)),"")</f>
        <v>Khujand State University</v>
      </c>
      <c r="D15" s="95" t="str">
        <f>IFERROR(IF(OR(VLOOKUP(B15,Overview!$B$30:$E$84,4,FALSE)="Country not found",VLOOKUP(B15,Overview!$B$30:$E$84,3,FALSE)=0),"",VLOOKUP(B15,Overview!$B$30:$E$84,3,FALSE)),"")</f>
        <v>Tajikistan</v>
      </c>
      <c r="E15" s="120" t="s">
        <v>601</v>
      </c>
      <c r="F15" s="65" t="s">
        <v>602</v>
      </c>
      <c r="G15" s="65" t="s">
        <v>616</v>
      </c>
      <c r="H15" s="106">
        <v>2320</v>
      </c>
      <c r="I15" s="107">
        <f t="shared" si="0"/>
        <v>2320</v>
      </c>
      <c r="J15" s="102" t="str">
        <f>IF(OR(COUNTIF(Overview!$B$30:$B$84,B15)=0,C15="",D15="",E15="",F15="",G15="",ISNUMBER(H15)=FALSE,IF(ISNUMBER(H15)=TRUE,H15=INT(H15*100)/100=FALSE)),"Error","")</f>
        <v/>
      </c>
    </row>
    <row r="16" spans="2:10" s="103" customFormat="1" ht="36" x14ac:dyDescent="0.25">
      <c r="B16" s="94" t="s">
        <v>128</v>
      </c>
      <c r="C16" s="95" t="str">
        <f>IFERROR(IF(VLOOKUP(B16,Overview!$B$30:$E$84,2,FALSE)=0,"",VLOOKUP(B16,Overview!$B$30:$E$84,2,FALSE)),"")</f>
        <v xml:space="preserve">Zhezkazgan Baikonurov University </v>
      </c>
      <c r="D16" s="95" t="str">
        <f>IFERROR(IF(OR(VLOOKUP(B16,Overview!$B$30:$E$84,4,FALSE)="Country not found",VLOOKUP(B16,Overview!$B$30:$E$84,3,FALSE)=0),"",VLOOKUP(B16,Overview!$B$30:$E$84,3,FALSE)),"")</f>
        <v>Kazakhstan</v>
      </c>
      <c r="E16" s="120" t="s">
        <v>601</v>
      </c>
      <c r="F16" s="65" t="s">
        <v>602</v>
      </c>
      <c r="G16" s="65" t="s">
        <v>615</v>
      </c>
      <c r="H16" s="106">
        <v>2370</v>
      </c>
      <c r="I16" s="107">
        <f t="shared" si="0"/>
        <v>2370</v>
      </c>
      <c r="J16" s="102" t="str">
        <f>IF(OR(COUNTIF(Overview!$B$30:$B$84,B16)=0,C16="",D16="",E16="",F16="",G16="",ISNUMBER(H16)=FALSE,IF(ISNUMBER(H16)=TRUE,H16=INT(H16*100)/100=FALSE)),"Error","")</f>
        <v/>
      </c>
    </row>
    <row r="17" spans="2:10" s="103" customFormat="1" ht="36" x14ac:dyDescent="0.25">
      <c r="B17" s="94" t="s">
        <v>130</v>
      </c>
      <c r="C17" s="95" t="str">
        <f>IFERROR(IF(VLOOKUP(B17,Overview!$B$30:$E$84,2,FALSE)=0,"",VLOOKUP(B17,Overview!$B$30:$E$84,2,FALSE)),"")</f>
        <v>Ministry of Education and Science of Kazakhstan</v>
      </c>
      <c r="D17" s="95" t="str">
        <f>IFERROR(IF(OR(VLOOKUP(B17,Overview!$B$30:$E$84,4,FALSE)="Country not found",VLOOKUP(B17,Overview!$B$30:$E$84,3,FALSE)=0),"",VLOOKUP(B17,Overview!$B$30:$E$84,3,FALSE)),"")</f>
        <v>Kazakhstan</v>
      </c>
      <c r="E17" s="120" t="s">
        <v>601</v>
      </c>
      <c r="F17" s="65" t="s">
        <v>602</v>
      </c>
      <c r="G17" s="65" t="s">
        <v>615</v>
      </c>
      <c r="H17" s="106">
        <v>2370</v>
      </c>
      <c r="I17" s="107">
        <f t="shared" si="0"/>
        <v>2370</v>
      </c>
      <c r="J17" s="102" t="str">
        <f>IF(OR(COUNTIF(Overview!$B$30:$B$84,B17)=0,C17="",D17="",E17="",F17="",G17="",ISNUMBER(H17)=FALSE,IF(ISNUMBER(H17)=TRUE,H17=INT(H17*100)/100=FALSE)),"Error","")</f>
        <v/>
      </c>
    </row>
    <row r="18" spans="2:10" s="103" customFormat="1" x14ac:dyDescent="0.25">
      <c r="B18" s="66" t="s">
        <v>24</v>
      </c>
      <c r="C18" s="95" t="str">
        <f>IFERROR(IF(VLOOKUP(B18,Overview!$B$30:$E$84,2,FALSE)=0,"",VLOOKUP(B18,Overview!$B$30:$E$84,2,FALSE)),"")</f>
        <v>Kyrgyz State Technical University</v>
      </c>
      <c r="D18" s="95" t="str">
        <f>IFERROR(IF(OR(VLOOKUP(B18,Overview!$B$30:$E$84,4,FALSE)="Country not found",VLOOKUP(B18,Overview!$B$30:$E$84,3,FALSE)=0),"",VLOOKUP(B18,Overview!$B$30:$E$84,3,FALSE)),"")</f>
        <v>Kyrgyzstan</v>
      </c>
      <c r="E18" s="120" t="s">
        <v>603</v>
      </c>
      <c r="F18" s="65" t="s">
        <v>602</v>
      </c>
      <c r="G18" s="65" t="s">
        <v>604</v>
      </c>
      <c r="H18" s="106">
        <v>1000</v>
      </c>
      <c r="I18" s="107">
        <f t="shared" si="0"/>
        <v>1000</v>
      </c>
      <c r="J18" s="102" t="str">
        <f>IF(OR(COUNTIF(Overview!$B$30:$B$84,B18)=0,C18="",D18="",E18="",F18="",G18="",ISNUMBER(H18)=FALSE,IF(ISNUMBER(H18)=TRUE,H18=INT(H18*100)/100=FALSE)),"Error","")</f>
        <v/>
      </c>
    </row>
    <row r="19" spans="2:10" s="103" customFormat="1" x14ac:dyDescent="0.25">
      <c r="B19" s="66" t="s">
        <v>21</v>
      </c>
      <c r="C19" s="95" t="str">
        <f>IFERROR(IF(VLOOKUP(B19,Overview!$B$30:$E$84,2,FALSE)=0,"",VLOOKUP(B19,Overview!$B$30:$E$84,2,FALSE)),"")</f>
        <v>National University of Uzbekistan</v>
      </c>
      <c r="D19" s="95" t="str">
        <f>IFERROR(IF(OR(VLOOKUP(B19,Overview!$B$30:$E$84,4,FALSE)="Country not found",VLOOKUP(B19,Overview!$B$30:$E$84,3,FALSE)=0),"",VLOOKUP(B19,Overview!$B$30:$E$84,3,FALSE)),"")</f>
        <v>Uzbekistan</v>
      </c>
      <c r="E19" s="120" t="s">
        <v>603</v>
      </c>
      <c r="F19" s="65" t="s">
        <v>602</v>
      </c>
      <c r="G19" s="65" t="s">
        <v>612</v>
      </c>
      <c r="H19" s="106">
        <v>2000</v>
      </c>
      <c r="I19" s="107">
        <f t="shared" si="0"/>
        <v>2000</v>
      </c>
      <c r="J19" s="102" t="str">
        <f>IF(OR(COUNTIF(Overview!$B$30:$B$84,B19)=0,C19="",D19="",E19="",F19="",G19="",ISNUMBER(H19)=FALSE,IF(ISNUMBER(H19)=TRUE,H19=INT(H19*100)/100=FALSE)),"Error","")</f>
        <v/>
      </c>
    </row>
    <row r="20" spans="2:10" s="103" customFormat="1" x14ac:dyDescent="0.25">
      <c r="B20" s="66" t="s">
        <v>26</v>
      </c>
      <c r="C20" s="95" t="str">
        <f>IFERROR(IF(VLOOKUP(B20,Overview!$B$30:$E$84,2,FALSE)=0,"",VLOOKUP(B20,Overview!$B$30:$E$84,2,FALSE)),"")</f>
        <v>Osh Technological University</v>
      </c>
      <c r="D20" s="95" t="str">
        <f>IFERROR(IF(OR(VLOOKUP(B20,Overview!$B$30:$E$84,4,FALSE)="Country not found",VLOOKUP(B20,Overview!$B$30:$E$84,3,FALSE)=0),"",VLOOKUP(B20,Overview!$B$30:$E$84,3,FALSE)),"")</f>
        <v>Kyrgyzstan</v>
      </c>
      <c r="E20" s="120" t="s">
        <v>603</v>
      </c>
      <c r="F20" s="65" t="s">
        <v>602</v>
      </c>
      <c r="G20" s="65" t="s">
        <v>612</v>
      </c>
      <c r="H20" s="106">
        <v>2000</v>
      </c>
      <c r="I20" s="107">
        <f t="shared" si="0"/>
        <v>2000</v>
      </c>
      <c r="J20" s="102" t="str">
        <f>IF(OR(COUNTIF(Overview!$B$30:$B$84,B20)=0,C20="",D20="",E20="",F20="",G20="",ISNUMBER(H20)=FALSE,IF(ISNUMBER(H20)=TRUE,H20=INT(H20*100)/100=FALSE)),"Error","")</f>
        <v/>
      </c>
    </row>
    <row r="21" spans="2:10" s="103" customFormat="1" x14ac:dyDescent="0.25">
      <c r="B21" s="66" t="s">
        <v>30</v>
      </c>
      <c r="C21" s="95" t="str">
        <f>IFERROR(IF(VLOOKUP(B21,Overview!$B$30:$E$84,2,FALSE)=0,"",VLOOKUP(B21,Overview!$B$30:$E$84,2,FALSE)),"")</f>
        <v>Tajik Pedagogical University</v>
      </c>
      <c r="D21" s="95" t="str">
        <f>IFERROR(IF(OR(VLOOKUP(B21,Overview!$B$30:$E$84,4,FALSE)="Country not found",VLOOKUP(B21,Overview!$B$30:$E$84,3,FALSE)=0),"",VLOOKUP(B21,Overview!$B$30:$E$84,3,FALSE)),"")</f>
        <v>Tajikistan</v>
      </c>
      <c r="E21" s="120" t="s">
        <v>603</v>
      </c>
      <c r="F21" s="65" t="s">
        <v>602</v>
      </c>
      <c r="G21" s="65" t="s">
        <v>612</v>
      </c>
      <c r="H21" s="106">
        <v>2000</v>
      </c>
      <c r="I21" s="107">
        <f t="shared" si="0"/>
        <v>2000</v>
      </c>
      <c r="J21" s="102" t="str">
        <f>IF(OR(COUNTIF(Overview!$B$30:$B$84,B21)=0,C21="",D21="",E21="",F21="",G21="",ISNUMBER(H21)=FALSE,IF(ISNUMBER(H21)=TRUE,H21=INT(H21*100)/100=FALSE)),"Error","")</f>
        <v/>
      </c>
    </row>
    <row r="22" spans="2:10" s="103" customFormat="1" x14ac:dyDescent="0.25">
      <c r="B22" s="66" t="s">
        <v>126</v>
      </c>
      <c r="C22" s="95" t="str">
        <f>IFERROR(IF(VLOOKUP(B22,Overview!$B$30:$E$84,2,FALSE)=0,"",VLOOKUP(B22,Overview!$B$30:$E$84,2,FALSE)),"")</f>
        <v>Al-Farabi Kazakhstan National University</v>
      </c>
      <c r="D22" s="95" t="str">
        <f>IFERROR(IF(OR(VLOOKUP(B22,Overview!$B$30:$E$84,4,FALSE)="Country not found",VLOOKUP(B22,Overview!$B$30:$E$84,3,FALSE)=0),"",VLOOKUP(B22,Overview!$B$30:$E$84,3,FALSE)),"")</f>
        <v>Kazakhstan</v>
      </c>
      <c r="E22" s="120" t="s">
        <v>603</v>
      </c>
      <c r="F22" s="65" t="s">
        <v>602</v>
      </c>
      <c r="G22" s="65" t="s">
        <v>612</v>
      </c>
      <c r="H22" s="106">
        <v>2000</v>
      </c>
      <c r="I22" s="107">
        <f t="shared" si="0"/>
        <v>2000</v>
      </c>
      <c r="J22" s="102" t="str">
        <f>IF(OR(COUNTIF(Overview!$B$30:$B$84,B22)=0,C22="",D22="",E22="",F22="",G22="",ISNUMBER(H22)=FALSE,IF(ISNUMBER(H22)=TRUE,H22=INT(H22*100)/100=FALSE)),"Error","")</f>
        <v/>
      </c>
    </row>
    <row r="23" spans="2:10" s="103" customFormat="1" ht="36" x14ac:dyDescent="0.25">
      <c r="B23" s="66" t="s">
        <v>20</v>
      </c>
      <c r="C23" s="95" t="str">
        <f>IFERROR(IF(VLOOKUP(B23,Overview!$B$30:$E$84,2,FALSE)=0,"",VLOOKUP(B23,Overview!$B$30:$E$84,2,FALSE)),"")</f>
        <v>Tashkent State Technical University</v>
      </c>
      <c r="D23" s="95" t="str">
        <f>IFERROR(IF(OR(VLOOKUP(B23,Overview!$B$30:$E$84,4,FALSE)="Country not found",VLOOKUP(B23,Overview!$B$30:$E$84,3,FALSE)=0),"",VLOOKUP(B23,Overview!$B$30:$E$84,3,FALSE)),"")</f>
        <v>Uzbekistan</v>
      </c>
      <c r="E23" s="120" t="s">
        <v>605</v>
      </c>
      <c r="F23" s="65" t="s">
        <v>602</v>
      </c>
      <c r="G23" s="65" t="s">
        <v>606</v>
      </c>
      <c r="H23" s="106">
        <v>8000</v>
      </c>
      <c r="I23" s="107">
        <f t="shared" si="0"/>
        <v>8000</v>
      </c>
      <c r="J23" s="102" t="str">
        <f>IF(OR(COUNTIF(Overview!$B$30:$B$84,B23)=0,C23="",D23="",E23="",F23="",G23="",ISNUMBER(H23)=FALSE,IF(ISNUMBER(H23)=TRUE,H23=INT(H23*100)/100=FALSE)),"Error","")</f>
        <v/>
      </c>
    </row>
    <row r="24" spans="2:10" s="103" customFormat="1" ht="36" x14ac:dyDescent="0.25">
      <c r="B24" s="66" t="s">
        <v>24</v>
      </c>
      <c r="C24" s="95" t="str">
        <f>IFERROR(IF(VLOOKUP(B24,Overview!$B$30:$E$84,2,FALSE)=0,"",VLOOKUP(B24,Overview!$B$30:$E$84,2,FALSE)),"")</f>
        <v>Kyrgyz State Technical University</v>
      </c>
      <c r="D24" s="95" t="str">
        <f>IFERROR(IF(OR(VLOOKUP(B24,Overview!$B$30:$E$84,4,FALSE)="Country not found",VLOOKUP(B24,Overview!$B$30:$E$84,3,FALSE)=0),"",VLOOKUP(B24,Overview!$B$30:$E$84,3,FALSE)),"")</f>
        <v>Kyrgyzstan</v>
      </c>
      <c r="E24" s="120" t="s">
        <v>605</v>
      </c>
      <c r="F24" s="65" t="s">
        <v>602</v>
      </c>
      <c r="G24" s="65" t="s">
        <v>606</v>
      </c>
      <c r="H24" s="106">
        <v>8000</v>
      </c>
      <c r="I24" s="107">
        <f t="shared" si="0"/>
        <v>8000</v>
      </c>
      <c r="J24" s="102" t="str">
        <f>IF(OR(COUNTIF(Overview!$B$30:$B$84,B24)=0,C24="",D24="",E24="",F24="",G24="",ISNUMBER(H24)=FALSE,IF(ISNUMBER(H24)=TRUE,H24=INT(H24*100)/100=FALSE)),"Error","")</f>
        <v/>
      </c>
    </row>
    <row r="25" spans="2:10" s="103" customFormat="1" ht="36" x14ac:dyDescent="0.25">
      <c r="B25" s="66" t="s">
        <v>30</v>
      </c>
      <c r="C25" s="95" t="str">
        <f>IFERROR(IF(VLOOKUP(B25,Overview!$B$30:$E$84,2,FALSE)=0,"",VLOOKUP(B25,Overview!$B$30:$E$84,2,FALSE)),"")</f>
        <v>Tajik Pedagogical University</v>
      </c>
      <c r="D25" s="95" t="str">
        <f>IFERROR(IF(OR(VLOOKUP(B25,Overview!$B$30:$E$84,4,FALSE)="Country not found",VLOOKUP(B25,Overview!$B$30:$E$84,3,FALSE)=0),"",VLOOKUP(B25,Overview!$B$30:$E$84,3,FALSE)),"")</f>
        <v>Tajikistan</v>
      </c>
      <c r="E25" s="120" t="s">
        <v>605</v>
      </c>
      <c r="F25" s="65" t="s">
        <v>602</v>
      </c>
      <c r="G25" s="65" t="s">
        <v>606</v>
      </c>
      <c r="H25" s="106">
        <v>8000</v>
      </c>
      <c r="I25" s="107">
        <f t="shared" si="0"/>
        <v>8000</v>
      </c>
      <c r="J25" s="102" t="str">
        <f>IF(OR(COUNTIF(Overview!$B$30:$B$84,B25)=0,C25="",D25="",E25="",F25="",G25="",ISNUMBER(H25)=FALSE,IF(ISNUMBER(H25)=TRUE,H25=INT(H25*100)/100=FALSE)),"Error","")</f>
        <v/>
      </c>
    </row>
    <row r="26" spans="2:10" s="103" customFormat="1" ht="36" x14ac:dyDescent="0.25">
      <c r="B26" s="66" t="s">
        <v>33</v>
      </c>
      <c r="C26" s="95" t="str">
        <f>IFERROR(IF(VLOOKUP(B26,Overview!$B$30:$E$84,2,FALSE)=0,"",VLOOKUP(B26,Overview!$B$30:$E$84,2,FALSE)),"")</f>
        <v>KIMEP University, JSC</v>
      </c>
      <c r="D26" s="95" t="str">
        <f>IFERROR(IF(OR(VLOOKUP(B26,Overview!$B$30:$E$84,4,FALSE)="Country not found",VLOOKUP(B26,Overview!$B$30:$E$84,3,FALSE)=0),"",VLOOKUP(B26,Overview!$B$30:$E$84,3,FALSE)),"")</f>
        <v>Kazakhstan</v>
      </c>
      <c r="E26" s="120" t="s">
        <v>605</v>
      </c>
      <c r="F26" s="65" t="s">
        <v>602</v>
      </c>
      <c r="G26" s="65" t="s">
        <v>606</v>
      </c>
      <c r="H26" s="106">
        <v>8000</v>
      </c>
      <c r="I26" s="107">
        <f t="shared" si="0"/>
        <v>8000</v>
      </c>
      <c r="J26" s="102" t="str">
        <f>IF(OR(COUNTIF(Overview!$B$30:$B$84,B26)=0,C26="",D26="",E26="",F26="",G26="",ISNUMBER(H26)=FALSE,IF(ISNUMBER(H26)=TRUE,H26=INT(H26*100)/100=FALSE)),"Error","")</f>
        <v/>
      </c>
    </row>
    <row r="27" spans="2:10" s="103" customFormat="1" x14ac:dyDescent="0.25">
      <c r="B27" s="66" t="s">
        <v>20</v>
      </c>
      <c r="C27" s="95" t="str">
        <f>IFERROR(IF(VLOOKUP(B27,Overview!$B$30:$E$84,2,FALSE)=0,"",VLOOKUP(B27,Overview!$B$30:$E$84,2,FALSE)),"")</f>
        <v>Tashkent State Technical University</v>
      </c>
      <c r="D27" s="95" t="str">
        <f>IFERROR(IF(OR(VLOOKUP(B27,Overview!$B$30:$E$84,4,FALSE)="Country not found",VLOOKUP(B27,Overview!$B$30:$E$84,3,FALSE)=0),"",VLOOKUP(B27,Overview!$B$30:$E$84,3,FALSE)),"")</f>
        <v>Uzbekistan</v>
      </c>
      <c r="E27" s="120" t="s">
        <v>603</v>
      </c>
      <c r="F27" s="65" t="s">
        <v>602</v>
      </c>
      <c r="G27" s="65" t="s">
        <v>613</v>
      </c>
      <c r="H27" s="106">
        <v>600</v>
      </c>
      <c r="I27" s="107">
        <f t="shared" ref="I27:I50" si="1">IF(J27="Error",0,ROUND(H27,2))</f>
        <v>600</v>
      </c>
      <c r="J27" s="102" t="str">
        <f>IF(OR(COUNTIF(Overview!$B$30:$B$84,B27)=0,C27="",D27="",E27="",F27="",G27="",ISNUMBER(H27)=FALSE,IF(ISNUMBER(H27)=TRUE,H27=INT(H27*100)/100=FALSE)),"Error","")</f>
        <v/>
      </c>
    </row>
    <row r="28" spans="2:10" s="103" customFormat="1" x14ac:dyDescent="0.25">
      <c r="B28" s="66" t="s">
        <v>21</v>
      </c>
      <c r="C28" s="95" t="str">
        <f>IFERROR(IF(VLOOKUP(B28,Overview!$B$30:$E$84,2,FALSE)=0,"",VLOOKUP(B28,Overview!$B$30:$E$84,2,FALSE)),"")</f>
        <v>National University of Uzbekistan</v>
      </c>
      <c r="D28" s="95" t="str">
        <f>IFERROR(IF(OR(VLOOKUP(B28,Overview!$B$30:$E$84,4,FALSE)="Country not found",VLOOKUP(B28,Overview!$B$30:$E$84,3,FALSE)=0),"",VLOOKUP(B28,Overview!$B$30:$E$84,3,FALSE)),"")</f>
        <v>Uzbekistan</v>
      </c>
      <c r="E28" s="120" t="s">
        <v>603</v>
      </c>
      <c r="F28" s="65" t="s">
        <v>602</v>
      </c>
      <c r="G28" s="65" t="s">
        <v>613</v>
      </c>
      <c r="H28" s="106">
        <v>600</v>
      </c>
      <c r="I28" s="107">
        <f t="shared" si="1"/>
        <v>600</v>
      </c>
      <c r="J28" s="102" t="str">
        <f>IF(OR(COUNTIF(Overview!$B$30:$B$84,B28)=0,C28="",D28="",E28="",F28="",G28="",ISNUMBER(H28)=FALSE,IF(ISNUMBER(H28)=TRUE,H28=INT(H28*100)/100=FALSE)),"Error","")</f>
        <v/>
      </c>
    </row>
    <row r="29" spans="2:10" s="103" customFormat="1" x14ac:dyDescent="0.25">
      <c r="B29" s="66" t="s">
        <v>24</v>
      </c>
      <c r="C29" s="95" t="str">
        <f>IFERROR(IF(VLOOKUP(B29,Overview!$B$30:$E$84,2,FALSE)=0,"",VLOOKUP(B29,Overview!$B$30:$E$84,2,FALSE)),"")</f>
        <v>Kyrgyz State Technical University</v>
      </c>
      <c r="D29" s="95" t="str">
        <f>IFERROR(IF(OR(VLOOKUP(B29,Overview!$B$30:$E$84,4,FALSE)="Country not found",VLOOKUP(B29,Overview!$B$30:$E$84,3,FALSE)=0),"",VLOOKUP(B29,Overview!$B$30:$E$84,3,FALSE)),"")</f>
        <v>Kyrgyzstan</v>
      </c>
      <c r="E29" s="120" t="s">
        <v>603</v>
      </c>
      <c r="F29" s="65" t="s">
        <v>602</v>
      </c>
      <c r="G29" s="65" t="s">
        <v>613</v>
      </c>
      <c r="H29" s="106">
        <v>600</v>
      </c>
      <c r="I29" s="107">
        <f t="shared" si="1"/>
        <v>600</v>
      </c>
      <c r="J29" s="102" t="str">
        <f>IF(OR(COUNTIF(Overview!$B$30:$B$84,B29)=0,C29="",D29="",E29="",F29="",G29="",ISNUMBER(H29)=FALSE,IF(ISNUMBER(H29)=TRUE,H29=INT(H29*100)/100=FALSE)),"Error","")</f>
        <v/>
      </c>
    </row>
    <row r="30" spans="2:10" s="103" customFormat="1" x14ac:dyDescent="0.25">
      <c r="B30" s="66" t="s">
        <v>25</v>
      </c>
      <c r="C30" s="95" t="str">
        <f>IFERROR(IF(VLOOKUP(B30,Overview!$B$30:$E$84,2,FALSE)=0,"",VLOOKUP(B30,Overview!$B$30:$E$84,2,FALSE)),"")</f>
        <v>Bishkek Academy of Finance and Economics</v>
      </c>
      <c r="D30" s="95" t="str">
        <f>IFERROR(IF(OR(VLOOKUP(B30,Overview!$B$30:$E$84,4,FALSE)="Country not found",VLOOKUP(B30,Overview!$B$30:$E$84,3,FALSE)=0),"",VLOOKUP(B30,Overview!$B$30:$E$84,3,FALSE)),"")</f>
        <v>Kyrgyzstan</v>
      </c>
      <c r="E30" s="120" t="s">
        <v>603</v>
      </c>
      <c r="F30" s="65" t="s">
        <v>602</v>
      </c>
      <c r="G30" s="65" t="s">
        <v>613</v>
      </c>
      <c r="H30" s="106">
        <v>600</v>
      </c>
      <c r="I30" s="107">
        <f t="shared" si="1"/>
        <v>600</v>
      </c>
      <c r="J30" s="102" t="str">
        <f>IF(OR(COUNTIF(Overview!$B$30:$B$84,B30)=0,C30="",D30="",E30="",F30="",G30="",ISNUMBER(H30)=FALSE,IF(ISNUMBER(H30)=TRUE,H30=INT(H30*100)/100=FALSE)),"Error","")</f>
        <v/>
      </c>
    </row>
    <row r="31" spans="2:10" s="103" customFormat="1" x14ac:dyDescent="0.25">
      <c r="B31" s="66" t="s">
        <v>26</v>
      </c>
      <c r="C31" s="95" t="str">
        <f>IFERROR(IF(VLOOKUP(B31,Overview!$B$30:$E$84,2,FALSE)=0,"",VLOOKUP(B31,Overview!$B$30:$E$84,2,FALSE)),"")</f>
        <v>Osh Technological University</v>
      </c>
      <c r="D31" s="95" t="str">
        <f>IFERROR(IF(OR(VLOOKUP(B31,Overview!$B$30:$E$84,4,FALSE)="Country not found",VLOOKUP(B31,Overview!$B$30:$E$84,3,FALSE)=0),"",VLOOKUP(B31,Overview!$B$30:$E$84,3,FALSE)),"")</f>
        <v>Kyrgyzstan</v>
      </c>
      <c r="E31" s="120" t="s">
        <v>603</v>
      </c>
      <c r="F31" s="65" t="s">
        <v>602</v>
      </c>
      <c r="G31" s="65" t="s">
        <v>613</v>
      </c>
      <c r="H31" s="106">
        <v>600</v>
      </c>
      <c r="I31" s="107">
        <f t="shared" si="1"/>
        <v>600</v>
      </c>
      <c r="J31" s="102" t="str">
        <f>IF(OR(COUNTIF(Overview!$B$30:$B$84,B31)=0,C31="",D31="",E31="",F31="",G31="",ISNUMBER(H31)=FALSE,IF(ISNUMBER(H31)=TRUE,H31=INT(H31*100)/100=FALSE)),"Error","")</f>
        <v/>
      </c>
    </row>
    <row r="32" spans="2:10" s="103" customFormat="1" x14ac:dyDescent="0.25">
      <c r="B32" s="66" t="s">
        <v>28</v>
      </c>
      <c r="C32" s="95" t="str">
        <f>IFERROR(IF(VLOOKUP(B32,Overview!$B$30:$E$84,2,FALSE)=0,"",VLOOKUP(B32,Overview!$B$30:$E$84,2,FALSE)),"")</f>
        <v>Khujand State University</v>
      </c>
      <c r="D32" s="95" t="str">
        <f>IFERROR(IF(OR(VLOOKUP(B32,Overview!$B$30:$E$84,4,FALSE)="Country not found",VLOOKUP(B32,Overview!$B$30:$E$84,3,FALSE)=0),"",VLOOKUP(B32,Overview!$B$30:$E$84,3,FALSE)),"")</f>
        <v>Tajikistan</v>
      </c>
      <c r="E32" s="120" t="s">
        <v>603</v>
      </c>
      <c r="F32" s="65" t="s">
        <v>602</v>
      </c>
      <c r="G32" s="65" t="s">
        <v>613</v>
      </c>
      <c r="H32" s="106">
        <v>600</v>
      </c>
      <c r="I32" s="107">
        <f t="shared" si="1"/>
        <v>600</v>
      </c>
      <c r="J32" s="102" t="str">
        <f>IF(OR(COUNTIF(Overview!$B$30:$B$84,B32)=0,C32="",D32="",E32="",F32="",G32="",ISNUMBER(H32)=FALSE,IF(ISNUMBER(H32)=TRUE,H32=INT(H32*100)/100=FALSE)),"Error","")</f>
        <v/>
      </c>
    </row>
    <row r="33" spans="2:10" s="103" customFormat="1" x14ac:dyDescent="0.25">
      <c r="B33" s="66" t="s">
        <v>29</v>
      </c>
      <c r="C33" s="95" t="str">
        <f>IFERROR(IF(VLOOKUP(B33,Overview!$B$30:$E$84,2,FALSE)=0,"",VLOOKUP(B33,Overview!$B$30:$E$84,2,FALSE)),"")</f>
        <v>Khorog State University</v>
      </c>
      <c r="D33" s="95" t="str">
        <f>IFERROR(IF(OR(VLOOKUP(B33,Overview!$B$30:$E$84,4,FALSE)="Country not found",VLOOKUP(B33,Overview!$B$30:$E$84,3,FALSE)=0),"",VLOOKUP(B33,Overview!$B$30:$E$84,3,FALSE)),"")</f>
        <v>Tajikistan</v>
      </c>
      <c r="E33" s="120" t="s">
        <v>603</v>
      </c>
      <c r="F33" s="65" t="s">
        <v>602</v>
      </c>
      <c r="G33" s="65" t="s">
        <v>613</v>
      </c>
      <c r="H33" s="106">
        <v>600</v>
      </c>
      <c r="I33" s="107">
        <f t="shared" si="1"/>
        <v>600</v>
      </c>
      <c r="J33" s="102" t="str">
        <f>IF(OR(COUNTIF(Overview!$B$30:$B$84,B33)=0,C33="",D33="",E33="",F33="",G33="",ISNUMBER(H33)=FALSE,IF(ISNUMBER(H33)=TRUE,H33=INT(H33*100)/100=FALSE)),"Error","")</f>
        <v/>
      </c>
    </row>
    <row r="34" spans="2:10" s="103" customFormat="1" x14ac:dyDescent="0.25">
      <c r="B34" s="66" t="s">
        <v>30</v>
      </c>
      <c r="C34" s="95" t="str">
        <f>IFERROR(IF(VLOOKUP(B34,Overview!$B$30:$E$84,2,FALSE)=0,"",VLOOKUP(B34,Overview!$B$30:$E$84,2,FALSE)),"")</f>
        <v>Tajik Pedagogical University</v>
      </c>
      <c r="D34" s="95" t="str">
        <f>IFERROR(IF(OR(VLOOKUP(B34,Overview!$B$30:$E$84,4,FALSE)="Country not found",VLOOKUP(B34,Overview!$B$30:$E$84,3,FALSE)=0),"",VLOOKUP(B34,Overview!$B$30:$E$84,3,FALSE)),"")</f>
        <v>Tajikistan</v>
      </c>
      <c r="E34" s="120" t="s">
        <v>603</v>
      </c>
      <c r="F34" s="65" t="s">
        <v>602</v>
      </c>
      <c r="G34" s="65" t="s">
        <v>613</v>
      </c>
      <c r="H34" s="106">
        <v>600</v>
      </c>
      <c r="I34" s="107">
        <f t="shared" si="1"/>
        <v>600</v>
      </c>
      <c r="J34" s="102" t="str">
        <f>IF(OR(COUNTIF(Overview!$B$30:$B$84,B34)=0,C34="",D34="",E34="",F34="",G34="",ISNUMBER(H34)=FALSE,IF(ISNUMBER(H34)=TRUE,H34=INT(H34*100)/100=FALSE)),"Error","")</f>
        <v/>
      </c>
    </row>
    <row r="35" spans="2:10" s="103" customFormat="1" x14ac:dyDescent="0.25">
      <c r="B35" s="66" t="s">
        <v>33</v>
      </c>
      <c r="C35" s="95" t="str">
        <f>IFERROR(IF(VLOOKUP(B35,Overview!$B$30:$E$84,2,FALSE)=0,"",VLOOKUP(B35,Overview!$B$30:$E$84,2,FALSE)),"")</f>
        <v>KIMEP University, JSC</v>
      </c>
      <c r="D35" s="95" t="str">
        <f>IFERROR(IF(OR(VLOOKUP(B35,Overview!$B$30:$E$84,4,FALSE)="Country not found",VLOOKUP(B35,Overview!$B$30:$E$84,3,FALSE)=0),"",VLOOKUP(B35,Overview!$B$30:$E$84,3,FALSE)),"")</f>
        <v>Kazakhstan</v>
      </c>
      <c r="E35" s="120" t="s">
        <v>603</v>
      </c>
      <c r="F35" s="65" t="s">
        <v>602</v>
      </c>
      <c r="G35" s="65" t="s">
        <v>613</v>
      </c>
      <c r="H35" s="106">
        <v>600</v>
      </c>
      <c r="I35" s="107">
        <f t="shared" si="1"/>
        <v>600</v>
      </c>
      <c r="J35" s="102" t="str">
        <f>IF(OR(COUNTIF(Overview!$B$30:$B$84,B35)=0,C35="",D35="",E35="",F35="",G35="",ISNUMBER(H35)=FALSE,IF(ISNUMBER(H35)=TRUE,H35=INT(H35*100)/100=FALSE)),"Error","")</f>
        <v/>
      </c>
    </row>
    <row r="36" spans="2:10" s="103" customFormat="1" x14ac:dyDescent="0.25">
      <c r="B36" s="66" t="s">
        <v>126</v>
      </c>
      <c r="C36" s="95" t="str">
        <f>IFERROR(IF(VLOOKUP(B36,Overview!$B$30:$E$84,2,FALSE)=0,"",VLOOKUP(B36,Overview!$B$30:$E$84,2,FALSE)),"")</f>
        <v>Al-Farabi Kazakhstan National University</v>
      </c>
      <c r="D36" s="95" t="str">
        <f>IFERROR(IF(OR(VLOOKUP(B36,Overview!$B$30:$E$84,4,FALSE)="Country not found",VLOOKUP(B36,Overview!$B$30:$E$84,3,FALSE)=0),"",VLOOKUP(B36,Overview!$B$30:$E$84,3,FALSE)),"")</f>
        <v>Kazakhstan</v>
      </c>
      <c r="E36" s="120" t="s">
        <v>603</v>
      </c>
      <c r="F36" s="65" t="s">
        <v>602</v>
      </c>
      <c r="G36" s="65" t="s">
        <v>613</v>
      </c>
      <c r="H36" s="106">
        <v>600</v>
      </c>
      <c r="I36" s="107">
        <f t="shared" si="1"/>
        <v>600</v>
      </c>
      <c r="J36" s="102" t="str">
        <f>IF(OR(COUNTIF(Overview!$B$30:$B$84,B36)=0,C36="",D36="",E36="",F36="",G36="",ISNUMBER(H36)=FALSE,IF(ISNUMBER(H36)=TRUE,H36=INT(H36*100)/100=FALSE)),"Error","")</f>
        <v/>
      </c>
    </row>
    <row r="37" spans="2:10" s="103" customFormat="1" x14ac:dyDescent="0.25">
      <c r="B37" s="66" t="s">
        <v>127</v>
      </c>
      <c r="C37" s="95" t="str">
        <f>IFERROR(IF(VLOOKUP(B37,Overview!$B$30:$E$84,2,FALSE)=0,"",VLOOKUP(B37,Overview!$B$30:$E$84,2,FALSE)),"")</f>
        <v>Kazakhstan National Technical University</v>
      </c>
      <c r="D37" s="95" t="str">
        <f>IFERROR(IF(OR(VLOOKUP(B37,Overview!$B$30:$E$84,4,FALSE)="Country not found",VLOOKUP(B37,Overview!$B$30:$E$84,3,FALSE)=0),"",VLOOKUP(B37,Overview!$B$30:$E$84,3,FALSE)),"")</f>
        <v>Kazakhstan</v>
      </c>
      <c r="E37" s="120" t="s">
        <v>603</v>
      </c>
      <c r="F37" s="65" t="s">
        <v>602</v>
      </c>
      <c r="G37" s="65" t="s">
        <v>613</v>
      </c>
      <c r="H37" s="106">
        <v>600</v>
      </c>
      <c r="I37" s="107">
        <f t="shared" si="1"/>
        <v>600</v>
      </c>
      <c r="J37" s="102" t="str">
        <f>IF(OR(COUNTIF(Overview!$B$30:$B$84,B37)=0,C37="",D37="",E37="",F37="",G37="",ISNUMBER(H37)=FALSE,IF(ISNUMBER(H37)=TRUE,H37=INT(H37*100)/100=FALSE)),"Error","")</f>
        <v/>
      </c>
    </row>
    <row r="38" spans="2:10" s="103" customFormat="1" x14ac:dyDescent="0.25">
      <c r="B38" s="66" t="s">
        <v>128</v>
      </c>
      <c r="C38" s="95" t="str">
        <f>IFERROR(IF(VLOOKUP(B38,Overview!$B$30:$E$84,2,FALSE)=0,"",VLOOKUP(B38,Overview!$B$30:$E$84,2,FALSE)),"")</f>
        <v xml:space="preserve">Zhezkazgan Baikonurov University </v>
      </c>
      <c r="D38" s="95" t="str">
        <f>IFERROR(IF(OR(VLOOKUP(B38,Overview!$B$30:$E$84,4,FALSE)="Country not found",VLOOKUP(B38,Overview!$B$30:$E$84,3,FALSE)=0),"",VLOOKUP(B38,Overview!$B$30:$E$84,3,FALSE)),"")</f>
        <v>Kazakhstan</v>
      </c>
      <c r="E38" s="120" t="s">
        <v>603</v>
      </c>
      <c r="F38" s="65" t="s">
        <v>602</v>
      </c>
      <c r="G38" s="65" t="s">
        <v>613</v>
      </c>
      <c r="H38" s="106">
        <v>600</v>
      </c>
      <c r="I38" s="107">
        <f t="shared" si="1"/>
        <v>600</v>
      </c>
      <c r="J38" s="102" t="str">
        <f>IF(OR(COUNTIF(Overview!$B$30:$B$84,B38)=0,C38="",D38="",E38="",F38="",G38="",ISNUMBER(H38)=FALSE,IF(ISNUMBER(H38)=TRUE,H38=INT(H38*100)/100=FALSE)),"Error","")</f>
        <v/>
      </c>
    </row>
    <row r="39" spans="2:10" s="103" customFormat="1" ht="36" x14ac:dyDescent="0.25">
      <c r="B39" s="66" t="s">
        <v>20</v>
      </c>
      <c r="C39" s="95" t="str">
        <f>IFERROR(IF(VLOOKUP(B39,Overview!$B$30:$E$84,2,FALSE)=0,"",VLOOKUP(B39,Overview!$B$30:$E$84,2,FALSE)),"")</f>
        <v>Tashkent State Technical University</v>
      </c>
      <c r="D39" s="95" t="str">
        <f>IFERROR(IF(OR(VLOOKUP(B39,Overview!$B$30:$E$84,4,FALSE)="Country not found",VLOOKUP(B39,Overview!$B$30:$E$84,3,FALSE)=0),"",VLOOKUP(B39,Overview!$B$30:$E$84,3,FALSE)),"")</f>
        <v>Uzbekistan</v>
      </c>
      <c r="E39" s="120" t="s">
        <v>13</v>
      </c>
      <c r="F39" s="65" t="s">
        <v>602</v>
      </c>
      <c r="G39" s="65" t="s">
        <v>614</v>
      </c>
      <c r="H39" s="106">
        <v>2400</v>
      </c>
      <c r="I39" s="107">
        <f t="shared" si="1"/>
        <v>2400</v>
      </c>
      <c r="J39" s="102" t="str">
        <f>IF(OR(COUNTIF(Overview!$B$30:$B$84,B39)=0,C39="",D39="",E39="",F39="",G39="",ISNUMBER(H39)=FALSE,IF(ISNUMBER(H39)=TRUE,H39=INT(H39*100)/100=FALSE)),"Error","")</f>
        <v/>
      </c>
    </row>
    <row r="40" spans="2:10" s="103" customFormat="1" ht="36" x14ac:dyDescent="0.25">
      <c r="B40" s="66" t="s">
        <v>21</v>
      </c>
      <c r="C40" s="95" t="str">
        <f>IFERROR(IF(VLOOKUP(B40,Overview!$B$30:$E$84,2,FALSE)=0,"",VLOOKUP(B40,Overview!$B$30:$E$84,2,FALSE)),"")</f>
        <v>National University of Uzbekistan</v>
      </c>
      <c r="D40" s="95" t="str">
        <f>IFERROR(IF(OR(VLOOKUP(B40,Overview!$B$30:$E$84,4,FALSE)="Country not found",VLOOKUP(B40,Overview!$B$30:$E$84,3,FALSE)=0),"",VLOOKUP(B40,Overview!$B$30:$E$84,3,FALSE)),"")</f>
        <v>Uzbekistan</v>
      </c>
      <c r="E40" s="120" t="s">
        <v>13</v>
      </c>
      <c r="F40" s="65" t="s">
        <v>602</v>
      </c>
      <c r="G40" s="65" t="s">
        <v>614</v>
      </c>
      <c r="H40" s="106">
        <v>2400</v>
      </c>
      <c r="I40" s="107">
        <f t="shared" si="1"/>
        <v>2400</v>
      </c>
      <c r="J40" s="102" t="str">
        <f>IF(OR(COUNTIF(Overview!$B$30:$B$84,B40)=0,C40="",D40="",E40="",F40="",G40="",ISNUMBER(H40)=FALSE,IF(ISNUMBER(H40)=TRUE,H40=INT(H40*100)/100=FALSE)),"Error","")</f>
        <v/>
      </c>
    </row>
    <row r="41" spans="2:10" s="103" customFormat="1" ht="36" x14ac:dyDescent="0.25">
      <c r="B41" s="66" t="s">
        <v>24</v>
      </c>
      <c r="C41" s="95" t="str">
        <f>IFERROR(IF(VLOOKUP(B41,Overview!$B$30:$E$84,2,FALSE)=0,"",VLOOKUP(B41,Overview!$B$30:$E$84,2,FALSE)),"")</f>
        <v>Kyrgyz State Technical University</v>
      </c>
      <c r="D41" s="95" t="str">
        <f>IFERROR(IF(OR(VLOOKUP(B41,Overview!$B$30:$E$84,4,FALSE)="Country not found",VLOOKUP(B41,Overview!$B$30:$E$84,3,FALSE)=0),"",VLOOKUP(B41,Overview!$B$30:$E$84,3,FALSE)),"")</f>
        <v>Kyrgyzstan</v>
      </c>
      <c r="E41" s="120" t="s">
        <v>13</v>
      </c>
      <c r="F41" s="65" t="s">
        <v>602</v>
      </c>
      <c r="G41" s="65" t="s">
        <v>614</v>
      </c>
      <c r="H41" s="106">
        <v>2400</v>
      </c>
      <c r="I41" s="107">
        <f t="shared" si="1"/>
        <v>2400</v>
      </c>
      <c r="J41" s="102" t="str">
        <f>IF(OR(COUNTIF(Overview!$B$30:$B$84,B41)=0,C41="",D41="",E41="",F41="",G41="",ISNUMBER(H41)=FALSE,IF(ISNUMBER(H41)=TRUE,H41=INT(H41*100)/100=FALSE)),"Error","")</f>
        <v/>
      </c>
    </row>
    <row r="42" spans="2:10" s="103" customFormat="1" ht="36" x14ac:dyDescent="0.25">
      <c r="B42" s="66" t="s">
        <v>25</v>
      </c>
      <c r="C42" s="95" t="str">
        <f>IFERROR(IF(VLOOKUP(B42,Overview!$B$30:$E$84,2,FALSE)=0,"",VLOOKUP(B42,Overview!$B$30:$E$84,2,FALSE)),"")</f>
        <v>Bishkek Academy of Finance and Economics</v>
      </c>
      <c r="D42" s="95" t="str">
        <f>IFERROR(IF(OR(VLOOKUP(B42,Overview!$B$30:$E$84,4,FALSE)="Country not found",VLOOKUP(B42,Overview!$B$30:$E$84,3,FALSE)=0),"",VLOOKUP(B42,Overview!$B$30:$E$84,3,FALSE)),"")</f>
        <v>Kyrgyzstan</v>
      </c>
      <c r="E42" s="120" t="s">
        <v>13</v>
      </c>
      <c r="F42" s="65" t="s">
        <v>602</v>
      </c>
      <c r="G42" s="65" t="s">
        <v>614</v>
      </c>
      <c r="H42" s="106">
        <v>2400</v>
      </c>
      <c r="I42" s="107">
        <f t="shared" si="1"/>
        <v>2400</v>
      </c>
      <c r="J42" s="102" t="str">
        <f>IF(OR(COUNTIF(Overview!$B$30:$B$84,B42)=0,C42="",D42="",E42="",F42="",G42="",ISNUMBER(H42)=FALSE,IF(ISNUMBER(H42)=TRUE,H42=INT(H42*100)/100=FALSE)),"Error","")</f>
        <v/>
      </c>
    </row>
    <row r="43" spans="2:10" s="103" customFormat="1" ht="36" x14ac:dyDescent="0.25">
      <c r="B43" s="66" t="s">
        <v>26</v>
      </c>
      <c r="C43" s="95" t="str">
        <f>IFERROR(IF(VLOOKUP(B43,Overview!$B$30:$E$84,2,FALSE)=0,"",VLOOKUP(B43,Overview!$B$30:$E$84,2,FALSE)),"")</f>
        <v>Osh Technological University</v>
      </c>
      <c r="D43" s="95" t="str">
        <f>IFERROR(IF(OR(VLOOKUP(B43,Overview!$B$30:$E$84,4,FALSE)="Country not found",VLOOKUP(B43,Overview!$B$30:$E$84,3,FALSE)=0),"",VLOOKUP(B43,Overview!$B$30:$E$84,3,FALSE)),"")</f>
        <v>Kyrgyzstan</v>
      </c>
      <c r="E43" s="120" t="s">
        <v>13</v>
      </c>
      <c r="F43" s="65" t="s">
        <v>602</v>
      </c>
      <c r="G43" s="65" t="s">
        <v>614</v>
      </c>
      <c r="H43" s="106">
        <v>2400</v>
      </c>
      <c r="I43" s="107">
        <f t="shared" si="1"/>
        <v>2400</v>
      </c>
      <c r="J43" s="102" t="str">
        <f>IF(OR(COUNTIF(Overview!$B$30:$B$84,B43)=0,C43="",D43="",E43="",F43="",G43="",ISNUMBER(H43)=FALSE,IF(ISNUMBER(H43)=TRUE,H43=INT(H43*100)/100=FALSE)),"Error","")</f>
        <v/>
      </c>
    </row>
    <row r="44" spans="2:10" s="103" customFormat="1" ht="36" x14ac:dyDescent="0.25">
      <c r="B44" s="66" t="s">
        <v>28</v>
      </c>
      <c r="C44" s="95" t="str">
        <f>IFERROR(IF(VLOOKUP(B44,Overview!$B$30:$E$84,2,FALSE)=0,"",VLOOKUP(B44,Overview!$B$30:$E$84,2,FALSE)),"")</f>
        <v>Khujand State University</v>
      </c>
      <c r="D44" s="95" t="str">
        <f>IFERROR(IF(OR(VLOOKUP(B44,Overview!$B$30:$E$84,4,FALSE)="Country not found",VLOOKUP(B44,Overview!$B$30:$E$84,3,FALSE)=0),"",VLOOKUP(B44,Overview!$B$30:$E$84,3,FALSE)),"")</f>
        <v>Tajikistan</v>
      </c>
      <c r="E44" s="120" t="s">
        <v>13</v>
      </c>
      <c r="F44" s="65" t="s">
        <v>602</v>
      </c>
      <c r="G44" s="65" t="s">
        <v>614</v>
      </c>
      <c r="H44" s="106">
        <v>2400</v>
      </c>
      <c r="I44" s="107">
        <f t="shared" si="1"/>
        <v>2400</v>
      </c>
      <c r="J44" s="102" t="str">
        <f>IF(OR(COUNTIF(Overview!$B$30:$B$84,B44)=0,C44="",D44="",E44="",F44="",G44="",ISNUMBER(H44)=FALSE,IF(ISNUMBER(H44)=TRUE,H44=INT(H44*100)/100=FALSE)),"Error","")</f>
        <v/>
      </c>
    </row>
    <row r="45" spans="2:10" s="103" customFormat="1" ht="36" x14ac:dyDescent="0.25">
      <c r="B45" s="66" t="s">
        <v>29</v>
      </c>
      <c r="C45" s="95" t="str">
        <f>IFERROR(IF(VLOOKUP(B45,Overview!$B$30:$E$84,2,FALSE)=0,"",VLOOKUP(B45,Overview!$B$30:$E$84,2,FALSE)),"")</f>
        <v>Khorog State University</v>
      </c>
      <c r="D45" s="95" t="str">
        <f>IFERROR(IF(OR(VLOOKUP(B45,Overview!$B$30:$E$84,4,FALSE)="Country not found",VLOOKUP(B45,Overview!$B$30:$E$84,3,FALSE)=0),"",VLOOKUP(B45,Overview!$B$30:$E$84,3,FALSE)),"")</f>
        <v>Tajikistan</v>
      </c>
      <c r="E45" s="120" t="s">
        <v>13</v>
      </c>
      <c r="F45" s="65" t="s">
        <v>602</v>
      </c>
      <c r="G45" s="65" t="s">
        <v>614</v>
      </c>
      <c r="H45" s="106">
        <v>2400</v>
      </c>
      <c r="I45" s="107">
        <f t="shared" si="1"/>
        <v>2400</v>
      </c>
      <c r="J45" s="102" t="str">
        <f>IF(OR(COUNTIF(Overview!$B$30:$B$84,B45)=0,C45="",D45="",E45="",F45="",G45="",ISNUMBER(H45)=FALSE,IF(ISNUMBER(H45)=TRUE,H45=INT(H45*100)/100=FALSE)),"Error","")</f>
        <v/>
      </c>
    </row>
    <row r="46" spans="2:10" s="103" customFormat="1" ht="36" x14ac:dyDescent="0.25">
      <c r="B46" s="66" t="s">
        <v>30</v>
      </c>
      <c r="C46" s="95" t="str">
        <f>IFERROR(IF(VLOOKUP(B46,Overview!$B$30:$E$84,2,FALSE)=0,"",VLOOKUP(B46,Overview!$B$30:$E$84,2,FALSE)),"")</f>
        <v>Tajik Pedagogical University</v>
      </c>
      <c r="D46" s="95" t="str">
        <f>IFERROR(IF(OR(VLOOKUP(B46,Overview!$B$30:$E$84,4,FALSE)="Country not found",VLOOKUP(B46,Overview!$B$30:$E$84,3,FALSE)=0),"",VLOOKUP(B46,Overview!$B$30:$E$84,3,FALSE)),"")</f>
        <v>Tajikistan</v>
      </c>
      <c r="E46" s="120" t="s">
        <v>13</v>
      </c>
      <c r="F46" s="65" t="s">
        <v>602</v>
      </c>
      <c r="G46" s="65" t="s">
        <v>614</v>
      </c>
      <c r="H46" s="106">
        <v>2400</v>
      </c>
      <c r="I46" s="107">
        <f t="shared" si="1"/>
        <v>2400</v>
      </c>
      <c r="J46" s="102" t="str">
        <f>IF(OR(COUNTIF(Overview!$B$30:$B$84,B46)=0,C46="",D46="",E46="",F46="",G46="",ISNUMBER(H46)=FALSE,IF(ISNUMBER(H46)=TRUE,H46=INT(H46*100)/100=FALSE)),"Error","")</f>
        <v/>
      </c>
    </row>
    <row r="47" spans="2:10" s="103" customFormat="1" ht="36" x14ac:dyDescent="0.25">
      <c r="B47" s="66" t="s">
        <v>33</v>
      </c>
      <c r="C47" s="95" t="str">
        <f>IFERROR(IF(VLOOKUP(B47,Overview!$B$30:$E$84,2,FALSE)=0,"",VLOOKUP(B47,Overview!$B$30:$E$84,2,FALSE)),"")</f>
        <v>KIMEP University, JSC</v>
      </c>
      <c r="D47" s="95" t="str">
        <f>IFERROR(IF(OR(VLOOKUP(B47,Overview!$B$30:$E$84,4,FALSE)="Country not found",VLOOKUP(B47,Overview!$B$30:$E$84,3,FALSE)=0),"",VLOOKUP(B47,Overview!$B$30:$E$84,3,FALSE)),"")</f>
        <v>Kazakhstan</v>
      </c>
      <c r="E47" s="120" t="s">
        <v>13</v>
      </c>
      <c r="F47" s="65" t="s">
        <v>602</v>
      </c>
      <c r="G47" s="65" t="s">
        <v>614</v>
      </c>
      <c r="H47" s="106">
        <v>2400</v>
      </c>
      <c r="I47" s="107">
        <f t="shared" si="1"/>
        <v>2400</v>
      </c>
      <c r="J47" s="102" t="str">
        <f>IF(OR(COUNTIF(Overview!$B$30:$B$84,B47)=0,C47="",D47="",E47="",F47="",G47="",ISNUMBER(H47)=FALSE,IF(ISNUMBER(H47)=TRUE,H47=INT(H47*100)/100=FALSE)),"Error","")</f>
        <v/>
      </c>
    </row>
    <row r="48" spans="2:10" s="103" customFormat="1" ht="36" x14ac:dyDescent="0.25">
      <c r="B48" s="66" t="s">
        <v>126</v>
      </c>
      <c r="C48" s="95" t="str">
        <f>IFERROR(IF(VLOOKUP(B48,Overview!$B$30:$E$84,2,FALSE)=0,"",VLOOKUP(B48,Overview!$B$30:$E$84,2,FALSE)),"")</f>
        <v>Al-Farabi Kazakhstan National University</v>
      </c>
      <c r="D48" s="95" t="str">
        <f>IFERROR(IF(OR(VLOOKUP(B48,Overview!$B$30:$E$84,4,FALSE)="Country not found",VLOOKUP(B48,Overview!$B$30:$E$84,3,FALSE)=0),"",VLOOKUP(B48,Overview!$B$30:$E$84,3,FALSE)),"")</f>
        <v>Kazakhstan</v>
      </c>
      <c r="E48" s="120" t="s">
        <v>13</v>
      </c>
      <c r="F48" s="65" t="s">
        <v>602</v>
      </c>
      <c r="G48" s="65" t="s">
        <v>614</v>
      </c>
      <c r="H48" s="106">
        <v>2400</v>
      </c>
      <c r="I48" s="107">
        <f t="shared" si="1"/>
        <v>2400</v>
      </c>
      <c r="J48" s="102" t="str">
        <f>IF(OR(COUNTIF(Overview!$B$30:$B$84,B48)=0,C48="",D48="",E48="",F48="",G48="",ISNUMBER(H48)=FALSE,IF(ISNUMBER(H48)=TRUE,H48=INT(H48*100)/100=FALSE)),"Error","")</f>
        <v/>
      </c>
    </row>
    <row r="49" spans="2:10" s="103" customFormat="1" ht="36" x14ac:dyDescent="0.25">
      <c r="B49" s="66" t="s">
        <v>127</v>
      </c>
      <c r="C49" s="95" t="str">
        <f>IFERROR(IF(VLOOKUP(B49,Overview!$B$30:$E$84,2,FALSE)=0,"",VLOOKUP(B49,Overview!$B$30:$E$84,2,FALSE)),"")</f>
        <v>Kazakhstan National Technical University</v>
      </c>
      <c r="D49" s="95" t="str">
        <f>IFERROR(IF(OR(VLOOKUP(B49,Overview!$B$30:$E$84,4,FALSE)="Country not found",VLOOKUP(B49,Overview!$B$30:$E$84,3,FALSE)=0),"",VLOOKUP(B49,Overview!$B$30:$E$84,3,FALSE)),"")</f>
        <v>Kazakhstan</v>
      </c>
      <c r="E49" s="120" t="s">
        <v>13</v>
      </c>
      <c r="F49" s="65" t="s">
        <v>602</v>
      </c>
      <c r="G49" s="65" t="s">
        <v>614</v>
      </c>
      <c r="H49" s="106">
        <v>2400</v>
      </c>
      <c r="I49" s="107">
        <f t="shared" si="1"/>
        <v>2400</v>
      </c>
      <c r="J49" s="102" t="str">
        <f>IF(OR(COUNTIF(Overview!$B$30:$B$84,B49)=0,C49="",D49="",E49="",F49="",G49="",ISNUMBER(H49)=FALSE,IF(ISNUMBER(H49)=TRUE,H49=INT(H49*100)/100=FALSE)),"Error","")</f>
        <v/>
      </c>
    </row>
    <row r="50" spans="2:10" s="103" customFormat="1" ht="36" x14ac:dyDescent="0.25">
      <c r="B50" s="66" t="s">
        <v>128</v>
      </c>
      <c r="C50" s="95" t="str">
        <f>IFERROR(IF(VLOOKUP(B50,Overview!$B$30:$E$84,2,FALSE)=0,"",VLOOKUP(B50,Overview!$B$30:$E$84,2,FALSE)),"")</f>
        <v xml:space="preserve">Zhezkazgan Baikonurov University </v>
      </c>
      <c r="D50" s="95" t="str">
        <f>IFERROR(IF(OR(VLOOKUP(B50,Overview!$B$30:$E$84,4,FALSE)="Country not found",VLOOKUP(B50,Overview!$B$30:$E$84,3,FALSE)=0),"",VLOOKUP(B50,Overview!$B$30:$E$84,3,FALSE)),"")</f>
        <v>Kazakhstan</v>
      </c>
      <c r="E50" s="120" t="s">
        <v>13</v>
      </c>
      <c r="F50" s="65" t="s">
        <v>602</v>
      </c>
      <c r="G50" s="65" t="s">
        <v>614</v>
      </c>
      <c r="H50" s="106">
        <v>2400</v>
      </c>
      <c r="I50" s="107">
        <f t="shared" si="1"/>
        <v>2400</v>
      </c>
      <c r="J50" s="102" t="str">
        <f>IF(OR(COUNTIF(Overview!$B$30:$B$84,B50)=0,C50="",D50="",E50="",F50="",G50="",ISNUMBER(H50)=FALSE,IF(ISNUMBER(H50)=TRUE,H50=INT(H50*100)/100=FALSE)),"Error","")</f>
        <v/>
      </c>
    </row>
    <row r="52" spans="2:10" x14ac:dyDescent="0.25">
      <c r="B52" s="121" t="s">
        <v>536</v>
      </c>
    </row>
    <row r="53" spans="2:10" x14ac:dyDescent="0.25">
      <c r="B53" s="121" t="s">
        <v>537</v>
      </c>
    </row>
    <row r="54" spans="2:10" x14ac:dyDescent="0.25">
      <c r="B54" s="121" t="s">
        <v>538</v>
      </c>
    </row>
  </sheetData>
  <sheetProtection password="E359" sheet="1" objects="1" scenarios="1" selectLockedCells="1"/>
  <dataConsolidate/>
  <mergeCells count="12">
    <mergeCell ref="J11:J12"/>
    <mergeCell ref="B2:J2"/>
    <mergeCell ref="I11:I12"/>
    <mergeCell ref="F11:F12"/>
    <mergeCell ref="C4:C9"/>
    <mergeCell ref="B4:B9"/>
    <mergeCell ref="B11:B12"/>
    <mergeCell ref="C11:C12"/>
    <mergeCell ref="D11:D12"/>
    <mergeCell ref="G11:G12"/>
    <mergeCell ref="H11:H12"/>
    <mergeCell ref="E11:E12"/>
  </mergeCells>
  <conditionalFormatting sqref="J13:J14">
    <cfRule type="containsText" dxfId="91" priority="215" operator="containsText" text="Error">
      <formula>NOT(ISERROR(SEARCH("Error",J13)))</formula>
    </cfRule>
  </conditionalFormatting>
  <conditionalFormatting sqref="C13:D14">
    <cfRule type="containsBlanks" dxfId="90" priority="208">
      <formula>LEN(TRIM(C13))=0</formula>
    </cfRule>
  </conditionalFormatting>
  <conditionalFormatting sqref="J15">
    <cfRule type="containsText" dxfId="89" priority="104" operator="containsText" text="Error">
      <formula>NOT(ISERROR(SEARCH("Error",J15)))</formula>
    </cfRule>
  </conditionalFormatting>
  <conditionalFormatting sqref="C15:D15">
    <cfRule type="containsBlanks" dxfId="88" priority="103">
      <formula>LEN(TRIM(C15))=0</formula>
    </cfRule>
  </conditionalFormatting>
  <conditionalFormatting sqref="J16">
    <cfRule type="containsText" dxfId="87" priority="102" operator="containsText" text="Error">
      <formula>NOT(ISERROR(SEARCH("Error",J16)))</formula>
    </cfRule>
  </conditionalFormatting>
  <conditionalFormatting sqref="C16:D16">
    <cfRule type="containsBlanks" dxfId="86" priority="101">
      <formula>LEN(TRIM(C16))=0</formula>
    </cfRule>
  </conditionalFormatting>
  <conditionalFormatting sqref="J17">
    <cfRule type="containsText" dxfId="85" priority="100" operator="containsText" text="Error">
      <formula>NOT(ISERROR(SEARCH("Error",J17)))</formula>
    </cfRule>
  </conditionalFormatting>
  <conditionalFormatting sqref="C17:D17">
    <cfRule type="containsBlanks" dxfId="84" priority="99">
      <formula>LEN(TRIM(C17))=0</formula>
    </cfRule>
  </conditionalFormatting>
  <conditionalFormatting sqref="J18">
    <cfRule type="containsText" dxfId="83" priority="98" operator="containsText" text="Error">
      <formula>NOT(ISERROR(SEARCH("Error",J18)))</formula>
    </cfRule>
  </conditionalFormatting>
  <conditionalFormatting sqref="C18:D18">
    <cfRule type="containsBlanks" dxfId="82" priority="97">
      <formula>LEN(TRIM(C18))=0</formula>
    </cfRule>
  </conditionalFormatting>
  <conditionalFormatting sqref="J19">
    <cfRule type="containsText" dxfId="81" priority="96" operator="containsText" text="Error">
      <formula>NOT(ISERROR(SEARCH("Error",J19)))</formula>
    </cfRule>
  </conditionalFormatting>
  <conditionalFormatting sqref="C19:D19">
    <cfRule type="containsBlanks" dxfId="80" priority="95">
      <formula>LEN(TRIM(C19))=0</formula>
    </cfRule>
  </conditionalFormatting>
  <conditionalFormatting sqref="J20">
    <cfRule type="containsText" dxfId="79" priority="94" operator="containsText" text="Error">
      <formula>NOT(ISERROR(SEARCH("Error",J20)))</formula>
    </cfRule>
  </conditionalFormatting>
  <conditionalFormatting sqref="C20:D20">
    <cfRule type="containsBlanks" dxfId="78" priority="93">
      <formula>LEN(TRIM(C20))=0</formula>
    </cfRule>
  </conditionalFormatting>
  <conditionalFormatting sqref="J21">
    <cfRule type="containsText" dxfId="77" priority="92" operator="containsText" text="Error">
      <formula>NOT(ISERROR(SEARCH("Error",J21)))</formula>
    </cfRule>
  </conditionalFormatting>
  <conditionalFormatting sqref="C21:D21">
    <cfRule type="containsBlanks" dxfId="76" priority="91">
      <formula>LEN(TRIM(C21))=0</formula>
    </cfRule>
  </conditionalFormatting>
  <conditionalFormatting sqref="J22">
    <cfRule type="containsText" dxfId="75" priority="90" operator="containsText" text="Error">
      <formula>NOT(ISERROR(SEARCH("Error",J22)))</formula>
    </cfRule>
  </conditionalFormatting>
  <conditionalFormatting sqref="C22:D22">
    <cfRule type="containsBlanks" dxfId="74" priority="89">
      <formula>LEN(TRIM(C22))=0</formula>
    </cfRule>
  </conditionalFormatting>
  <conditionalFormatting sqref="J23">
    <cfRule type="containsText" dxfId="73" priority="88" operator="containsText" text="Error">
      <formula>NOT(ISERROR(SEARCH("Error",J23)))</formula>
    </cfRule>
  </conditionalFormatting>
  <conditionalFormatting sqref="C23:D23">
    <cfRule type="containsBlanks" dxfId="72" priority="87">
      <formula>LEN(TRIM(C23))=0</formula>
    </cfRule>
  </conditionalFormatting>
  <conditionalFormatting sqref="J24">
    <cfRule type="containsText" dxfId="71" priority="84" operator="containsText" text="Error">
      <formula>NOT(ISERROR(SEARCH("Error",J24)))</formula>
    </cfRule>
  </conditionalFormatting>
  <conditionalFormatting sqref="C24:D24">
    <cfRule type="containsBlanks" dxfId="70" priority="83">
      <formula>LEN(TRIM(C24))=0</formula>
    </cfRule>
  </conditionalFormatting>
  <conditionalFormatting sqref="J25">
    <cfRule type="containsText" dxfId="69" priority="72" operator="containsText" text="Error">
      <formula>NOT(ISERROR(SEARCH("Error",J25)))</formula>
    </cfRule>
  </conditionalFormatting>
  <conditionalFormatting sqref="C25:D25">
    <cfRule type="containsBlanks" dxfId="68" priority="71">
      <formula>LEN(TRIM(C25))=0</formula>
    </cfRule>
  </conditionalFormatting>
  <conditionalFormatting sqref="J26">
    <cfRule type="containsText" dxfId="67" priority="70" operator="containsText" text="Error">
      <formula>NOT(ISERROR(SEARCH("Error",J26)))</formula>
    </cfRule>
  </conditionalFormatting>
  <conditionalFormatting sqref="C26:D26">
    <cfRule type="containsBlanks" dxfId="66" priority="69">
      <formula>LEN(TRIM(C26))=0</formula>
    </cfRule>
  </conditionalFormatting>
  <conditionalFormatting sqref="J27">
    <cfRule type="containsText" dxfId="65" priority="58" operator="containsText" text="Error">
      <formula>NOT(ISERROR(SEARCH("Error",J27)))</formula>
    </cfRule>
  </conditionalFormatting>
  <conditionalFormatting sqref="C27:D27">
    <cfRule type="containsBlanks" dxfId="64" priority="57">
      <formula>LEN(TRIM(C27))=0</formula>
    </cfRule>
  </conditionalFormatting>
  <conditionalFormatting sqref="J28">
    <cfRule type="containsText" dxfId="63" priority="56" operator="containsText" text="Error">
      <formula>NOT(ISERROR(SEARCH("Error",J28)))</formula>
    </cfRule>
  </conditionalFormatting>
  <conditionalFormatting sqref="C28:D28">
    <cfRule type="containsBlanks" dxfId="62" priority="55">
      <formula>LEN(TRIM(C28))=0</formula>
    </cfRule>
  </conditionalFormatting>
  <conditionalFormatting sqref="J29">
    <cfRule type="containsText" dxfId="61" priority="54" operator="containsText" text="Error">
      <formula>NOT(ISERROR(SEARCH("Error",J29)))</formula>
    </cfRule>
  </conditionalFormatting>
  <conditionalFormatting sqref="C29:D29">
    <cfRule type="containsBlanks" dxfId="60" priority="53">
      <formula>LEN(TRIM(C29))=0</formula>
    </cfRule>
  </conditionalFormatting>
  <conditionalFormatting sqref="J30">
    <cfRule type="containsText" dxfId="59" priority="52" operator="containsText" text="Error">
      <formula>NOT(ISERROR(SEARCH("Error",J30)))</formula>
    </cfRule>
  </conditionalFormatting>
  <conditionalFormatting sqref="C30:D30">
    <cfRule type="containsBlanks" dxfId="58" priority="51">
      <formula>LEN(TRIM(C30))=0</formula>
    </cfRule>
  </conditionalFormatting>
  <conditionalFormatting sqref="J31">
    <cfRule type="containsText" dxfId="57" priority="50" operator="containsText" text="Error">
      <formula>NOT(ISERROR(SEARCH("Error",J31)))</formula>
    </cfRule>
  </conditionalFormatting>
  <conditionalFormatting sqref="C31:D31">
    <cfRule type="containsBlanks" dxfId="56" priority="49">
      <formula>LEN(TRIM(C31))=0</formula>
    </cfRule>
  </conditionalFormatting>
  <conditionalFormatting sqref="J32">
    <cfRule type="containsText" dxfId="55" priority="48" operator="containsText" text="Error">
      <formula>NOT(ISERROR(SEARCH("Error",J32)))</formula>
    </cfRule>
  </conditionalFormatting>
  <conditionalFormatting sqref="C32:D32">
    <cfRule type="containsBlanks" dxfId="54" priority="47">
      <formula>LEN(TRIM(C32))=0</formula>
    </cfRule>
  </conditionalFormatting>
  <conditionalFormatting sqref="J33">
    <cfRule type="containsText" dxfId="53" priority="46" operator="containsText" text="Error">
      <formula>NOT(ISERROR(SEARCH("Error",J33)))</formula>
    </cfRule>
  </conditionalFormatting>
  <conditionalFormatting sqref="C33:D33">
    <cfRule type="containsBlanks" dxfId="52" priority="45">
      <formula>LEN(TRIM(C33))=0</formula>
    </cfRule>
  </conditionalFormatting>
  <conditionalFormatting sqref="J34">
    <cfRule type="containsText" dxfId="51" priority="44" operator="containsText" text="Error">
      <formula>NOT(ISERROR(SEARCH("Error",J34)))</formula>
    </cfRule>
  </conditionalFormatting>
  <conditionalFormatting sqref="C34:D34">
    <cfRule type="containsBlanks" dxfId="50" priority="43">
      <formula>LEN(TRIM(C34))=0</formula>
    </cfRule>
  </conditionalFormatting>
  <conditionalFormatting sqref="J35">
    <cfRule type="containsText" dxfId="49" priority="42" operator="containsText" text="Error">
      <formula>NOT(ISERROR(SEARCH("Error",J35)))</formula>
    </cfRule>
  </conditionalFormatting>
  <conditionalFormatting sqref="C35:D35">
    <cfRule type="containsBlanks" dxfId="48" priority="41">
      <formula>LEN(TRIM(C35))=0</formula>
    </cfRule>
  </conditionalFormatting>
  <conditionalFormatting sqref="J36">
    <cfRule type="containsText" dxfId="47" priority="40" operator="containsText" text="Error">
      <formula>NOT(ISERROR(SEARCH("Error",J36)))</formula>
    </cfRule>
  </conditionalFormatting>
  <conditionalFormatting sqref="C36:D36">
    <cfRule type="containsBlanks" dxfId="46" priority="39">
      <formula>LEN(TRIM(C36))=0</formula>
    </cfRule>
  </conditionalFormatting>
  <conditionalFormatting sqref="J37">
    <cfRule type="containsText" dxfId="45" priority="38" operator="containsText" text="Error">
      <formula>NOT(ISERROR(SEARCH("Error",J37)))</formula>
    </cfRule>
  </conditionalFormatting>
  <conditionalFormatting sqref="C37:D37">
    <cfRule type="containsBlanks" dxfId="44" priority="37">
      <formula>LEN(TRIM(C37))=0</formula>
    </cfRule>
  </conditionalFormatting>
  <conditionalFormatting sqref="J38">
    <cfRule type="containsText" dxfId="43" priority="36" operator="containsText" text="Error">
      <formula>NOT(ISERROR(SEARCH("Error",J38)))</formula>
    </cfRule>
  </conditionalFormatting>
  <conditionalFormatting sqref="C38:D38">
    <cfRule type="containsBlanks" dxfId="42" priority="35">
      <formula>LEN(TRIM(C38))=0</formula>
    </cfRule>
  </conditionalFormatting>
  <conditionalFormatting sqref="J39">
    <cfRule type="containsText" dxfId="41" priority="30" operator="containsText" text="Error">
      <formula>NOT(ISERROR(SEARCH("Error",J39)))</formula>
    </cfRule>
  </conditionalFormatting>
  <conditionalFormatting sqref="C39:D39">
    <cfRule type="containsBlanks" dxfId="40" priority="29">
      <formula>LEN(TRIM(C39))=0</formula>
    </cfRule>
  </conditionalFormatting>
  <conditionalFormatting sqref="J40">
    <cfRule type="containsText" dxfId="39" priority="28" operator="containsText" text="Error">
      <formula>NOT(ISERROR(SEARCH("Error",J40)))</formula>
    </cfRule>
  </conditionalFormatting>
  <conditionalFormatting sqref="C40:D40">
    <cfRule type="containsBlanks" dxfId="38" priority="27">
      <formula>LEN(TRIM(C40))=0</formula>
    </cfRule>
  </conditionalFormatting>
  <conditionalFormatting sqref="J41">
    <cfRule type="containsText" dxfId="37" priority="26" operator="containsText" text="Error">
      <formula>NOT(ISERROR(SEARCH("Error",J41)))</formula>
    </cfRule>
  </conditionalFormatting>
  <conditionalFormatting sqref="C41:D41">
    <cfRule type="containsBlanks" dxfId="36" priority="25">
      <formula>LEN(TRIM(C41))=0</formula>
    </cfRule>
  </conditionalFormatting>
  <conditionalFormatting sqref="J42">
    <cfRule type="containsText" dxfId="35" priority="24" operator="containsText" text="Error">
      <formula>NOT(ISERROR(SEARCH("Error",J42)))</formula>
    </cfRule>
  </conditionalFormatting>
  <conditionalFormatting sqref="C42:D42">
    <cfRule type="containsBlanks" dxfId="34" priority="23">
      <formula>LEN(TRIM(C42))=0</formula>
    </cfRule>
  </conditionalFormatting>
  <conditionalFormatting sqref="J43">
    <cfRule type="containsText" dxfId="33" priority="22" operator="containsText" text="Error">
      <formula>NOT(ISERROR(SEARCH("Error",J43)))</formula>
    </cfRule>
  </conditionalFormatting>
  <conditionalFormatting sqref="C43:D43">
    <cfRule type="containsBlanks" dxfId="32" priority="21">
      <formula>LEN(TRIM(C43))=0</formula>
    </cfRule>
  </conditionalFormatting>
  <conditionalFormatting sqref="J44">
    <cfRule type="containsText" dxfId="31" priority="20" operator="containsText" text="Error">
      <formula>NOT(ISERROR(SEARCH("Error",J44)))</formula>
    </cfRule>
  </conditionalFormatting>
  <conditionalFormatting sqref="C44:D44">
    <cfRule type="containsBlanks" dxfId="30" priority="19">
      <formula>LEN(TRIM(C44))=0</formula>
    </cfRule>
  </conditionalFormatting>
  <conditionalFormatting sqref="J45">
    <cfRule type="containsText" dxfId="29" priority="18" operator="containsText" text="Error">
      <formula>NOT(ISERROR(SEARCH("Error",J45)))</formula>
    </cfRule>
  </conditionalFormatting>
  <conditionalFormatting sqref="C45:D45">
    <cfRule type="containsBlanks" dxfId="28" priority="17">
      <formula>LEN(TRIM(C45))=0</formula>
    </cfRule>
  </conditionalFormatting>
  <conditionalFormatting sqref="J46">
    <cfRule type="containsText" dxfId="27" priority="16" operator="containsText" text="Error">
      <formula>NOT(ISERROR(SEARCH("Error",J46)))</formula>
    </cfRule>
  </conditionalFormatting>
  <conditionalFormatting sqref="C46:D46">
    <cfRule type="containsBlanks" dxfId="26" priority="15">
      <formula>LEN(TRIM(C46))=0</formula>
    </cfRule>
  </conditionalFormatting>
  <conditionalFormatting sqref="J47">
    <cfRule type="containsText" dxfId="25" priority="14" operator="containsText" text="Error">
      <formula>NOT(ISERROR(SEARCH("Error",J47)))</formula>
    </cfRule>
  </conditionalFormatting>
  <conditionalFormatting sqref="C47:D47">
    <cfRule type="containsBlanks" dxfId="24" priority="13">
      <formula>LEN(TRIM(C47))=0</formula>
    </cfRule>
  </conditionalFormatting>
  <conditionalFormatting sqref="J48">
    <cfRule type="containsText" dxfId="23" priority="12" operator="containsText" text="Error">
      <formula>NOT(ISERROR(SEARCH("Error",J48)))</formula>
    </cfRule>
  </conditionalFormatting>
  <conditionalFormatting sqref="C48:D48">
    <cfRule type="containsBlanks" dxfId="22" priority="11">
      <formula>LEN(TRIM(C48))=0</formula>
    </cfRule>
  </conditionalFormatting>
  <conditionalFormatting sqref="J49">
    <cfRule type="containsText" dxfId="21" priority="10" operator="containsText" text="Error">
      <formula>NOT(ISERROR(SEARCH("Error",J49)))</formula>
    </cfRule>
  </conditionalFormatting>
  <conditionalFormatting sqref="C49:D49">
    <cfRule type="containsBlanks" dxfId="20" priority="9">
      <formula>LEN(TRIM(C49))=0</formula>
    </cfRule>
  </conditionalFormatting>
  <conditionalFormatting sqref="J50">
    <cfRule type="containsText" dxfId="19" priority="8" operator="containsText" text="Error">
      <formula>NOT(ISERROR(SEARCH("Error",J50)))</formula>
    </cfRule>
  </conditionalFormatting>
  <conditionalFormatting sqref="C50:D50">
    <cfRule type="containsBlanks" dxfId="18" priority="7">
      <formula>LEN(TRIM(C50))=0</formula>
    </cfRule>
  </conditionalFormatting>
  <dataValidations xWindow="380" yWindow="134" count="4">
    <dataValidation allowBlank="1" showInputMessage="1" showErrorMessage="1" error="Please encode Item" prompt="Please encode Item" sqref="E13:E50"/>
    <dataValidation type="custom" allowBlank="1" showInputMessage="1" showErrorMessage="1" error="Format error (2 decimals only)" prompt="Please encode amount (2 decimals only)" sqref="H13:H50">
      <formula1>H13=INT(H13*100)/100</formula1>
    </dataValidation>
    <dataValidation allowBlank="1" showInputMessage="1" showErrorMessage="1" error="Please encode Justification" prompt="Please encode Justification" sqref="G13:G50"/>
    <dataValidation allowBlank="1" showInputMessage="1" showErrorMessage="1" error="Please encode Source of Co-financing" prompt="Please encode Source of Co-financing" sqref="F13:F50"/>
  </dataValidations>
  <printOptions horizontalCentered="1"/>
  <pageMargins left="0.23622047244094491" right="0.23622047244094491" top="0.39370078740157483" bottom="0.94488188976377963" header="0.31496062992125984" footer="0.31496062992125984"/>
  <pageSetup paperSize="9" scale="43" orientation="landscape" r:id="rId1"/>
  <headerFooter>
    <oddFooter xml:space="preserve">&amp;CPage &amp;P of 3
</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35849" r:id="rId4" name="Button 1">
              <controlPr defaultSize="0" print="0" autoFill="0" autoPict="0" macro="[0]!AddRow">
                <anchor moveWithCells="1" sizeWithCells="1">
                  <from>
                    <xdr:col>1</xdr:col>
                    <xdr:colOff>85725</xdr:colOff>
                    <xdr:row>1</xdr:row>
                    <xdr:rowOff>76200</xdr:rowOff>
                  </from>
                  <to>
                    <xdr:col>1</xdr:col>
                    <xdr:colOff>1066800</xdr:colOff>
                    <xdr:row>1</xdr:row>
                    <xdr:rowOff>438150</xdr:rowOff>
                  </to>
                </anchor>
              </controlPr>
            </control>
          </mc:Choice>
        </mc:AlternateContent>
        <mc:AlternateContent xmlns:mc="http://schemas.openxmlformats.org/markup-compatibility/2006">
          <mc:Choice Requires="x14">
            <control shapeId="35850" r:id="rId5" name="Button 2">
              <controlPr defaultSize="0" print="0" autoFill="0" autoPict="0" macro="[0]!DeleteRow">
                <anchor moveWithCells="1" sizeWithCells="1">
                  <from>
                    <xdr:col>1</xdr:col>
                    <xdr:colOff>1123950</xdr:colOff>
                    <xdr:row>1</xdr:row>
                    <xdr:rowOff>76200</xdr:rowOff>
                  </from>
                  <to>
                    <xdr:col>2</xdr:col>
                    <xdr:colOff>190500</xdr:colOff>
                    <xdr:row>1</xdr:row>
                    <xdr:rowOff>438150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xWindow="380" yWindow="134" count="1">
        <x14:dataValidation type="list" allowBlank="1" showInputMessage="1" showErrorMessage="1" error="Click arrow to select Partner n°" prompt="Click arrow to select Partner n°">
          <x14:formula1>
            <xm:f>Overview!$B$30:$B$84</xm:f>
          </x14:formula1>
          <xm:sqref>B13:B50</xm:sqref>
        </x14:dataValidation>
      </x14:dataValidation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tabColor theme="6" tint="-0.249977111117893"/>
  </sheetPr>
  <dimension ref="B1:I81"/>
  <sheetViews>
    <sheetView showGridLines="0" zoomScale="85" zoomScaleNormal="85" zoomScaleSheetLayoutView="85" workbookViewId="0">
      <selection activeCell="B2" sqref="B2:I2"/>
    </sheetView>
  </sheetViews>
  <sheetFormatPr defaultColWidth="9.140625" defaultRowHeight="18" x14ac:dyDescent="0.25"/>
  <cols>
    <col min="1" max="1" width="1.7109375" style="36" customWidth="1"/>
    <col min="2" max="2" width="30.7109375" style="36" customWidth="1"/>
    <col min="3" max="9" width="20.7109375" style="36" customWidth="1"/>
    <col min="10" max="10" width="1.42578125" style="36" customWidth="1"/>
    <col min="11" max="16384" width="9.140625" style="36"/>
  </cols>
  <sheetData>
    <row r="1" spans="2:9" ht="8.1" customHeight="1" x14ac:dyDescent="0.25"/>
    <row r="2" spans="2:9" s="67" customFormat="1" ht="30" customHeight="1" x14ac:dyDescent="0.25">
      <c r="B2" s="193" t="s">
        <v>374</v>
      </c>
      <c r="C2" s="193"/>
      <c r="D2" s="193"/>
      <c r="E2" s="193"/>
      <c r="F2" s="193"/>
      <c r="G2" s="193"/>
      <c r="H2" s="193"/>
      <c r="I2" s="193"/>
    </row>
    <row r="3" spans="2:9" s="67" customFormat="1" ht="8.1" customHeight="1" x14ac:dyDescent="0.25">
      <c r="B3" s="68"/>
      <c r="C3" s="69"/>
      <c r="D3" s="69"/>
      <c r="E3" s="69"/>
      <c r="F3" s="70"/>
      <c r="G3" s="70"/>
      <c r="H3" s="70"/>
      <c r="I3" s="71"/>
    </row>
    <row r="4" spans="2:9" s="72" customFormat="1" ht="42" customHeight="1" x14ac:dyDescent="0.25">
      <c r="B4" s="35" t="s">
        <v>353</v>
      </c>
      <c r="C4" s="57" t="s">
        <v>493</v>
      </c>
      <c r="D4" s="57" t="s">
        <v>494</v>
      </c>
      <c r="E4" s="57" t="s">
        <v>505</v>
      </c>
      <c r="F4" s="57" t="s">
        <v>506</v>
      </c>
      <c r="G4" s="57" t="s">
        <v>507</v>
      </c>
      <c r="H4" s="58" t="s">
        <v>508</v>
      </c>
      <c r="I4" s="57" t="s">
        <v>355</v>
      </c>
    </row>
    <row r="5" spans="2:9" x14ac:dyDescent="0.25">
      <c r="B5" s="73" t="s">
        <v>367</v>
      </c>
      <c r="C5" s="74">
        <f>SUMIF('1. Staff costs'!B:B,B5,'1. Staff costs'!W:W)</f>
        <v>27910</v>
      </c>
      <c r="D5" s="74">
        <f>SUMIF('2-3. Travel Costs&amp;Costs of Stay'!B:B,B5,'2-3. Travel Costs&amp;Costs of Stay'!L:L)</f>
        <v>34810</v>
      </c>
      <c r="E5" s="75">
        <f>SUMIF('2-3. Travel Costs&amp;Costs of Stay'!B:B,B5,'2-3. Travel Costs&amp;Costs of Stay'!M:M)</f>
        <v>39480</v>
      </c>
      <c r="F5" s="75">
        <f>SUMIF('4. Equipment Costs'!B:B,B5,'4. Equipment Costs'!H:H)</f>
        <v>62400</v>
      </c>
      <c r="G5" s="75">
        <f>SUMIF('5. Subcontracting Costs'!B:B,B5,'5. Subcontracting Costs'!H:H)</f>
        <v>0</v>
      </c>
      <c r="H5" s="211"/>
      <c r="I5" s="76">
        <f>SUM(C5:G5)</f>
        <v>164600</v>
      </c>
    </row>
    <row r="6" spans="2:9" ht="16.5" customHeight="1" x14ac:dyDescent="0.25">
      <c r="B6" s="73" t="s">
        <v>365</v>
      </c>
      <c r="C6" s="74">
        <f>SUMIF('1. Staff costs'!B:B,B6,'1. Staff costs'!W:W)</f>
        <v>71428</v>
      </c>
      <c r="D6" s="74">
        <f>SUMIF('2-3. Travel Costs&amp;Costs of Stay'!B:B,B6,'2-3. Travel Costs&amp;Costs of Stay'!L:L)</f>
        <v>57685</v>
      </c>
      <c r="E6" s="75">
        <f>SUMIF('2-3. Travel Costs&amp;Costs of Stay'!B:B,B6,'2-3. Travel Costs&amp;Costs of Stay'!M:M)</f>
        <v>62160</v>
      </c>
      <c r="F6" s="75">
        <f>SUMIF('4. Equipment Costs'!B:B,B6,'4. Equipment Costs'!H:H)</f>
        <v>60800</v>
      </c>
      <c r="G6" s="75">
        <f>SUMIF('5. Subcontracting Costs'!B:B,B6,'5. Subcontracting Costs'!H:H)</f>
        <v>0</v>
      </c>
      <c r="H6" s="212"/>
      <c r="I6" s="76">
        <f t="shared" ref="I6:I9" si="0">SUM(C6:G6)</f>
        <v>252073</v>
      </c>
    </row>
    <row r="7" spans="2:9" ht="16.5" customHeight="1" x14ac:dyDescent="0.25">
      <c r="B7" s="73" t="s">
        <v>366</v>
      </c>
      <c r="C7" s="74">
        <f>SUMIF('1. Staff costs'!B:B,B7,'1. Staff costs'!W:W)</f>
        <v>40977</v>
      </c>
      <c r="D7" s="74">
        <f>SUMIF('2-3. Travel Costs&amp;Costs of Stay'!B:B,B7,'2-3. Travel Costs&amp;Costs of Stay'!L:L)</f>
        <v>0</v>
      </c>
      <c r="E7" s="75">
        <f>SUMIF('2-3. Travel Costs&amp;Costs of Stay'!B:B,B7,'2-3. Travel Costs&amp;Costs of Stay'!M:M)</f>
        <v>0</v>
      </c>
      <c r="F7" s="75">
        <f>SUMIF('4. Equipment Costs'!B:B,B7,'4. Equipment Costs'!H:H)</f>
        <v>0</v>
      </c>
      <c r="G7" s="75">
        <f>SUMIF('5. Subcontracting Costs'!B:B,B7,'5. Subcontracting Costs'!H:H)</f>
        <v>20000</v>
      </c>
      <c r="H7" s="212"/>
      <c r="I7" s="76">
        <f t="shared" si="0"/>
        <v>60977</v>
      </c>
    </row>
    <row r="8" spans="2:9" ht="16.5" customHeight="1" x14ac:dyDescent="0.25">
      <c r="B8" s="73" t="s">
        <v>369</v>
      </c>
      <c r="C8" s="74">
        <f>SUMIF('1. Staff costs'!B:B,B8,'1. Staff costs'!W:W)</f>
        <v>91450</v>
      </c>
      <c r="D8" s="74">
        <f>SUMIF('2-3. Travel Costs&amp;Costs of Stay'!B:B,B8,'2-3. Travel Costs&amp;Costs of Stay'!L:L)</f>
        <v>84570</v>
      </c>
      <c r="E8" s="75">
        <f>SUMIF('2-3. Travel Costs&amp;Costs of Stay'!B:B,B8,'2-3. Travel Costs&amp;Costs of Stay'!M:M)</f>
        <v>28080</v>
      </c>
      <c r="F8" s="75">
        <f>SUMIF('4. Equipment Costs'!B:B,B8,'4. Equipment Costs'!H:H)</f>
        <v>0</v>
      </c>
      <c r="G8" s="75">
        <f>SUMIF('5. Subcontracting Costs'!B:B,B8,'5. Subcontracting Costs'!H:H)</f>
        <v>0</v>
      </c>
      <c r="H8" s="212"/>
      <c r="I8" s="76">
        <f t="shared" si="0"/>
        <v>204100</v>
      </c>
    </row>
    <row r="9" spans="2:9" ht="16.5" customHeight="1" x14ac:dyDescent="0.25">
      <c r="B9" s="73" t="s">
        <v>368</v>
      </c>
      <c r="C9" s="74">
        <f>SUMIF('1. Staff costs'!B:B,B9,'1. Staff costs'!W:W)</f>
        <v>148450</v>
      </c>
      <c r="D9" s="74">
        <f>SUMIF('2-3. Travel Costs&amp;Costs of Stay'!B:B,B9,'2-3. Travel Costs&amp;Costs of Stay'!L:L)</f>
        <v>104960</v>
      </c>
      <c r="E9" s="75">
        <f>SUMIF('2-3. Travel Costs&amp;Costs of Stay'!B:B,B9,'2-3. Travel Costs&amp;Costs of Stay'!M:M)</f>
        <v>51840</v>
      </c>
      <c r="F9" s="75">
        <f>SUMIF('4. Equipment Costs'!B:B,B9,'4. Equipment Costs'!H:H)</f>
        <v>0</v>
      </c>
      <c r="G9" s="75">
        <f>SUMIF('5. Subcontracting Costs'!B:B,B9,'5. Subcontracting Costs'!H:H)</f>
        <v>0</v>
      </c>
      <c r="H9" s="213"/>
      <c r="I9" s="76">
        <f t="shared" si="0"/>
        <v>305250</v>
      </c>
    </row>
    <row r="10" spans="2:9" x14ac:dyDescent="0.25">
      <c r="B10" s="77" t="s">
        <v>5</v>
      </c>
      <c r="C10" s="76">
        <f t="shared" ref="C10:F10" si="1">SUM(C5:C9)</f>
        <v>380215</v>
      </c>
      <c r="D10" s="76">
        <f t="shared" si="1"/>
        <v>282025</v>
      </c>
      <c r="E10" s="76">
        <f t="shared" si="1"/>
        <v>181560</v>
      </c>
      <c r="F10" s="76">
        <f t="shared" si="1"/>
        <v>123200</v>
      </c>
      <c r="G10" s="76">
        <f>SUM(G5:G9)</f>
        <v>20000</v>
      </c>
      <c r="H10" s="78">
        <f>'B. Special Mob Strand - Student'!C8+'B. Special Mob Strand - Staff'!C8</f>
        <v>0</v>
      </c>
      <c r="I10" s="64">
        <f>SUM(C10:H10)</f>
        <v>987000</v>
      </c>
    </row>
    <row r="14" spans="2:9" ht="23.25" x14ac:dyDescent="0.25">
      <c r="B14" s="193" t="s">
        <v>509</v>
      </c>
      <c r="C14" s="193"/>
      <c r="D14" s="193"/>
      <c r="E14" s="193"/>
      <c r="F14" s="193"/>
      <c r="G14" s="193"/>
      <c r="H14" s="193"/>
      <c r="I14" s="193"/>
    </row>
    <row r="15" spans="2:9" ht="8.1" customHeight="1" x14ac:dyDescent="0.25">
      <c r="B15" s="79"/>
      <c r="C15" s="80"/>
      <c r="D15" s="80"/>
      <c r="E15" s="80"/>
      <c r="F15" s="80"/>
      <c r="G15" s="80"/>
      <c r="H15" s="80"/>
      <c r="I15" s="81"/>
    </row>
    <row r="16" spans="2:9" ht="36" x14ac:dyDescent="0.25">
      <c r="B16" s="35" t="s">
        <v>373</v>
      </c>
      <c r="C16" s="57" t="s">
        <v>493</v>
      </c>
      <c r="D16" s="57" t="s">
        <v>494</v>
      </c>
      <c r="E16" s="57" t="s">
        <v>505</v>
      </c>
      <c r="F16" s="57" t="s">
        <v>506</v>
      </c>
      <c r="G16" s="57" t="s">
        <v>507</v>
      </c>
      <c r="H16" s="58" t="s">
        <v>508</v>
      </c>
      <c r="I16" s="57" t="s">
        <v>355</v>
      </c>
    </row>
    <row r="17" spans="2:9" x14ac:dyDescent="0.25">
      <c r="B17" s="73" t="s">
        <v>501</v>
      </c>
      <c r="C17" s="74">
        <f>SUMIF(Overview!$E$30:$E$84,B17,Overview!$F$30:$F$84)</f>
        <v>216129</v>
      </c>
      <c r="D17" s="74">
        <f>SUMIF(Overview!$E$30:$E$84,B17,Overview!$G$30:$G$84)</f>
        <v>16345</v>
      </c>
      <c r="E17" s="74">
        <f>SUMIF(Overview!$E$30:$E$84,B17,Overview!$H$30:$H$84)</f>
        <v>25440</v>
      </c>
      <c r="F17" s="74">
        <f>SUMIF(Overview!$E$30:$E$84,B17,Overview!$I$30:$I$84)</f>
        <v>0</v>
      </c>
      <c r="G17" s="74">
        <f>SUMIF(Overview!$E$30:$E$84,B17,Overview!$J$30:$J$84)</f>
        <v>20000</v>
      </c>
      <c r="H17" s="82">
        <f>SUMIF(Overview!$E$30:$E$84,B17,Overview!$K$30:$K$84)</f>
        <v>0</v>
      </c>
      <c r="I17" s="76">
        <f>SUM(C17:H17)</f>
        <v>277914</v>
      </c>
    </row>
    <row r="18" spans="2:9" x14ac:dyDescent="0.25">
      <c r="B18" s="73" t="s">
        <v>502</v>
      </c>
      <c r="C18" s="74">
        <f>SUMIF(Overview!$E$30:$E$84,B18,Overview!$F$30:$F$84)</f>
        <v>164086</v>
      </c>
      <c r="D18" s="74">
        <f>SUMIF(Overview!$E$30:$E$84,B18,Overview!$G$30:$G$84)</f>
        <v>265680</v>
      </c>
      <c r="E18" s="74">
        <f>SUMIF(Overview!$E$30:$E$84,B18,Overview!$H$30:$H$84)</f>
        <v>156120</v>
      </c>
      <c r="F18" s="74">
        <f>SUMIF(Overview!$E$30:$E$84,B18,Overview!$I$30:$I$84)</f>
        <v>123200</v>
      </c>
      <c r="G18" s="74">
        <f>SUMIF(Overview!$E$30:$E$84,B18,Overview!$J$30:$J$84)</f>
        <v>0</v>
      </c>
      <c r="H18" s="82">
        <f>SUMIF(Overview!$E$30:$E$84,B18,Overview!$K$30:$K$84)</f>
        <v>0</v>
      </c>
      <c r="I18" s="76">
        <f t="shared" ref="I18" si="2">SUM(C18:H18)</f>
        <v>709086</v>
      </c>
    </row>
    <row r="19" spans="2:9" x14ac:dyDescent="0.25">
      <c r="B19" s="77" t="s">
        <v>5</v>
      </c>
      <c r="C19" s="76">
        <f t="shared" ref="C19:H19" si="3">SUM(C17:C18)</f>
        <v>380215</v>
      </c>
      <c r="D19" s="76">
        <f t="shared" si="3"/>
        <v>282025</v>
      </c>
      <c r="E19" s="76">
        <f t="shared" si="3"/>
        <v>181560</v>
      </c>
      <c r="F19" s="76">
        <f t="shared" si="3"/>
        <v>123200</v>
      </c>
      <c r="G19" s="76">
        <f t="shared" si="3"/>
        <v>20000</v>
      </c>
      <c r="H19" s="78">
        <f t="shared" si="3"/>
        <v>0</v>
      </c>
      <c r="I19" s="64">
        <f>SUM(C19:H19)</f>
        <v>987000</v>
      </c>
    </row>
    <row r="20" spans="2:9" ht="12.75" customHeight="1" x14ac:dyDescent="0.25"/>
    <row r="21" spans="2:9" ht="12.75" customHeight="1" x14ac:dyDescent="0.25"/>
    <row r="22" spans="2:9" ht="12.75" customHeight="1" x14ac:dyDescent="0.25"/>
    <row r="23" spans="2:9" ht="23.25" x14ac:dyDescent="0.25">
      <c r="B23" s="193" t="s">
        <v>512</v>
      </c>
      <c r="C23" s="193"/>
      <c r="D23" s="193"/>
      <c r="E23" s="193"/>
      <c r="F23" s="193"/>
      <c r="G23" s="193"/>
      <c r="H23" s="193"/>
      <c r="I23" s="193"/>
    </row>
    <row r="24" spans="2:9" ht="8.1" customHeight="1" x14ac:dyDescent="0.25">
      <c r="B24" s="83"/>
      <c r="I24" s="84"/>
    </row>
    <row r="25" spans="2:9" ht="36" x14ac:dyDescent="0.25">
      <c r="B25" s="55" t="s">
        <v>511</v>
      </c>
      <c r="C25" s="35" t="s">
        <v>367</v>
      </c>
      <c r="D25" s="35" t="s">
        <v>365</v>
      </c>
      <c r="E25" s="35" t="s">
        <v>366</v>
      </c>
      <c r="F25" s="55" t="s">
        <v>510</v>
      </c>
      <c r="G25" s="35" t="s">
        <v>368</v>
      </c>
      <c r="H25" s="58" t="s">
        <v>508</v>
      </c>
      <c r="I25" s="57" t="s">
        <v>355</v>
      </c>
    </row>
    <row r="26" spans="2:9" x14ac:dyDescent="0.25">
      <c r="B26" s="35" t="s">
        <v>15</v>
      </c>
      <c r="C26" s="75">
        <f>SUMIFS('1. Staff costs'!W:W,'1. Staff costs'!C:C,B26,'1. Staff costs'!B:B,$C$25)+SUMIFS('2-3. Travel Costs&amp;Costs of Stay'!N:N,'2-3. Travel Costs&amp;Costs of Stay'!C:C,B26,'2-3. Travel Costs&amp;Costs of Stay'!B:B,$C$25)+SUMIFS('4. Equipment Costs'!H:H,'4. Equipment Costs'!C:C,B26,'4. Equipment Costs'!B:B,$C$25)+SUMIFS('5. Subcontracting Costs'!H:H,'5. Subcontracting Costs'!C:C,B26,'5. Subcontracting Costs'!B:B,$C$25)</f>
        <v>5660</v>
      </c>
      <c r="D26" s="75">
        <f>SUMIFS('1. Staff costs'!W:W,'1. Staff costs'!C:C,B26,'1. Staff costs'!B:B,$D$25)+SUMIFS('2-3. Travel Costs&amp;Costs of Stay'!N:N,'2-3. Travel Costs&amp;Costs of Stay'!C:C,B26,'2-3. Travel Costs&amp;Costs of Stay'!B:B,$D$25)+SUMIFS('4. Equipment Costs'!H:H,'4. Equipment Costs'!C:C,B26,'4. Equipment Costs'!B:B,$D$25)+SUMIFS('5. Subcontracting Costs'!H:H,'5. Subcontracting Costs'!C:C,B26,'5. Subcontracting Costs'!B:B,$D$25)</f>
        <v>11545</v>
      </c>
      <c r="E26" s="75">
        <f>SUMIFS('1. Staff costs'!W:W,'1. Staff costs'!C:C,B26,'1. Staff costs'!B:B,$E$25)+SUMIFS('2-3. Travel Costs&amp;Costs of Stay'!N:N,'2-3. Travel Costs&amp;Costs of Stay'!C:C,B26,'2-3. Travel Costs&amp;Costs of Stay'!B:B,$E$25)+SUMIFS('4. Equipment Costs'!H:H,'4. Equipment Costs'!C:C,B26,'4. Equipment Costs'!B:B,$E$25)+SUMIFS('5. Subcontracting Costs'!H:H,'5. Subcontracting Costs'!C:C,B26,'5. Subcontracting Costs'!B:B,$E$25)</f>
        <v>6450</v>
      </c>
      <c r="F26" s="75">
        <f>SUMIFS('1. Staff costs'!W:W,'1. Staff costs'!C:C,B26,'1. Staff costs'!B:B,$B$8)+SUMIFS('2-3. Travel Costs&amp;Costs of Stay'!N:N,'2-3. Travel Costs&amp;Costs of Stay'!C:C,B26,'2-3. Travel Costs&amp;Costs of Stay'!B:B,$B$8)+SUMIFS('4. Equipment Costs'!H:H,'4. Equipment Costs'!C:C,B26,'4. Equipment Costs'!B:B,$B$8)+SUMIFS('5. Subcontracting Costs'!H:H,'5. Subcontracting Costs'!C:C,B26,'5. Subcontracting Costs'!B:B,$B$8)</f>
        <v>19132</v>
      </c>
      <c r="G26" s="75">
        <f>SUMIFS('1. Staff costs'!W:W,'1. Staff costs'!C:C,B26,'1. Staff costs'!B:B,$G$25)+SUMIFS('2-3. Travel Costs&amp;Costs of Stay'!N:N,'2-3. Travel Costs&amp;Costs of Stay'!C:C,B26,'2-3. Travel Costs&amp;Costs of Stay'!B:B,$G$25)+SUMIFS('4. Equipment Costs'!H:H,'4. Equipment Costs'!C:C,B26,'4. Equipment Costs'!B:B,$G$25)+SUMIFS('5. Subcontracting Costs'!H:H,'5. Subcontracting Costs'!C:C,B26,'5. Subcontracting Costs'!B:B,$G$25)</f>
        <v>33760</v>
      </c>
      <c r="H26" s="82">
        <f>SUMIF('B. Special Mob Strand - Student'!B:B,B26,'B. Special Mob Strand - Student'!N:N)+SUMIF('B. Special Mob Strand - Staff'!B:B,B26,'B. Special Mob Strand - Staff'!N:N)</f>
        <v>0</v>
      </c>
      <c r="I26" s="85">
        <f>SUM(C26:H26)</f>
        <v>76547</v>
      </c>
    </row>
    <row r="27" spans="2:9" x14ac:dyDescent="0.25">
      <c r="B27" s="35" t="s">
        <v>16</v>
      </c>
      <c r="C27" s="75">
        <f>SUMIFS('1. Staff costs'!W:W,'1. Staff costs'!C:C,B27,'1. Staff costs'!B:B,$C$25)+SUMIFS('2-3. Travel Costs&amp;Costs of Stay'!N:N,'2-3. Travel Costs&amp;Costs of Stay'!C:C,B27,'2-3. Travel Costs&amp;Costs of Stay'!B:B,$C$25)+SUMIFS('4. Equipment Costs'!H:H,'4. Equipment Costs'!C:C,B27,'4. Equipment Costs'!B:B,$C$25)+SUMIFS('5. Subcontracting Costs'!H:H,'5. Subcontracting Costs'!C:C,B27,'5. Subcontracting Costs'!B:B,$C$25)</f>
        <v>2230</v>
      </c>
      <c r="D27" s="75">
        <f>SUMIFS('1. Staff costs'!W:W,'1. Staff costs'!C:C,B27,'1. Staff costs'!B:B,$D$25)+SUMIFS('2-3. Travel Costs&amp;Costs of Stay'!N:N,'2-3. Travel Costs&amp;Costs of Stay'!C:C,B27,'2-3. Travel Costs&amp;Costs of Stay'!B:B,$D$25)+SUMIFS('4. Equipment Costs'!H:H,'4. Equipment Costs'!C:C,B27,'4. Equipment Costs'!B:B,$D$25)+SUMIFS('5. Subcontracting Costs'!H:H,'5. Subcontracting Costs'!C:C,B27,'5. Subcontracting Costs'!B:B,$D$25)</f>
        <v>11645</v>
      </c>
      <c r="E27" s="75">
        <f>SUMIFS('1. Staff costs'!W:W,'1. Staff costs'!C:C,B27,'1. Staff costs'!B:B,$E$25)+SUMIFS('2-3. Travel Costs&amp;Costs of Stay'!N:N,'2-3. Travel Costs&amp;Costs of Stay'!C:C,B27,'2-3. Travel Costs&amp;Costs of Stay'!B:B,$E$25)+SUMIFS('4. Equipment Costs'!H:H,'4. Equipment Costs'!C:C,B27,'4. Equipment Costs'!B:B,$E$25)+SUMIFS('5. Subcontracting Costs'!H:H,'5. Subcontracting Costs'!C:C,B27,'5. Subcontracting Costs'!B:B,$E$25)</f>
        <v>0</v>
      </c>
      <c r="F27" s="75">
        <f>SUMIFS('1. Staff costs'!W:W,'1. Staff costs'!C:C,B27,'1. Staff costs'!B:B,$B$8)+SUMIFS('2-3. Travel Costs&amp;Costs of Stay'!N:N,'2-3. Travel Costs&amp;Costs of Stay'!C:C,B27,'2-3. Travel Costs&amp;Costs of Stay'!B:B,$B$8)+SUMIFS('4. Equipment Costs'!H:H,'4. Equipment Costs'!C:C,B27,'4. Equipment Costs'!B:B,$B$8)+SUMIFS('5. Subcontracting Costs'!H:H,'5. Subcontracting Costs'!C:C,B27,'5. Subcontracting Costs'!B:B,$B$8)</f>
        <v>8175</v>
      </c>
      <c r="G27" s="75">
        <f>SUMIFS('1. Staff costs'!W:W,'1. Staff costs'!C:C,B27,'1. Staff costs'!B:B,$G$25)+SUMIFS('2-3. Travel Costs&amp;Costs of Stay'!N:N,'2-3. Travel Costs&amp;Costs of Stay'!C:C,B27,'2-3. Travel Costs&amp;Costs of Stay'!B:B,$G$25)+SUMIFS('4. Equipment Costs'!H:H,'4. Equipment Costs'!C:C,B27,'4. Equipment Costs'!B:B,$G$25)+SUMIFS('5. Subcontracting Costs'!H:H,'5. Subcontracting Costs'!C:C,B27,'5. Subcontracting Costs'!B:B,$G$25)</f>
        <v>24360</v>
      </c>
      <c r="H27" s="82">
        <f>SUMIF('B. Special Mob Strand - Student'!B:B,B27,'B. Special Mob Strand - Student'!N:N)+SUMIF('B. Special Mob Strand - Staff'!B:B,B27,'B. Special Mob Strand - Staff'!N:N)</f>
        <v>0</v>
      </c>
      <c r="I27" s="85">
        <f t="shared" ref="I27:I80" si="4">SUM(C27:H27)</f>
        <v>46410</v>
      </c>
    </row>
    <row r="28" spans="2:9" x14ac:dyDescent="0.25">
      <c r="B28" s="35" t="s">
        <v>17</v>
      </c>
      <c r="C28" s="75">
        <f>SUMIFS('1. Staff costs'!W:W,'1. Staff costs'!C:C,B28,'1. Staff costs'!B:B,$C$25)+SUMIFS('2-3. Travel Costs&amp;Costs of Stay'!N:N,'2-3. Travel Costs&amp;Costs of Stay'!C:C,B28,'2-3. Travel Costs&amp;Costs of Stay'!B:B,$C$25)+SUMIFS('4. Equipment Costs'!H:H,'4. Equipment Costs'!C:C,B28,'4. Equipment Costs'!B:B,$C$25)+SUMIFS('5. Subcontracting Costs'!H:H,'5. Subcontracting Costs'!C:C,B28,'5. Subcontracting Costs'!B:B,$C$25)</f>
        <v>3710</v>
      </c>
      <c r="D28" s="75">
        <f>SUMIFS('1. Staff costs'!W:W,'1. Staff costs'!C:C,B28,'1. Staff costs'!B:B,$D$25)+SUMIFS('2-3. Travel Costs&amp;Costs of Stay'!N:N,'2-3. Travel Costs&amp;Costs of Stay'!C:C,B28,'2-3. Travel Costs&amp;Costs of Stay'!B:B,$D$25)+SUMIFS('4. Equipment Costs'!H:H,'4. Equipment Costs'!C:C,B28,'4. Equipment Costs'!B:B,$D$25)+SUMIFS('5. Subcontracting Costs'!H:H,'5. Subcontracting Costs'!C:C,B28,'5. Subcontracting Costs'!B:B,$D$25)</f>
        <v>3020</v>
      </c>
      <c r="E28" s="75">
        <f>SUMIFS('1. Staff costs'!W:W,'1. Staff costs'!C:C,B28,'1. Staff costs'!B:B,$E$25)+SUMIFS('2-3. Travel Costs&amp;Costs of Stay'!N:N,'2-3. Travel Costs&amp;Costs of Stay'!C:C,B28,'2-3. Travel Costs&amp;Costs of Stay'!B:B,$E$25)+SUMIFS('4. Equipment Costs'!H:H,'4. Equipment Costs'!C:C,B28,'4. Equipment Costs'!B:B,$E$25)+SUMIFS('5. Subcontracting Costs'!H:H,'5. Subcontracting Costs'!C:C,B28,'5. Subcontracting Costs'!B:B,$E$25)</f>
        <v>20000</v>
      </c>
      <c r="F28" s="75">
        <f>SUMIFS('1. Staff costs'!W:W,'1. Staff costs'!C:C,B28,'1. Staff costs'!B:B,$B$8)+SUMIFS('2-3. Travel Costs&amp;Costs of Stay'!N:N,'2-3. Travel Costs&amp;Costs of Stay'!C:C,B28,'2-3. Travel Costs&amp;Costs of Stay'!B:B,$B$8)+SUMIFS('4. Equipment Costs'!H:H,'4. Equipment Costs'!C:C,B28,'4. Equipment Costs'!B:B,$B$8)+SUMIFS('5. Subcontracting Costs'!H:H,'5. Subcontracting Costs'!C:C,B28,'5. Subcontracting Costs'!B:B,$B$8)</f>
        <v>7977</v>
      </c>
      <c r="G28" s="75">
        <f>SUMIFS('1. Staff costs'!W:W,'1. Staff costs'!C:C,B28,'1. Staff costs'!B:B,$G$25)+SUMIFS('2-3. Travel Costs&amp;Costs of Stay'!N:N,'2-3. Travel Costs&amp;Costs of Stay'!C:C,B28,'2-3. Travel Costs&amp;Costs of Stay'!B:B,$G$25)+SUMIFS('4. Equipment Costs'!H:H,'4. Equipment Costs'!C:C,B28,'4. Equipment Costs'!B:B,$G$25)+SUMIFS('5. Subcontracting Costs'!H:H,'5. Subcontracting Costs'!C:C,B28,'5. Subcontracting Costs'!B:B,$G$25)</f>
        <v>10160</v>
      </c>
      <c r="H28" s="82">
        <f>SUMIF('B. Special Mob Strand - Student'!B:B,B28,'B. Special Mob Strand - Student'!N:N)+SUMIF('B. Special Mob Strand - Staff'!B:B,B28,'B. Special Mob Strand - Staff'!N:N)</f>
        <v>0</v>
      </c>
      <c r="I28" s="85">
        <f t="shared" si="4"/>
        <v>44867</v>
      </c>
    </row>
    <row r="29" spans="2:9" x14ac:dyDescent="0.25">
      <c r="B29" s="35" t="s">
        <v>18</v>
      </c>
      <c r="C29" s="75">
        <f>SUMIFS('1. Staff costs'!W:W,'1. Staff costs'!C:C,B29,'1. Staff costs'!B:B,$C$25)+SUMIFS('2-3. Travel Costs&amp;Costs of Stay'!N:N,'2-3. Travel Costs&amp;Costs of Stay'!C:C,B29,'2-3. Travel Costs&amp;Costs of Stay'!B:B,$C$25)+SUMIFS('4. Equipment Costs'!H:H,'4. Equipment Costs'!C:C,B29,'4. Equipment Costs'!B:B,$C$25)+SUMIFS('5. Subcontracting Costs'!H:H,'5. Subcontracting Costs'!C:C,B29,'5. Subcontracting Costs'!B:B,$C$25)</f>
        <v>5440</v>
      </c>
      <c r="D29" s="75">
        <f>SUMIFS('1. Staff costs'!W:W,'1. Staff costs'!C:C,B29,'1. Staff costs'!B:B,$D$25)+SUMIFS('2-3. Travel Costs&amp;Costs of Stay'!N:N,'2-3. Travel Costs&amp;Costs of Stay'!C:C,B29,'2-3. Travel Costs&amp;Costs of Stay'!B:B,$D$25)+SUMIFS('4. Equipment Costs'!H:H,'4. Equipment Costs'!C:C,B29,'4. Equipment Costs'!B:B,$D$25)+SUMIFS('5. Subcontracting Costs'!H:H,'5. Subcontracting Costs'!C:C,B29,'5. Subcontracting Costs'!B:B,$D$25)</f>
        <v>12420</v>
      </c>
      <c r="E29" s="75">
        <f>SUMIFS('1. Staff costs'!W:W,'1. Staff costs'!C:C,B29,'1. Staff costs'!B:B,$E$25)+SUMIFS('2-3. Travel Costs&amp;Costs of Stay'!N:N,'2-3. Travel Costs&amp;Costs of Stay'!C:C,B29,'2-3. Travel Costs&amp;Costs of Stay'!B:B,$E$25)+SUMIFS('4. Equipment Costs'!H:H,'4. Equipment Costs'!C:C,B29,'4. Equipment Costs'!B:B,$E$25)+SUMIFS('5. Subcontracting Costs'!H:H,'5. Subcontracting Costs'!C:C,B29,'5. Subcontracting Costs'!B:B,$E$25)</f>
        <v>0</v>
      </c>
      <c r="F29" s="75">
        <f>SUMIFS('1. Staff costs'!W:W,'1. Staff costs'!C:C,B29,'1. Staff costs'!B:B,$B$8)+SUMIFS('2-3. Travel Costs&amp;Costs of Stay'!N:N,'2-3. Travel Costs&amp;Costs of Stay'!C:C,B29,'2-3. Travel Costs&amp;Costs of Stay'!B:B,$B$8)+SUMIFS('4. Equipment Costs'!H:H,'4. Equipment Costs'!C:C,B29,'4. Equipment Costs'!B:B,$B$8)+SUMIFS('5. Subcontracting Costs'!H:H,'5. Subcontracting Costs'!C:C,B29,'5. Subcontracting Costs'!B:B,$B$8)</f>
        <v>18680</v>
      </c>
      <c r="G29" s="75">
        <f>SUMIFS('1. Staff costs'!W:W,'1. Staff costs'!C:C,B29,'1. Staff costs'!B:B,$G$25)+SUMIFS('2-3. Travel Costs&amp;Costs of Stay'!N:N,'2-3. Travel Costs&amp;Costs of Stay'!C:C,B29,'2-3. Travel Costs&amp;Costs of Stay'!B:B,$G$25)+SUMIFS('4. Equipment Costs'!H:H,'4. Equipment Costs'!C:C,B29,'4. Equipment Costs'!B:B,$G$25)+SUMIFS('5. Subcontracting Costs'!H:H,'5. Subcontracting Costs'!C:C,B29,'5. Subcontracting Costs'!B:B,$G$25)</f>
        <v>22900</v>
      </c>
      <c r="H29" s="82">
        <f>SUMIF('B. Special Mob Strand - Student'!B:B,B29,'B. Special Mob Strand - Student'!N:N)+SUMIF('B. Special Mob Strand - Staff'!B:B,B29,'B. Special Mob Strand - Staff'!N:N)</f>
        <v>0</v>
      </c>
      <c r="I29" s="85">
        <f t="shared" si="4"/>
        <v>59440</v>
      </c>
    </row>
    <row r="30" spans="2:9" x14ac:dyDescent="0.25">
      <c r="B30" s="35" t="s">
        <v>19</v>
      </c>
      <c r="C30" s="75">
        <f>SUMIFS('1. Staff costs'!W:W,'1. Staff costs'!C:C,B30,'1. Staff costs'!B:B,$C$25)+SUMIFS('2-3. Travel Costs&amp;Costs of Stay'!N:N,'2-3. Travel Costs&amp;Costs of Stay'!C:C,B30,'2-3. Travel Costs&amp;Costs of Stay'!B:B,$C$25)+SUMIFS('4. Equipment Costs'!H:H,'4. Equipment Costs'!C:C,B30,'4. Equipment Costs'!B:B,$C$25)+SUMIFS('5. Subcontracting Costs'!H:H,'5. Subcontracting Costs'!C:C,B30,'5. Subcontracting Costs'!B:B,$C$25)</f>
        <v>1200</v>
      </c>
      <c r="D30" s="75">
        <f>SUMIFS('1. Staff costs'!W:W,'1. Staff costs'!C:C,B30,'1. Staff costs'!B:B,$D$25)+SUMIFS('2-3. Travel Costs&amp;Costs of Stay'!N:N,'2-3. Travel Costs&amp;Costs of Stay'!C:C,B30,'2-3. Travel Costs&amp;Costs of Stay'!B:B,$D$25)+SUMIFS('4. Equipment Costs'!H:H,'4. Equipment Costs'!C:C,B30,'4. Equipment Costs'!B:B,$D$25)+SUMIFS('5. Subcontracting Costs'!H:H,'5. Subcontracting Costs'!C:C,B30,'5. Subcontracting Costs'!B:B,$D$25)</f>
        <v>7580</v>
      </c>
      <c r="E30" s="75">
        <f>SUMIFS('1. Staff costs'!W:W,'1. Staff costs'!C:C,B30,'1. Staff costs'!B:B,$E$25)+SUMIFS('2-3. Travel Costs&amp;Costs of Stay'!N:N,'2-3. Travel Costs&amp;Costs of Stay'!C:C,B30,'2-3. Travel Costs&amp;Costs of Stay'!B:B,$E$25)+SUMIFS('4. Equipment Costs'!H:H,'4. Equipment Costs'!C:C,B30,'4. Equipment Costs'!B:B,$E$25)+SUMIFS('5. Subcontracting Costs'!H:H,'5. Subcontracting Costs'!C:C,B30,'5. Subcontracting Costs'!B:B,$E$25)</f>
        <v>8800</v>
      </c>
      <c r="F30" s="75">
        <f>SUMIFS('1. Staff costs'!W:W,'1. Staff costs'!C:C,B30,'1. Staff costs'!B:B,$B$8)+SUMIFS('2-3. Travel Costs&amp;Costs of Stay'!N:N,'2-3. Travel Costs&amp;Costs of Stay'!C:C,B30,'2-3. Travel Costs&amp;Costs of Stay'!B:B,$B$8)+SUMIFS('4. Equipment Costs'!H:H,'4. Equipment Costs'!C:C,B30,'4. Equipment Costs'!B:B,$B$8)+SUMIFS('5. Subcontracting Costs'!H:H,'5. Subcontracting Costs'!C:C,B30,'5. Subcontracting Costs'!B:B,$B$8)</f>
        <v>8000</v>
      </c>
      <c r="G30" s="75">
        <f>SUMIFS('1. Staff costs'!W:W,'1. Staff costs'!C:C,B30,'1. Staff costs'!B:B,$G$25)+SUMIFS('2-3. Travel Costs&amp;Costs of Stay'!N:N,'2-3. Travel Costs&amp;Costs of Stay'!C:C,B30,'2-3. Travel Costs&amp;Costs of Stay'!B:B,$G$25)+SUMIFS('4. Equipment Costs'!H:H,'4. Equipment Costs'!C:C,B30,'4. Equipment Costs'!B:B,$G$25)+SUMIFS('5. Subcontracting Costs'!H:H,'5. Subcontracting Costs'!C:C,B30,'5. Subcontracting Costs'!B:B,$G$25)</f>
        <v>25070</v>
      </c>
      <c r="H30" s="82">
        <f>SUMIF('B. Special Mob Strand - Student'!B:B,B30,'B. Special Mob Strand - Student'!N:N)+SUMIF('B. Special Mob Strand - Staff'!B:B,B30,'B. Special Mob Strand - Staff'!N:N)</f>
        <v>0</v>
      </c>
      <c r="I30" s="85">
        <f t="shared" si="4"/>
        <v>50650</v>
      </c>
    </row>
    <row r="31" spans="2:9" x14ac:dyDescent="0.25">
      <c r="B31" s="35" t="s">
        <v>20</v>
      </c>
      <c r="C31" s="75">
        <f>SUMIFS('1. Staff costs'!W:W,'1. Staff costs'!C:C,B31,'1. Staff costs'!B:B,$C$25)+SUMIFS('2-3. Travel Costs&amp;Costs of Stay'!N:N,'2-3. Travel Costs&amp;Costs of Stay'!C:C,B31,'2-3. Travel Costs&amp;Costs of Stay'!B:B,$C$25)+SUMIFS('4. Equipment Costs'!H:H,'4. Equipment Costs'!C:C,B31,'4. Equipment Costs'!B:B,$C$25)+SUMIFS('5. Subcontracting Costs'!H:H,'5. Subcontracting Costs'!C:C,B31,'5. Subcontracting Costs'!B:B,$C$25)</f>
        <v>9905</v>
      </c>
      <c r="D31" s="75">
        <f>SUMIFS('1. Staff costs'!W:W,'1. Staff costs'!C:C,B31,'1. Staff costs'!B:B,$D$25)+SUMIFS('2-3. Travel Costs&amp;Costs of Stay'!N:N,'2-3. Travel Costs&amp;Costs of Stay'!C:C,B31,'2-3. Travel Costs&amp;Costs of Stay'!B:B,$D$25)+SUMIFS('4. Equipment Costs'!H:H,'4. Equipment Costs'!C:C,B31,'4. Equipment Costs'!B:B,$D$25)+SUMIFS('5. Subcontracting Costs'!H:H,'5. Subcontracting Costs'!C:C,B31,'5. Subcontracting Costs'!B:B,$D$25)</f>
        <v>23385</v>
      </c>
      <c r="E31" s="75">
        <f>SUMIFS('1. Staff costs'!W:W,'1. Staff costs'!C:C,B31,'1. Staff costs'!B:B,$E$25)+SUMIFS('2-3. Travel Costs&amp;Costs of Stay'!N:N,'2-3. Travel Costs&amp;Costs of Stay'!C:C,B31,'2-3. Travel Costs&amp;Costs of Stay'!B:B,$E$25)+SUMIFS('4. Equipment Costs'!H:H,'4. Equipment Costs'!C:C,B31,'4. Equipment Costs'!B:B,$E$25)+SUMIFS('5. Subcontracting Costs'!H:H,'5. Subcontracting Costs'!C:C,B31,'5. Subcontracting Costs'!B:B,$E$25)</f>
        <v>957</v>
      </c>
      <c r="F31" s="75">
        <f>SUMIFS('1. Staff costs'!W:W,'1. Staff costs'!C:C,B31,'1. Staff costs'!B:B,$B$8)+SUMIFS('2-3. Travel Costs&amp;Costs of Stay'!N:N,'2-3. Travel Costs&amp;Costs of Stay'!C:C,B31,'2-3. Travel Costs&amp;Costs of Stay'!B:B,$B$8)+SUMIFS('4. Equipment Costs'!H:H,'4. Equipment Costs'!C:C,B31,'4. Equipment Costs'!B:B,$B$8)+SUMIFS('5. Subcontracting Costs'!H:H,'5. Subcontracting Costs'!C:C,B31,'5. Subcontracting Costs'!B:B,$B$8)</f>
        <v>9550</v>
      </c>
      <c r="G31" s="75">
        <f>SUMIFS('1. Staff costs'!W:W,'1. Staff costs'!C:C,B31,'1. Staff costs'!B:B,$G$25)+SUMIFS('2-3. Travel Costs&amp;Costs of Stay'!N:N,'2-3. Travel Costs&amp;Costs of Stay'!C:C,B31,'2-3. Travel Costs&amp;Costs of Stay'!B:B,$G$25)+SUMIFS('4. Equipment Costs'!H:H,'4. Equipment Costs'!C:C,B31,'4. Equipment Costs'!B:B,$G$25)+SUMIFS('5. Subcontracting Costs'!H:H,'5. Subcontracting Costs'!C:C,B31,'5. Subcontracting Costs'!B:B,$G$25)</f>
        <v>10280</v>
      </c>
      <c r="H31" s="82">
        <f>SUMIF('B. Special Mob Strand - Student'!B:B,B31,'B. Special Mob Strand - Student'!N:N)+SUMIF('B. Special Mob Strand - Staff'!B:B,B31,'B. Special Mob Strand - Staff'!N:N)</f>
        <v>0</v>
      </c>
      <c r="I31" s="85">
        <f t="shared" si="4"/>
        <v>54077</v>
      </c>
    </row>
    <row r="32" spans="2:9" x14ac:dyDescent="0.25">
      <c r="B32" s="35" t="s">
        <v>21</v>
      </c>
      <c r="C32" s="75">
        <f>SUMIFS('1. Staff costs'!W:W,'1. Staff costs'!C:C,B32,'1. Staff costs'!B:B,$C$25)+SUMIFS('2-3. Travel Costs&amp;Costs of Stay'!N:N,'2-3. Travel Costs&amp;Costs of Stay'!C:C,B32,'2-3. Travel Costs&amp;Costs of Stay'!B:B,$C$25)+SUMIFS('4. Equipment Costs'!H:H,'4. Equipment Costs'!C:C,B32,'4. Equipment Costs'!B:B,$C$25)+SUMIFS('5. Subcontracting Costs'!H:H,'5. Subcontracting Costs'!C:C,B32,'5. Subcontracting Costs'!B:B,$C$25)</f>
        <v>9575</v>
      </c>
      <c r="D32" s="75">
        <f>SUMIFS('1. Staff costs'!W:W,'1. Staff costs'!C:C,B32,'1. Staff costs'!B:B,$D$25)+SUMIFS('2-3. Travel Costs&amp;Costs of Stay'!N:N,'2-3. Travel Costs&amp;Costs of Stay'!C:C,B32,'2-3. Travel Costs&amp;Costs of Stay'!B:B,$D$25)+SUMIFS('4. Equipment Costs'!H:H,'4. Equipment Costs'!C:C,B32,'4. Equipment Costs'!B:B,$D$25)+SUMIFS('5. Subcontracting Costs'!H:H,'5. Subcontracting Costs'!C:C,B32,'5. Subcontracting Costs'!B:B,$D$25)</f>
        <v>14035</v>
      </c>
      <c r="E32" s="75">
        <f>SUMIFS('1. Staff costs'!W:W,'1. Staff costs'!C:C,B32,'1. Staff costs'!B:B,$E$25)+SUMIFS('2-3. Travel Costs&amp;Costs of Stay'!N:N,'2-3. Travel Costs&amp;Costs of Stay'!C:C,B32,'2-3. Travel Costs&amp;Costs of Stay'!B:B,$E$25)+SUMIFS('4. Equipment Costs'!H:H,'4. Equipment Costs'!C:C,B32,'4. Equipment Costs'!B:B,$E$25)+SUMIFS('5. Subcontracting Costs'!H:H,'5. Subcontracting Costs'!C:C,B32,'5. Subcontracting Costs'!B:B,$E$25)</f>
        <v>2637</v>
      </c>
      <c r="F32" s="75">
        <f>SUMIFS('1. Staff costs'!W:W,'1. Staff costs'!C:C,B32,'1. Staff costs'!B:B,$B$8)+SUMIFS('2-3. Travel Costs&amp;Costs of Stay'!N:N,'2-3. Travel Costs&amp;Costs of Stay'!C:C,B32,'2-3. Travel Costs&amp;Costs of Stay'!B:B,$B$8)+SUMIFS('4. Equipment Costs'!H:H,'4. Equipment Costs'!C:C,B32,'4. Equipment Costs'!B:B,$B$8)+SUMIFS('5. Subcontracting Costs'!H:H,'5. Subcontracting Costs'!C:C,B32,'5. Subcontracting Costs'!B:B,$B$8)</f>
        <v>8110</v>
      </c>
      <c r="G32" s="75">
        <f>SUMIFS('1. Staff costs'!W:W,'1. Staff costs'!C:C,B32,'1. Staff costs'!B:B,$G$25)+SUMIFS('2-3. Travel Costs&amp;Costs of Stay'!N:N,'2-3. Travel Costs&amp;Costs of Stay'!C:C,B32,'2-3. Travel Costs&amp;Costs of Stay'!B:B,$G$25)+SUMIFS('4. Equipment Costs'!H:H,'4. Equipment Costs'!C:C,B32,'4. Equipment Costs'!B:B,$G$25)+SUMIFS('5. Subcontracting Costs'!H:H,'5. Subcontracting Costs'!C:C,B32,'5. Subcontracting Costs'!B:B,$G$25)</f>
        <v>10280</v>
      </c>
      <c r="H32" s="82">
        <f>SUMIF('B. Special Mob Strand - Student'!B:B,B32,'B. Special Mob Strand - Student'!N:N)+SUMIF('B. Special Mob Strand - Staff'!B:B,B32,'B. Special Mob Strand - Staff'!N:N)</f>
        <v>0</v>
      </c>
      <c r="I32" s="85">
        <f t="shared" si="4"/>
        <v>44637</v>
      </c>
    </row>
    <row r="33" spans="2:9" x14ac:dyDescent="0.25">
      <c r="B33" s="35" t="s">
        <v>22</v>
      </c>
      <c r="C33" s="75">
        <f>SUMIFS('1. Staff costs'!W:W,'1. Staff costs'!C:C,B33,'1. Staff costs'!B:B,$C$25)+SUMIFS('2-3. Travel Costs&amp;Costs of Stay'!N:N,'2-3. Travel Costs&amp;Costs of Stay'!C:C,B33,'2-3. Travel Costs&amp;Costs of Stay'!B:B,$C$25)+SUMIFS('4. Equipment Costs'!H:H,'4. Equipment Costs'!C:C,B33,'4. Equipment Costs'!B:B,$C$25)+SUMIFS('5. Subcontracting Costs'!H:H,'5. Subcontracting Costs'!C:C,B33,'5. Subcontracting Costs'!B:B,$C$25)</f>
        <v>3650</v>
      </c>
      <c r="D33" s="75">
        <f>SUMIFS('1. Staff costs'!W:W,'1. Staff costs'!C:C,B33,'1. Staff costs'!B:B,$D$25)+SUMIFS('2-3. Travel Costs&amp;Costs of Stay'!N:N,'2-3. Travel Costs&amp;Costs of Stay'!C:C,B33,'2-3. Travel Costs&amp;Costs of Stay'!B:B,$D$25)+SUMIFS('4. Equipment Costs'!H:H,'4. Equipment Costs'!C:C,B33,'4. Equipment Costs'!B:B,$D$25)+SUMIFS('5. Subcontracting Costs'!H:H,'5. Subcontracting Costs'!C:C,B33,'5. Subcontracting Costs'!B:B,$D$25)</f>
        <v>1660</v>
      </c>
      <c r="E33" s="75">
        <f>SUMIFS('1. Staff costs'!W:W,'1. Staff costs'!C:C,B33,'1. Staff costs'!B:B,$E$25)+SUMIFS('2-3. Travel Costs&amp;Costs of Stay'!N:N,'2-3. Travel Costs&amp;Costs of Stay'!C:C,B33,'2-3. Travel Costs&amp;Costs of Stay'!B:B,$E$25)+SUMIFS('4. Equipment Costs'!H:H,'4. Equipment Costs'!C:C,B33,'4. Equipment Costs'!B:B,$E$25)+SUMIFS('5. Subcontracting Costs'!H:H,'5. Subcontracting Costs'!C:C,B33,'5. Subcontracting Costs'!B:B,$E$25)</f>
        <v>0</v>
      </c>
      <c r="F33" s="75">
        <f>SUMIFS('1. Staff costs'!W:W,'1. Staff costs'!C:C,B33,'1. Staff costs'!B:B,$B$8)+SUMIFS('2-3. Travel Costs&amp;Costs of Stay'!N:N,'2-3. Travel Costs&amp;Costs of Stay'!C:C,B33,'2-3. Travel Costs&amp;Costs of Stay'!B:B,$B$8)+SUMIFS('4. Equipment Costs'!H:H,'4. Equipment Costs'!C:C,B33,'4. Equipment Costs'!B:B,$B$8)+SUMIFS('5. Subcontracting Costs'!H:H,'5. Subcontracting Costs'!C:C,B33,'5. Subcontracting Costs'!B:B,$B$8)</f>
        <v>3180</v>
      </c>
      <c r="G33" s="75">
        <f>SUMIFS('1. Staff costs'!W:W,'1. Staff costs'!C:C,B33,'1. Staff costs'!B:B,$G$25)+SUMIFS('2-3. Travel Costs&amp;Costs of Stay'!N:N,'2-3. Travel Costs&amp;Costs of Stay'!C:C,B33,'2-3. Travel Costs&amp;Costs of Stay'!B:B,$G$25)+SUMIFS('4. Equipment Costs'!H:H,'4. Equipment Costs'!C:C,B33,'4. Equipment Costs'!B:B,$G$25)+SUMIFS('5. Subcontracting Costs'!H:H,'5. Subcontracting Costs'!C:C,B33,'5. Subcontracting Costs'!B:B,$G$25)</f>
        <v>7080</v>
      </c>
      <c r="H33" s="82">
        <f>SUMIF('B. Special Mob Strand - Student'!B:B,B33,'B. Special Mob Strand - Student'!N:N)+SUMIF('B. Special Mob Strand - Staff'!B:B,B33,'B. Special Mob Strand - Staff'!N:N)</f>
        <v>0</v>
      </c>
      <c r="I33" s="85">
        <f t="shared" si="4"/>
        <v>15570</v>
      </c>
    </row>
    <row r="34" spans="2:9" x14ac:dyDescent="0.25">
      <c r="B34" s="35" t="s">
        <v>23</v>
      </c>
      <c r="C34" s="75">
        <f>SUMIFS('1. Staff costs'!W:W,'1. Staff costs'!C:C,B34,'1. Staff costs'!B:B,$C$25)+SUMIFS('2-3. Travel Costs&amp;Costs of Stay'!N:N,'2-3. Travel Costs&amp;Costs of Stay'!C:C,B34,'2-3. Travel Costs&amp;Costs of Stay'!B:B,$C$25)+SUMIFS('4. Equipment Costs'!H:H,'4. Equipment Costs'!C:C,B34,'4. Equipment Costs'!B:B,$C$25)+SUMIFS('5. Subcontracting Costs'!H:H,'5. Subcontracting Costs'!C:C,B34,'5. Subcontracting Costs'!B:B,$C$25)</f>
        <v>3320</v>
      </c>
      <c r="D34" s="75">
        <f>SUMIFS('1. Staff costs'!W:W,'1. Staff costs'!C:C,B34,'1. Staff costs'!B:B,$D$25)+SUMIFS('2-3. Travel Costs&amp;Costs of Stay'!N:N,'2-3. Travel Costs&amp;Costs of Stay'!C:C,B34,'2-3. Travel Costs&amp;Costs of Stay'!B:B,$D$25)+SUMIFS('4. Equipment Costs'!H:H,'4. Equipment Costs'!C:C,B34,'4. Equipment Costs'!B:B,$D$25)+SUMIFS('5. Subcontracting Costs'!H:H,'5. Subcontracting Costs'!C:C,B34,'5. Subcontracting Costs'!B:B,$D$25)</f>
        <v>0</v>
      </c>
      <c r="E34" s="75">
        <f>SUMIFS('1. Staff costs'!W:W,'1. Staff costs'!C:C,B34,'1. Staff costs'!B:B,$E$25)+SUMIFS('2-3. Travel Costs&amp;Costs of Stay'!N:N,'2-3. Travel Costs&amp;Costs of Stay'!C:C,B34,'2-3. Travel Costs&amp;Costs of Stay'!B:B,$E$25)+SUMIFS('4. Equipment Costs'!H:H,'4. Equipment Costs'!C:C,B34,'4. Equipment Costs'!B:B,$E$25)+SUMIFS('5. Subcontracting Costs'!H:H,'5. Subcontracting Costs'!C:C,B34,'5. Subcontracting Costs'!B:B,$E$25)</f>
        <v>0</v>
      </c>
      <c r="F34" s="75">
        <f>SUMIFS('1. Staff costs'!W:W,'1. Staff costs'!C:C,B34,'1. Staff costs'!B:B,$B$8)+SUMIFS('2-3. Travel Costs&amp;Costs of Stay'!N:N,'2-3. Travel Costs&amp;Costs of Stay'!C:C,B34,'2-3. Travel Costs&amp;Costs of Stay'!B:B,$B$8)+SUMIFS('4. Equipment Costs'!H:H,'4. Equipment Costs'!C:C,B34,'4. Equipment Costs'!B:B,$B$8)+SUMIFS('5. Subcontracting Costs'!H:H,'5. Subcontracting Costs'!C:C,B34,'5. Subcontracting Costs'!B:B,$B$8)</f>
        <v>3180</v>
      </c>
      <c r="G34" s="75">
        <f>SUMIFS('1. Staff costs'!W:W,'1. Staff costs'!C:C,B34,'1. Staff costs'!B:B,$G$25)+SUMIFS('2-3. Travel Costs&amp;Costs of Stay'!N:N,'2-3. Travel Costs&amp;Costs of Stay'!C:C,B34,'2-3. Travel Costs&amp;Costs of Stay'!B:B,$G$25)+SUMIFS('4. Equipment Costs'!H:H,'4. Equipment Costs'!C:C,B34,'4. Equipment Costs'!B:B,$G$25)+SUMIFS('5. Subcontracting Costs'!H:H,'5. Subcontracting Costs'!C:C,B34,'5. Subcontracting Costs'!B:B,$G$25)</f>
        <v>7080</v>
      </c>
      <c r="H34" s="82">
        <f>SUMIF('B. Special Mob Strand - Student'!B:B,B34,'B. Special Mob Strand - Student'!N:N)+SUMIF('B. Special Mob Strand - Staff'!B:B,B34,'B. Special Mob Strand - Staff'!N:N)</f>
        <v>0</v>
      </c>
      <c r="I34" s="85">
        <f t="shared" si="4"/>
        <v>13580</v>
      </c>
    </row>
    <row r="35" spans="2:9" x14ac:dyDescent="0.25">
      <c r="B35" s="35" t="s">
        <v>24</v>
      </c>
      <c r="C35" s="75">
        <f>SUMIFS('1. Staff costs'!W:W,'1. Staff costs'!C:C,B35,'1. Staff costs'!B:B,$C$25)+SUMIFS('2-3. Travel Costs&amp;Costs of Stay'!N:N,'2-3. Travel Costs&amp;Costs of Stay'!C:C,B35,'2-3. Travel Costs&amp;Costs of Stay'!B:B,$C$25)+SUMIFS('4. Equipment Costs'!H:H,'4. Equipment Costs'!C:C,B35,'4. Equipment Costs'!B:B,$C$25)+SUMIFS('5. Subcontracting Costs'!H:H,'5. Subcontracting Costs'!C:C,B35,'5. Subcontracting Costs'!B:B,$C$25)</f>
        <v>9905</v>
      </c>
      <c r="D35" s="75">
        <f>SUMIFS('1. Staff costs'!W:W,'1. Staff costs'!C:C,B35,'1. Staff costs'!B:B,$D$25)+SUMIFS('2-3. Travel Costs&amp;Costs of Stay'!N:N,'2-3. Travel Costs&amp;Costs of Stay'!C:C,B35,'2-3. Travel Costs&amp;Costs of Stay'!B:B,$D$25)+SUMIFS('4. Equipment Costs'!H:H,'4. Equipment Costs'!C:C,B35,'4. Equipment Costs'!B:B,$D$25)+SUMIFS('5. Subcontracting Costs'!H:H,'5. Subcontracting Costs'!C:C,B35,'5. Subcontracting Costs'!B:B,$D$25)</f>
        <v>31918</v>
      </c>
      <c r="E35" s="75">
        <f>SUMIFS('1. Staff costs'!W:W,'1. Staff costs'!C:C,B35,'1. Staff costs'!B:B,$E$25)+SUMIFS('2-3. Travel Costs&amp;Costs of Stay'!N:N,'2-3. Travel Costs&amp;Costs of Stay'!C:C,B35,'2-3. Travel Costs&amp;Costs of Stay'!B:B,$E$25)+SUMIFS('4. Equipment Costs'!H:H,'4. Equipment Costs'!C:C,B35,'4. Equipment Costs'!B:B,$E$25)+SUMIFS('5. Subcontracting Costs'!H:H,'5. Subcontracting Costs'!C:C,B35,'5. Subcontracting Costs'!B:B,$E$25)</f>
        <v>0</v>
      </c>
      <c r="F35" s="75">
        <f>SUMIFS('1. Staff costs'!W:W,'1. Staff costs'!C:C,B35,'1. Staff costs'!B:B,$B$8)+SUMIFS('2-3. Travel Costs&amp;Costs of Stay'!N:N,'2-3. Travel Costs&amp;Costs of Stay'!C:C,B35,'2-3. Travel Costs&amp;Costs of Stay'!B:B,$B$8)+SUMIFS('4. Equipment Costs'!H:H,'4. Equipment Costs'!C:C,B35,'4. Equipment Costs'!B:B,$B$8)+SUMIFS('5. Subcontracting Costs'!H:H,'5. Subcontracting Costs'!C:C,B35,'5. Subcontracting Costs'!B:B,$B$8)</f>
        <v>8110</v>
      </c>
      <c r="G35" s="75">
        <f>SUMIFS('1. Staff costs'!W:W,'1. Staff costs'!C:C,B35,'1. Staff costs'!B:B,$G$25)+SUMIFS('2-3. Travel Costs&amp;Costs of Stay'!N:N,'2-3. Travel Costs&amp;Costs of Stay'!C:C,B35,'2-3. Travel Costs&amp;Costs of Stay'!B:B,$G$25)+SUMIFS('4. Equipment Costs'!H:H,'4. Equipment Costs'!C:C,B35,'4. Equipment Costs'!B:B,$G$25)+SUMIFS('5. Subcontracting Costs'!H:H,'5. Subcontracting Costs'!C:C,B35,'5. Subcontracting Costs'!B:B,$G$25)</f>
        <v>10280</v>
      </c>
      <c r="H35" s="82">
        <f>SUMIF('B. Special Mob Strand - Student'!B:B,B35,'B. Special Mob Strand - Student'!N:N)+SUMIF('B. Special Mob Strand - Staff'!B:B,B35,'B. Special Mob Strand - Staff'!N:N)</f>
        <v>0</v>
      </c>
      <c r="I35" s="85">
        <f t="shared" si="4"/>
        <v>60213</v>
      </c>
    </row>
    <row r="36" spans="2:9" x14ac:dyDescent="0.25">
      <c r="B36" s="35" t="s">
        <v>25</v>
      </c>
      <c r="C36" s="75">
        <f>SUMIFS('1. Staff costs'!W:W,'1. Staff costs'!C:C,B36,'1. Staff costs'!B:B,$C$25)+SUMIFS('2-3. Travel Costs&amp;Costs of Stay'!N:N,'2-3. Travel Costs&amp;Costs of Stay'!C:C,B36,'2-3. Travel Costs&amp;Costs of Stay'!B:B,$C$25)+SUMIFS('4. Equipment Costs'!H:H,'4. Equipment Costs'!C:C,B36,'4. Equipment Costs'!B:B,$C$25)+SUMIFS('5. Subcontracting Costs'!H:H,'5. Subcontracting Costs'!C:C,B36,'5. Subcontracting Costs'!B:B,$C$25)</f>
        <v>9575</v>
      </c>
      <c r="D36" s="75">
        <f>SUMIFS('1. Staff costs'!W:W,'1. Staff costs'!C:C,B36,'1. Staff costs'!B:B,$D$25)+SUMIFS('2-3. Travel Costs&amp;Costs of Stay'!N:N,'2-3. Travel Costs&amp;Costs of Stay'!C:C,B36,'2-3. Travel Costs&amp;Costs of Stay'!B:B,$D$25)+SUMIFS('4. Equipment Costs'!H:H,'4. Equipment Costs'!C:C,B36,'4. Equipment Costs'!B:B,$D$25)+SUMIFS('5. Subcontracting Costs'!H:H,'5. Subcontracting Costs'!C:C,B36,'5. Subcontracting Costs'!B:B,$D$25)</f>
        <v>9900</v>
      </c>
      <c r="E36" s="75">
        <f>SUMIFS('1. Staff costs'!W:W,'1. Staff costs'!C:C,B36,'1. Staff costs'!B:B,$E$25)+SUMIFS('2-3. Travel Costs&amp;Costs of Stay'!N:N,'2-3. Travel Costs&amp;Costs of Stay'!C:C,B36,'2-3. Travel Costs&amp;Costs of Stay'!B:B,$E$25)+SUMIFS('4. Equipment Costs'!H:H,'4. Equipment Costs'!C:C,B36,'4. Equipment Costs'!B:B,$E$25)+SUMIFS('5. Subcontracting Costs'!H:H,'5. Subcontracting Costs'!C:C,B36,'5. Subcontracting Costs'!B:B,$E$25)</f>
        <v>2590</v>
      </c>
      <c r="F36" s="75">
        <f>SUMIFS('1. Staff costs'!W:W,'1. Staff costs'!C:C,B36,'1. Staff costs'!B:B,$B$8)+SUMIFS('2-3. Travel Costs&amp;Costs of Stay'!N:N,'2-3. Travel Costs&amp;Costs of Stay'!C:C,B36,'2-3. Travel Costs&amp;Costs of Stay'!B:B,$B$8)+SUMIFS('4. Equipment Costs'!H:H,'4. Equipment Costs'!C:C,B36,'4. Equipment Costs'!B:B,$B$8)+SUMIFS('5. Subcontracting Costs'!H:H,'5. Subcontracting Costs'!C:C,B36,'5. Subcontracting Costs'!B:B,$B$8)</f>
        <v>9690</v>
      </c>
      <c r="G36" s="75">
        <f>SUMIFS('1. Staff costs'!W:W,'1. Staff costs'!C:C,B36,'1. Staff costs'!B:B,$G$25)+SUMIFS('2-3. Travel Costs&amp;Costs of Stay'!N:N,'2-3. Travel Costs&amp;Costs of Stay'!C:C,B36,'2-3. Travel Costs&amp;Costs of Stay'!B:B,$G$25)+SUMIFS('4. Equipment Costs'!H:H,'4. Equipment Costs'!C:C,B36,'4. Equipment Costs'!B:B,$G$25)+SUMIFS('5. Subcontracting Costs'!H:H,'5. Subcontracting Costs'!C:C,B36,'5. Subcontracting Costs'!B:B,$G$25)</f>
        <v>10280</v>
      </c>
      <c r="H36" s="82">
        <f>SUMIF('B. Special Mob Strand - Student'!B:B,B36,'B. Special Mob Strand - Student'!N:N)+SUMIF('B. Special Mob Strand - Staff'!B:B,B36,'B. Special Mob Strand - Staff'!N:N)</f>
        <v>0</v>
      </c>
      <c r="I36" s="85">
        <f t="shared" si="4"/>
        <v>42035</v>
      </c>
    </row>
    <row r="37" spans="2:9" x14ac:dyDescent="0.25">
      <c r="B37" s="35" t="s">
        <v>26</v>
      </c>
      <c r="C37" s="75">
        <f>SUMIFS('1. Staff costs'!W:W,'1. Staff costs'!C:C,B37,'1. Staff costs'!B:B,$C$25)+SUMIFS('2-3. Travel Costs&amp;Costs of Stay'!N:N,'2-3. Travel Costs&amp;Costs of Stay'!C:C,B37,'2-3. Travel Costs&amp;Costs of Stay'!B:B,$C$25)+SUMIFS('4. Equipment Costs'!H:H,'4. Equipment Costs'!C:C,B37,'4. Equipment Costs'!B:B,$C$25)+SUMIFS('5. Subcontracting Costs'!H:H,'5. Subcontracting Costs'!C:C,B37,'5. Subcontracting Costs'!B:B,$C$25)</f>
        <v>9245</v>
      </c>
      <c r="D37" s="75">
        <f>SUMIFS('1. Staff costs'!W:W,'1. Staff costs'!C:C,B37,'1. Staff costs'!B:B,$D$25)+SUMIFS('2-3. Travel Costs&amp;Costs of Stay'!N:N,'2-3. Travel Costs&amp;Costs of Stay'!C:C,B37,'2-3. Travel Costs&amp;Costs of Stay'!B:B,$D$25)+SUMIFS('4. Equipment Costs'!H:H,'4. Equipment Costs'!C:C,B37,'4. Equipment Costs'!B:B,$D$25)+SUMIFS('5. Subcontracting Costs'!H:H,'5. Subcontracting Costs'!C:C,B37,'5. Subcontracting Costs'!B:B,$D$25)</f>
        <v>15528</v>
      </c>
      <c r="E37" s="75">
        <f>SUMIFS('1. Staff costs'!W:W,'1. Staff costs'!C:C,B37,'1. Staff costs'!B:B,$E$25)+SUMIFS('2-3. Travel Costs&amp;Costs of Stay'!N:N,'2-3. Travel Costs&amp;Costs of Stay'!C:C,B37,'2-3. Travel Costs&amp;Costs of Stay'!B:B,$E$25)+SUMIFS('4. Equipment Costs'!H:H,'4. Equipment Costs'!C:C,B37,'4. Equipment Costs'!B:B,$E$25)+SUMIFS('5. Subcontracting Costs'!H:H,'5. Subcontracting Costs'!C:C,B37,'5. Subcontracting Costs'!B:B,$E$25)</f>
        <v>2590</v>
      </c>
      <c r="F37" s="75">
        <f>SUMIFS('1. Staff costs'!W:W,'1. Staff costs'!C:C,B37,'1. Staff costs'!B:B,$B$8)+SUMIFS('2-3. Travel Costs&amp;Costs of Stay'!N:N,'2-3. Travel Costs&amp;Costs of Stay'!C:C,B37,'2-3. Travel Costs&amp;Costs of Stay'!B:B,$B$8)+SUMIFS('4. Equipment Costs'!H:H,'4. Equipment Costs'!C:C,B37,'4. Equipment Costs'!B:B,$B$8)+SUMIFS('5. Subcontracting Costs'!H:H,'5. Subcontracting Costs'!C:C,B37,'5. Subcontracting Costs'!B:B,$B$8)</f>
        <v>8110</v>
      </c>
      <c r="G37" s="75">
        <f>SUMIFS('1. Staff costs'!W:W,'1. Staff costs'!C:C,B37,'1. Staff costs'!B:B,$G$25)+SUMIFS('2-3. Travel Costs&amp;Costs of Stay'!N:N,'2-3. Travel Costs&amp;Costs of Stay'!C:C,B37,'2-3. Travel Costs&amp;Costs of Stay'!B:B,$G$25)+SUMIFS('4. Equipment Costs'!H:H,'4. Equipment Costs'!C:C,B37,'4. Equipment Costs'!B:B,$G$25)+SUMIFS('5. Subcontracting Costs'!H:H,'5. Subcontracting Costs'!C:C,B37,'5. Subcontracting Costs'!B:B,$G$25)</f>
        <v>10280</v>
      </c>
      <c r="H37" s="82">
        <f>SUMIF('B. Special Mob Strand - Student'!B:B,B37,'B. Special Mob Strand - Student'!N:N)+SUMIF('B. Special Mob Strand - Staff'!B:B,B37,'B. Special Mob Strand - Staff'!N:N)</f>
        <v>0</v>
      </c>
      <c r="I37" s="85">
        <f t="shared" si="4"/>
        <v>45753</v>
      </c>
    </row>
    <row r="38" spans="2:9" x14ac:dyDescent="0.25">
      <c r="B38" s="35" t="s">
        <v>346</v>
      </c>
      <c r="C38" s="75">
        <f>SUMIFS('1. Staff costs'!W:W,'1. Staff costs'!C:C,B38,'1. Staff costs'!B:B,$C$25)+SUMIFS('2-3. Travel Costs&amp;Costs of Stay'!N:N,'2-3. Travel Costs&amp;Costs of Stay'!C:C,B38,'2-3. Travel Costs&amp;Costs of Stay'!B:B,$C$25)+SUMIFS('4. Equipment Costs'!H:H,'4. Equipment Costs'!C:C,B38,'4. Equipment Costs'!B:B,$C$25)+SUMIFS('5. Subcontracting Costs'!H:H,'5. Subcontracting Costs'!C:C,B38,'5. Subcontracting Costs'!B:B,$C$25)</f>
        <v>3650</v>
      </c>
      <c r="D38" s="75">
        <f>SUMIFS('1. Staff costs'!W:W,'1. Staff costs'!C:C,B38,'1. Staff costs'!B:B,$D$25)+SUMIFS('2-3. Travel Costs&amp;Costs of Stay'!N:N,'2-3. Travel Costs&amp;Costs of Stay'!C:C,B38,'2-3. Travel Costs&amp;Costs of Stay'!B:B,$D$25)+SUMIFS('4. Equipment Costs'!H:H,'4. Equipment Costs'!C:C,B38,'4. Equipment Costs'!B:B,$D$25)+SUMIFS('5. Subcontracting Costs'!H:H,'5. Subcontracting Costs'!C:C,B38,'5. Subcontracting Costs'!B:B,$D$25)</f>
        <v>1660</v>
      </c>
      <c r="E38" s="75">
        <f>SUMIFS('1. Staff costs'!W:W,'1. Staff costs'!C:C,B38,'1. Staff costs'!B:B,$E$25)+SUMIFS('2-3. Travel Costs&amp;Costs of Stay'!N:N,'2-3. Travel Costs&amp;Costs of Stay'!C:C,B38,'2-3. Travel Costs&amp;Costs of Stay'!B:B,$E$25)+SUMIFS('4. Equipment Costs'!H:H,'4. Equipment Costs'!C:C,B38,'4. Equipment Costs'!B:B,$E$25)+SUMIFS('5. Subcontracting Costs'!H:H,'5. Subcontracting Costs'!C:C,B38,'5. Subcontracting Costs'!B:B,$E$25)</f>
        <v>0</v>
      </c>
      <c r="F38" s="75">
        <f>SUMIFS('1. Staff costs'!W:W,'1. Staff costs'!C:C,B38,'1. Staff costs'!B:B,$B$8)+SUMIFS('2-3. Travel Costs&amp;Costs of Stay'!N:N,'2-3. Travel Costs&amp;Costs of Stay'!C:C,B38,'2-3. Travel Costs&amp;Costs of Stay'!B:B,$B$8)+SUMIFS('4. Equipment Costs'!H:H,'4. Equipment Costs'!C:C,B38,'4. Equipment Costs'!B:B,$B$8)+SUMIFS('5. Subcontracting Costs'!H:H,'5. Subcontracting Costs'!C:C,B38,'5. Subcontracting Costs'!B:B,$B$8)</f>
        <v>3180</v>
      </c>
      <c r="G38" s="75">
        <f>SUMIFS('1. Staff costs'!W:W,'1. Staff costs'!C:C,B38,'1. Staff costs'!B:B,$G$25)+SUMIFS('2-3. Travel Costs&amp;Costs of Stay'!N:N,'2-3. Travel Costs&amp;Costs of Stay'!C:C,B38,'2-3. Travel Costs&amp;Costs of Stay'!B:B,$G$25)+SUMIFS('4. Equipment Costs'!H:H,'4. Equipment Costs'!C:C,B38,'4. Equipment Costs'!B:B,$G$25)+SUMIFS('5. Subcontracting Costs'!H:H,'5. Subcontracting Costs'!C:C,B38,'5. Subcontracting Costs'!B:B,$G$25)</f>
        <v>7080</v>
      </c>
      <c r="H38" s="82">
        <f>SUMIF('B. Special Mob Strand - Student'!B:B,B38,'B. Special Mob Strand - Student'!N:N)+SUMIF('B. Special Mob Strand - Staff'!B:B,B38,'B. Special Mob Strand - Staff'!N:N)</f>
        <v>0</v>
      </c>
      <c r="I38" s="85">
        <f t="shared" si="4"/>
        <v>15570</v>
      </c>
    </row>
    <row r="39" spans="2:9" x14ac:dyDescent="0.25">
      <c r="B39" s="35" t="s">
        <v>27</v>
      </c>
      <c r="C39" s="75">
        <f>SUMIFS('1. Staff costs'!W:W,'1. Staff costs'!C:C,B39,'1. Staff costs'!B:B,$C$25)+SUMIFS('2-3. Travel Costs&amp;Costs of Stay'!N:N,'2-3. Travel Costs&amp;Costs of Stay'!C:C,B39,'2-3. Travel Costs&amp;Costs of Stay'!B:B,$C$25)+SUMIFS('4. Equipment Costs'!H:H,'4. Equipment Costs'!C:C,B39,'4. Equipment Costs'!B:B,$C$25)+SUMIFS('5. Subcontracting Costs'!H:H,'5. Subcontracting Costs'!C:C,B39,'5. Subcontracting Costs'!B:B,$C$25)</f>
        <v>3320</v>
      </c>
      <c r="D39" s="75">
        <f>SUMIFS('1. Staff costs'!W:W,'1. Staff costs'!C:C,B39,'1. Staff costs'!B:B,$D$25)+SUMIFS('2-3. Travel Costs&amp;Costs of Stay'!N:N,'2-3. Travel Costs&amp;Costs of Stay'!C:C,B39,'2-3. Travel Costs&amp;Costs of Stay'!B:B,$D$25)+SUMIFS('4. Equipment Costs'!H:H,'4. Equipment Costs'!C:C,B39,'4. Equipment Costs'!B:B,$D$25)+SUMIFS('5. Subcontracting Costs'!H:H,'5. Subcontracting Costs'!C:C,B39,'5. Subcontracting Costs'!B:B,$D$25)</f>
        <v>0</v>
      </c>
      <c r="E39" s="75">
        <f>SUMIFS('1. Staff costs'!W:W,'1. Staff costs'!C:C,B39,'1. Staff costs'!B:B,$E$25)+SUMIFS('2-3. Travel Costs&amp;Costs of Stay'!N:N,'2-3. Travel Costs&amp;Costs of Stay'!C:C,B39,'2-3. Travel Costs&amp;Costs of Stay'!B:B,$E$25)+SUMIFS('4. Equipment Costs'!H:H,'4. Equipment Costs'!C:C,B39,'4. Equipment Costs'!B:B,$E$25)+SUMIFS('5. Subcontracting Costs'!H:H,'5. Subcontracting Costs'!C:C,B39,'5. Subcontracting Costs'!B:B,$E$25)</f>
        <v>0</v>
      </c>
      <c r="F39" s="75">
        <f>SUMIFS('1. Staff costs'!W:W,'1. Staff costs'!C:C,B39,'1. Staff costs'!B:B,$B$8)+SUMIFS('2-3. Travel Costs&amp;Costs of Stay'!N:N,'2-3. Travel Costs&amp;Costs of Stay'!C:C,B39,'2-3. Travel Costs&amp;Costs of Stay'!B:B,$B$8)+SUMIFS('4. Equipment Costs'!H:H,'4. Equipment Costs'!C:C,B39,'4. Equipment Costs'!B:B,$B$8)+SUMIFS('5. Subcontracting Costs'!H:H,'5. Subcontracting Costs'!C:C,B39,'5. Subcontracting Costs'!B:B,$B$8)</f>
        <v>3180</v>
      </c>
      <c r="G39" s="75">
        <f>SUMIFS('1. Staff costs'!W:W,'1. Staff costs'!C:C,B39,'1. Staff costs'!B:B,$G$25)+SUMIFS('2-3. Travel Costs&amp;Costs of Stay'!N:N,'2-3. Travel Costs&amp;Costs of Stay'!C:C,B39,'2-3. Travel Costs&amp;Costs of Stay'!B:B,$G$25)+SUMIFS('4. Equipment Costs'!H:H,'4. Equipment Costs'!C:C,B39,'4. Equipment Costs'!B:B,$G$25)+SUMIFS('5. Subcontracting Costs'!H:H,'5. Subcontracting Costs'!C:C,B39,'5. Subcontracting Costs'!B:B,$G$25)</f>
        <v>7080</v>
      </c>
      <c r="H39" s="82">
        <f>SUMIF('B. Special Mob Strand - Student'!B:B,B39,'B. Special Mob Strand - Student'!N:N)+SUMIF('B. Special Mob Strand - Staff'!B:B,B39,'B. Special Mob Strand - Staff'!N:N)</f>
        <v>0</v>
      </c>
      <c r="I39" s="85">
        <f t="shared" si="4"/>
        <v>13580</v>
      </c>
    </row>
    <row r="40" spans="2:9" x14ac:dyDescent="0.25">
      <c r="B40" s="35" t="s">
        <v>28</v>
      </c>
      <c r="C40" s="75">
        <f>SUMIFS('1. Staff costs'!W:W,'1. Staff costs'!C:C,B40,'1. Staff costs'!B:B,$C$25)+SUMIFS('2-3. Travel Costs&amp;Costs of Stay'!N:N,'2-3. Travel Costs&amp;Costs of Stay'!C:C,B40,'2-3. Travel Costs&amp;Costs of Stay'!B:B,$C$25)+SUMIFS('4. Equipment Costs'!H:H,'4. Equipment Costs'!C:C,B40,'4. Equipment Costs'!B:B,$C$25)+SUMIFS('5. Subcontracting Costs'!H:H,'5. Subcontracting Costs'!C:C,B40,'5. Subcontracting Costs'!B:B,$C$25)</f>
        <v>9905</v>
      </c>
      <c r="D40" s="75">
        <f>SUMIFS('1. Staff costs'!W:W,'1. Staff costs'!C:C,B40,'1. Staff costs'!B:B,$D$25)+SUMIFS('2-3. Travel Costs&amp;Costs of Stay'!N:N,'2-3. Travel Costs&amp;Costs of Stay'!C:C,B40,'2-3. Travel Costs&amp;Costs of Stay'!B:B,$D$25)+SUMIFS('4. Equipment Costs'!H:H,'4. Equipment Costs'!C:C,B40,'4. Equipment Costs'!B:B,$D$25)+SUMIFS('5. Subcontracting Costs'!H:H,'5. Subcontracting Costs'!C:C,B40,'5. Subcontracting Costs'!B:B,$D$25)</f>
        <v>7980</v>
      </c>
      <c r="E40" s="75">
        <f>SUMIFS('1. Staff costs'!W:W,'1. Staff costs'!C:C,B40,'1. Staff costs'!B:B,$E$25)+SUMIFS('2-3. Travel Costs&amp;Costs of Stay'!N:N,'2-3. Travel Costs&amp;Costs of Stay'!C:C,B40,'2-3. Travel Costs&amp;Costs of Stay'!B:B,$E$25)+SUMIFS('4. Equipment Costs'!H:H,'4. Equipment Costs'!C:C,B40,'4. Equipment Costs'!B:B,$E$25)+SUMIFS('5. Subcontracting Costs'!H:H,'5. Subcontracting Costs'!C:C,B40,'5. Subcontracting Costs'!B:B,$E$25)</f>
        <v>2590</v>
      </c>
      <c r="F40" s="75">
        <f>SUMIFS('1. Staff costs'!W:W,'1. Staff costs'!C:C,B40,'1. Staff costs'!B:B,$B$8)+SUMIFS('2-3. Travel Costs&amp;Costs of Stay'!N:N,'2-3. Travel Costs&amp;Costs of Stay'!C:C,B40,'2-3. Travel Costs&amp;Costs of Stay'!B:B,$B$8)+SUMIFS('4. Equipment Costs'!H:H,'4. Equipment Costs'!C:C,B40,'4. Equipment Costs'!B:B,$B$8)+SUMIFS('5. Subcontracting Costs'!H:H,'5. Subcontracting Costs'!C:C,B40,'5. Subcontracting Costs'!B:B,$B$8)</f>
        <v>8110</v>
      </c>
      <c r="G40" s="75">
        <f>SUMIFS('1. Staff costs'!W:W,'1. Staff costs'!C:C,B40,'1. Staff costs'!B:B,$G$25)+SUMIFS('2-3. Travel Costs&amp;Costs of Stay'!N:N,'2-3. Travel Costs&amp;Costs of Stay'!C:C,B40,'2-3. Travel Costs&amp;Costs of Stay'!B:B,$G$25)+SUMIFS('4. Equipment Costs'!H:H,'4. Equipment Costs'!C:C,B40,'4. Equipment Costs'!B:B,$G$25)+SUMIFS('5. Subcontracting Costs'!H:H,'5. Subcontracting Costs'!C:C,B40,'5. Subcontracting Costs'!B:B,$G$25)</f>
        <v>10280</v>
      </c>
      <c r="H40" s="82">
        <f>SUMIF('B. Special Mob Strand - Student'!B:B,B40,'B. Special Mob Strand - Student'!N:N)+SUMIF('B. Special Mob Strand - Staff'!B:B,B40,'B. Special Mob Strand - Staff'!N:N)</f>
        <v>0</v>
      </c>
      <c r="I40" s="85">
        <f t="shared" si="4"/>
        <v>38865</v>
      </c>
    </row>
    <row r="41" spans="2:9" x14ac:dyDescent="0.25">
      <c r="B41" s="35" t="s">
        <v>29</v>
      </c>
      <c r="C41" s="75">
        <f>SUMIFS('1. Staff costs'!W:W,'1. Staff costs'!C:C,B41,'1. Staff costs'!B:B,$C$25)+SUMIFS('2-3. Travel Costs&amp;Costs of Stay'!N:N,'2-3. Travel Costs&amp;Costs of Stay'!C:C,B41,'2-3. Travel Costs&amp;Costs of Stay'!B:B,$C$25)+SUMIFS('4. Equipment Costs'!H:H,'4. Equipment Costs'!C:C,B41,'4. Equipment Costs'!B:B,$C$25)+SUMIFS('5. Subcontracting Costs'!H:H,'5. Subcontracting Costs'!C:C,B41,'5. Subcontracting Costs'!B:B,$C$25)</f>
        <v>9575</v>
      </c>
      <c r="D41" s="75">
        <f>SUMIFS('1. Staff costs'!W:W,'1. Staff costs'!C:C,B41,'1. Staff costs'!B:B,$D$25)+SUMIFS('2-3. Travel Costs&amp;Costs of Stay'!N:N,'2-3. Travel Costs&amp;Costs of Stay'!C:C,B41,'2-3. Travel Costs&amp;Costs of Stay'!B:B,$D$25)+SUMIFS('4. Equipment Costs'!H:H,'4. Equipment Costs'!C:C,B41,'4. Equipment Costs'!B:B,$D$25)+SUMIFS('5. Subcontracting Costs'!H:H,'5. Subcontracting Costs'!C:C,B41,'5. Subcontracting Costs'!B:B,$D$25)</f>
        <v>7680</v>
      </c>
      <c r="E41" s="75">
        <f>SUMIFS('1. Staff costs'!W:W,'1. Staff costs'!C:C,B41,'1. Staff costs'!B:B,$E$25)+SUMIFS('2-3. Travel Costs&amp;Costs of Stay'!N:N,'2-3. Travel Costs&amp;Costs of Stay'!C:C,B41,'2-3. Travel Costs&amp;Costs of Stay'!B:B,$E$25)+SUMIFS('4. Equipment Costs'!H:H,'4. Equipment Costs'!C:C,B41,'4. Equipment Costs'!B:B,$E$25)+SUMIFS('5. Subcontracting Costs'!H:H,'5. Subcontracting Costs'!C:C,B41,'5. Subcontracting Costs'!B:B,$E$25)</f>
        <v>2590</v>
      </c>
      <c r="F41" s="75">
        <f>SUMIFS('1. Staff costs'!W:W,'1. Staff costs'!C:C,B41,'1. Staff costs'!B:B,$B$8)+SUMIFS('2-3. Travel Costs&amp;Costs of Stay'!N:N,'2-3. Travel Costs&amp;Costs of Stay'!C:C,B41,'2-3. Travel Costs&amp;Costs of Stay'!B:B,$B$8)+SUMIFS('4. Equipment Costs'!H:H,'4. Equipment Costs'!C:C,B41,'4. Equipment Costs'!B:B,$B$8)+SUMIFS('5. Subcontracting Costs'!H:H,'5. Subcontracting Costs'!C:C,B41,'5. Subcontracting Costs'!B:B,$B$8)</f>
        <v>8110</v>
      </c>
      <c r="G41" s="75">
        <f>SUMIFS('1. Staff costs'!W:W,'1. Staff costs'!C:C,B41,'1. Staff costs'!B:B,$G$25)+SUMIFS('2-3. Travel Costs&amp;Costs of Stay'!N:N,'2-3. Travel Costs&amp;Costs of Stay'!C:C,B41,'2-3. Travel Costs&amp;Costs of Stay'!B:B,$G$25)+SUMIFS('4. Equipment Costs'!H:H,'4. Equipment Costs'!C:C,B41,'4. Equipment Costs'!B:B,$G$25)+SUMIFS('5. Subcontracting Costs'!H:H,'5. Subcontracting Costs'!C:C,B41,'5. Subcontracting Costs'!B:B,$G$25)</f>
        <v>10280</v>
      </c>
      <c r="H41" s="82">
        <f>SUMIF('B. Special Mob Strand - Student'!B:B,B41,'B. Special Mob Strand - Student'!N:N)+SUMIF('B. Special Mob Strand - Staff'!B:B,B41,'B. Special Mob Strand - Staff'!N:N)</f>
        <v>0</v>
      </c>
      <c r="I41" s="85">
        <f t="shared" si="4"/>
        <v>38235</v>
      </c>
    </row>
    <row r="42" spans="2:9" x14ac:dyDescent="0.25">
      <c r="B42" s="35" t="s">
        <v>30</v>
      </c>
      <c r="C42" s="75">
        <f>SUMIFS('1. Staff costs'!W:W,'1. Staff costs'!C:C,B42,'1. Staff costs'!B:B,$C$25)+SUMIFS('2-3. Travel Costs&amp;Costs of Stay'!N:N,'2-3. Travel Costs&amp;Costs of Stay'!C:C,B42,'2-3. Travel Costs&amp;Costs of Stay'!B:B,$C$25)+SUMIFS('4. Equipment Costs'!H:H,'4. Equipment Costs'!C:C,B42,'4. Equipment Costs'!B:B,$C$25)+SUMIFS('5. Subcontracting Costs'!H:H,'5. Subcontracting Costs'!C:C,B42,'5. Subcontracting Costs'!B:B,$C$25)</f>
        <v>9245</v>
      </c>
      <c r="D42" s="75">
        <f>SUMIFS('1. Staff costs'!W:W,'1. Staff costs'!C:C,B42,'1. Staff costs'!B:B,$D$25)+SUMIFS('2-3. Travel Costs&amp;Costs of Stay'!N:N,'2-3. Travel Costs&amp;Costs of Stay'!C:C,B42,'2-3. Travel Costs&amp;Costs of Stay'!B:B,$D$25)+SUMIFS('4. Equipment Costs'!H:H,'4. Equipment Costs'!C:C,B42,'4. Equipment Costs'!B:B,$D$25)+SUMIFS('5. Subcontracting Costs'!H:H,'5. Subcontracting Costs'!C:C,B42,'5. Subcontracting Costs'!B:B,$D$25)</f>
        <v>29082</v>
      </c>
      <c r="E42" s="75">
        <f>SUMIFS('1. Staff costs'!W:W,'1. Staff costs'!C:C,B42,'1. Staff costs'!B:B,$E$25)+SUMIFS('2-3. Travel Costs&amp;Costs of Stay'!N:N,'2-3. Travel Costs&amp;Costs of Stay'!C:C,B42,'2-3. Travel Costs&amp;Costs of Stay'!B:B,$E$25)+SUMIFS('4. Equipment Costs'!H:H,'4. Equipment Costs'!C:C,B42,'4. Equipment Costs'!B:B,$E$25)+SUMIFS('5. Subcontracting Costs'!H:H,'5. Subcontracting Costs'!C:C,B42,'5. Subcontracting Costs'!B:B,$E$25)</f>
        <v>0</v>
      </c>
      <c r="F42" s="75">
        <f>SUMIFS('1. Staff costs'!W:W,'1. Staff costs'!C:C,B42,'1. Staff costs'!B:B,$B$8)+SUMIFS('2-3. Travel Costs&amp;Costs of Stay'!N:N,'2-3. Travel Costs&amp;Costs of Stay'!C:C,B42,'2-3. Travel Costs&amp;Costs of Stay'!B:B,$B$8)+SUMIFS('4. Equipment Costs'!H:H,'4. Equipment Costs'!C:C,B42,'4. Equipment Costs'!B:B,$B$8)+SUMIFS('5. Subcontracting Costs'!H:H,'5. Subcontracting Costs'!C:C,B42,'5. Subcontracting Costs'!B:B,$B$8)</f>
        <v>9503</v>
      </c>
      <c r="G42" s="75">
        <f>SUMIFS('1. Staff costs'!W:W,'1. Staff costs'!C:C,B42,'1. Staff costs'!B:B,$G$25)+SUMIFS('2-3. Travel Costs&amp;Costs of Stay'!N:N,'2-3. Travel Costs&amp;Costs of Stay'!C:C,B42,'2-3. Travel Costs&amp;Costs of Stay'!B:B,$G$25)+SUMIFS('4. Equipment Costs'!H:H,'4. Equipment Costs'!C:C,B42,'4. Equipment Costs'!B:B,$G$25)+SUMIFS('5. Subcontracting Costs'!H:H,'5. Subcontracting Costs'!C:C,B42,'5. Subcontracting Costs'!B:B,$G$25)</f>
        <v>10280</v>
      </c>
      <c r="H42" s="82">
        <f>SUMIF('B. Special Mob Strand - Student'!B:B,B42,'B. Special Mob Strand - Student'!N:N)+SUMIF('B. Special Mob Strand - Staff'!B:B,B42,'B. Special Mob Strand - Staff'!N:N)</f>
        <v>0</v>
      </c>
      <c r="I42" s="85">
        <f t="shared" si="4"/>
        <v>58110</v>
      </c>
    </row>
    <row r="43" spans="2:9" x14ac:dyDescent="0.25">
      <c r="B43" s="35" t="s">
        <v>31</v>
      </c>
      <c r="C43" s="75">
        <f>SUMIFS('1. Staff costs'!W:W,'1. Staff costs'!C:C,B43,'1. Staff costs'!B:B,$C$25)+SUMIFS('2-3. Travel Costs&amp;Costs of Stay'!N:N,'2-3. Travel Costs&amp;Costs of Stay'!C:C,B43,'2-3. Travel Costs&amp;Costs of Stay'!B:B,$C$25)+SUMIFS('4. Equipment Costs'!H:H,'4. Equipment Costs'!C:C,B43,'4. Equipment Costs'!B:B,$C$25)+SUMIFS('5. Subcontracting Costs'!H:H,'5. Subcontracting Costs'!C:C,B43,'5. Subcontracting Costs'!B:B,$C$25)</f>
        <v>3650</v>
      </c>
      <c r="D43" s="75">
        <f>SUMIFS('1. Staff costs'!W:W,'1. Staff costs'!C:C,B43,'1. Staff costs'!B:B,$D$25)+SUMIFS('2-3. Travel Costs&amp;Costs of Stay'!N:N,'2-3. Travel Costs&amp;Costs of Stay'!C:C,B43,'2-3. Travel Costs&amp;Costs of Stay'!B:B,$D$25)+SUMIFS('4. Equipment Costs'!H:H,'4. Equipment Costs'!C:C,B43,'4. Equipment Costs'!B:B,$D$25)+SUMIFS('5. Subcontracting Costs'!H:H,'5. Subcontracting Costs'!C:C,B43,'5. Subcontracting Costs'!B:B,$D$25)</f>
        <v>1660</v>
      </c>
      <c r="E43" s="75">
        <f>SUMIFS('1. Staff costs'!W:W,'1. Staff costs'!C:C,B43,'1. Staff costs'!B:B,$E$25)+SUMIFS('2-3. Travel Costs&amp;Costs of Stay'!N:N,'2-3. Travel Costs&amp;Costs of Stay'!C:C,B43,'2-3. Travel Costs&amp;Costs of Stay'!B:B,$E$25)+SUMIFS('4. Equipment Costs'!H:H,'4. Equipment Costs'!C:C,B43,'4. Equipment Costs'!B:B,$E$25)+SUMIFS('5. Subcontracting Costs'!H:H,'5. Subcontracting Costs'!C:C,B43,'5. Subcontracting Costs'!B:B,$E$25)</f>
        <v>0</v>
      </c>
      <c r="F43" s="75">
        <f>SUMIFS('1. Staff costs'!W:W,'1. Staff costs'!C:C,B43,'1. Staff costs'!B:B,$B$8)+SUMIFS('2-3. Travel Costs&amp;Costs of Stay'!N:N,'2-3. Travel Costs&amp;Costs of Stay'!C:C,B43,'2-3. Travel Costs&amp;Costs of Stay'!B:B,$B$8)+SUMIFS('4. Equipment Costs'!H:H,'4. Equipment Costs'!C:C,B43,'4. Equipment Costs'!B:B,$B$8)+SUMIFS('5. Subcontracting Costs'!H:H,'5. Subcontracting Costs'!C:C,B43,'5. Subcontracting Costs'!B:B,$B$8)</f>
        <v>3180</v>
      </c>
      <c r="G43" s="75">
        <f>SUMIFS('1. Staff costs'!W:W,'1. Staff costs'!C:C,B43,'1. Staff costs'!B:B,$G$25)+SUMIFS('2-3. Travel Costs&amp;Costs of Stay'!N:N,'2-3. Travel Costs&amp;Costs of Stay'!C:C,B43,'2-3. Travel Costs&amp;Costs of Stay'!B:B,$G$25)+SUMIFS('4. Equipment Costs'!H:H,'4. Equipment Costs'!C:C,B43,'4. Equipment Costs'!B:B,$G$25)+SUMIFS('5. Subcontracting Costs'!H:H,'5. Subcontracting Costs'!C:C,B43,'5. Subcontracting Costs'!B:B,$G$25)</f>
        <v>7080</v>
      </c>
      <c r="H43" s="82">
        <f>SUMIF('B. Special Mob Strand - Student'!B:B,B43,'B. Special Mob Strand - Student'!N:N)+SUMIF('B. Special Mob Strand - Staff'!B:B,B43,'B. Special Mob Strand - Staff'!N:N)</f>
        <v>0</v>
      </c>
      <c r="I43" s="85">
        <f t="shared" si="4"/>
        <v>15570</v>
      </c>
    </row>
    <row r="44" spans="2:9" x14ac:dyDescent="0.25">
      <c r="B44" s="35" t="s">
        <v>32</v>
      </c>
      <c r="C44" s="75">
        <f>SUMIFS('1. Staff costs'!W:W,'1. Staff costs'!C:C,B44,'1. Staff costs'!B:B,$C$25)+SUMIFS('2-3. Travel Costs&amp;Costs of Stay'!N:N,'2-3. Travel Costs&amp;Costs of Stay'!C:C,B44,'2-3. Travel Costs&amp;Costs of Stay'!B:B,$C$25)+SUMIFS('4. Equipment Costs'!H:H,'4. Equipment Costs'!C:C,B44,'4. Equipment Costs'!B:B,$C$25)+SUMIFS('5. Subcontracting Costs'!H:H,'5. Subcontracting Costs'!C:C,B44,'5. Subcontracting Costs'!B:B,$C$25)</f>
        <v>3320</v>
      </c>
      <c r="D44" s="75">
        <f>SUMIFS('1. Staff costs'!W:W,'1. Staff costs'!C:C,B44,'1. Staff costs'!B:B,$D$25)+SUMIFS('2-3. Travel Costs&amp;Costs of Stay'!N:N,'2-3. Travel Costs&amp;Costs of Stay'!C:C,B44,'2-3. Travel Costs&amp;Costs of Stay'!B:B,$D$25)+SUMIFS('4. Equipment Costs'!H:H,'4. Equipment Costs'!C:C,B44,'4. Equipment Costs'!B:B,$D$25)+SUMIFS('5. Subcontracting Costs'!H:H,'5. Subcontracting Costs'!C:C,B44,'5. Subcontracting Costs'!B:B,$D$25)</f>
        <v>0</v>
      </c>
      <c r="E44" s="75">
        <f>SUMIFS('1. Staff costs'!W:W,'1. Staff costs'!C:C,B44,'1. Staff costs'!B:B,$E$25)+SUMIFS('2-3. Travel Costs&amp;Costs of Stay'!N:N,'2-3. Travel Costs&amp;Costs of Stay'!C:C,B44,'2-3. Travel Costs&amp;Costs of Stay'!B:B,$E$25)+SUMIFS('4. Equipment Costs'!H:H,'4. Equipment Costs'!C:C,B44,'4. Equipment Costs'!B:B,$E$25)+SUMIFS('5. Subcontracting Costs'!H:H,'5. Subcontracting Costs'!C:C,B44,'5. Subcontracting Costs'!B:B,$E$25)</f>
        <v>0</v>
      </c>
      <c r="F44" s="75">
        <f>SUMIFS('1. Staff costs'!W:W,'1. Staff costs'!C:C,B44,'1. Staff costs'!B:B,$B$8)+SUMIFS('2-3. Travel Costs&amp;Costs of Stay'!N:N,'2-3. Travel Costs&amp;Costs of Stay'!C:C,B44,'2-3. Travel Costs&amp;Costs of Stay'!B:B,$B$8)+SUMIFS('4. Equipment Costs'!H:H,'4. Equipment Costs'!C:C,B44,'4. Equipment Costs'!B:B,$B$8)+SUMIFS('5. Subcontracting Costs'!H:H,'5. Subcontracting Costs'!C:C,B44,'5. Subcontracting Costs'!B:B,$B$8)</f>
        <v>3180</v>
      </c>
      <c r="G44" s="75">
        <f>SUMIFS('1. Staff costs'!W:W,'1. Staff costs'!C:C,B44,'1. Staff costs'!B:B,$G$25)+SUMIFS('2-3. Travel Costs&amp;Costs of Stay'!N:N,'2-3. Travel Costs&amp;Costs of Stay'!C:C,B44,'2-3. Travel Costs&amp;Costs of Stay'!B:B,$G$25)+SUMIFS('4. Equipment Costs'!H:H,'4. Equipment Costs'!C:C,B44,'4. Equipment Costs'!B:B,$G$25)+SUMIFS('5. Subcontracting Costs'!H:H,'5. Subcontracting Costs'!C:C,B44,'5. Subcontracting Costs'!B:B,$G$25)</f>
        <v>7080</v>
      </c>
      <c r="H44" s="82">
        <f>SUMIF('B. Special Mob Strand - Student'!B:B,B44,'B. Special Mob Strand - Student'!N:N)+SUMIF('B. Special Mob Strand - Staff'!B:B,B44,'B. Special Mob Strand - Staff'!N:N)</f>
        <v>0</v>
      </c>
      <c r="I44" s="85">
        <f t="shared" si="4"/>
        <v>13580</v>
      </c>
    </row>
    <row r="45" spans="2:9" x14ac:dyDescent="0.25">
      <c r="B45" s="35" t="s">
        <v>33</v>
      </c>
      <c r="C45" s="75">
        <f>SUMIFS('1. Staff costs'!W:W,'1. Staff costs'!C:C,B45,'1. Staff costs'!B:B,$C$25)+SUMIFS('2-3. Travel Costs&amp;Costs of Stay'!N:N,'2-3. Travel Costs&amp;Costs of Stay'!C:C,B45,'2-3. Travel Costs&amp;Costs of Stay'!B:B,$C$25)+SUMIFS('4. Equipment Costs'!H:H,'4. Equipment Costs'!C:C,B45,'4. Equipment Costs'!B:B,$C$25)+SUMIFS('5. Subcontracting Costs'!H:H,'5. Subcontracting Costs'!C:C,B45,'5. Subcontracting Costs'!B:B,$C$25)</f>
        <v>10750</v>
      </c>
      <c r="D45" s="75">
        <f>SUMIFS('1. Staff costs'!W:W,'1. Staff costs'!C:C,B45,'1. Staff costs'!B:B,$D$25)+SUMIFS('2-3. Travel Costs&amp;Costs of Stay'!N:N,'2-3. Travel Costs&amp;Costs of Stay'!C:C,B45,'2-3. Travel Costs&amp;Costs of Stay'!B:B,$D$25)+SUMIFS('4. Equipment Costs'!H:H,'4. Equipment Costs'!C:C,B45,'4. Equipment Costs'!B:B,$D$25)+SUMIFS('5. Subcontracting Costs'!H:H,'5. Subcontracting Costs'!C:C,B45,'5. Subcontracting Costs'!B:B,$D$25)</f>
        <v>22340</v>
      </c>
      <c r="E45" s="75">
        <f>SUMIFS('1. Staff costs'!W:W,'1. Staff costs'!C:C,B45,'1. Staff costs'!B:B,$E$25)+SUMIFS('2-3. Travel Costs&amp;Costs of Stay'!N:N,'2-3. Travel Costs&amp;Costs of Stay'!C:C,B45,'2-3. Travel Costs&amp;Costs of Stay'!B:B,$E$25)+SUMIFS('4. Equipment Costs'!H:H,'4. Equipment Costs'!C:C,B45,'4. Equipment Costs'!B:B,$E$25)+SUMIFS('5. Subcontracting Costs'!H:H,'5. Subcontracting Costs'!C:C,B45,'5. Subcontracting Costs'!B:B,$E$25)</f>
        <v>5530</v>
      </c>
      <c r="F45" s="75">
        <f>SUMIFS('1. Staff costs'!W:W,'1. Staff costs'!C:C,B45,'1. Staff costs'!B:B,$B$8)+SUMIFS('2-3. Travel Costs&amp;Costs of Stay'!N:N,'2-3. Travel Costs&amp;Costs of Stay'!C:C,B45,'2-3. Travel Costs&amp;Costs of Stay'!B:B,$B$8)+SUMIFS('4. Equipment Costs'!H:H,'4. Equipment Costs'!C:C,B45,'4. Equipment Costs'!B:B,$B$8)+SUMIFS('5. Subcontracting Costs'!H:H,'5. Subcontracting Costs'!C:C,B45,'5. Subcontracting Costs'!B:B,$B$8)</f>
        <v>8670</v>
      </c>
      <c r="G45" s="75">
        <f>SUMIFS('1. Staff costs'!W:W,'1. Staff costs'!C:C,B45,'1. Staff costs'!B:B,$G$25)+SUMIFS('2-3. Travel Costs&amp;Costs of Stay'!N:N,'2-3. Travel Costs&amp;Costs of Stay'!C:C,B45,'2-3. Travel Costs&amp;Costs of Stay'!B:B,$G$25)+SUMIFS('4. Equipment Costs'!H:H,'4. Equipment Costs'!C:C,B45,'4. Equipment Costs'!B:B,$G$25)+SUMIFS('5. Subcontracting Costs'!H:H,'5. Subcontracting Costs'!C:C,B45,'5. Subcontracting Costs'!B:B,$G$25)</f>
        <v>12530</v>
      </c>
      <c r="H45" s="82">
        <f>SUMIF('B. Special Mob Strand - Student'!B:B,B45,'B. Special Mob Strand - Student'!N:N)+SUMIF('B. Special Mob Strand - Staff'!B:B,B45,'B. Special Mob Strand - Staff'!N:N)</f>
        <v>0</v>
      </c>
      <c r="I45" s="85">
        <f t="shared" si="4"/>
        <v>59820</v>
      </c>
    </row>
    <row r="46" spans="2:9" x14ac:dyDescent="0.25">
      <c r="B46" s="35" t="s">
        <v>126</v>
      </c>
      <c r="C46" s="75">
        <f>SUMIFS('1. Staff costs'!W:W,'1. Staff costs'!C:C,B46,'1. Staff costs'!B:B,$C$25)+SUMIFS('2-3. Travel Costs&amp;Costs of Stay'!N:N,'2-3. Travel Costs&amp;Costs of Stay'!C:C,B46,'2-3. Travel Costs&amp;Costs of Stay'!B:B,$C$25)+SUMIFS('4. Equipment Costs'!H:H,'4. Equipment Costs'!C:C,B46,'4. Equipment Costs'!B:B,$C$25)+SUMIFS('5. Subcontracting Costs'!H:H,'5. Subcontracting Costs'!C:C,B46,'5. Subcontracting Costs'!B:B,$C$25)</f>
        <v>10200</v>
      </c>
      <c r="D46" s="75">
        <f>SUMIFS('1. Staff costs'!W:W,'1. Staff costs'!C:C,B46,'1. Staff costs'!B:B,$D$25)+SUMIFS('2-3. Travel Costs&amp;Costs of Stay'!N:N,'2-3. Travel Costs&amp;Costs of Stay'!C:C,B46,'2-3. Travel Costs&amp;Costs of Stay'!B:B,$D$25)+SUMIFS('4. Equipment Costs'!H:H,'4. Equipment Costs'!C:C,B46,'4. Equipment Costs'!B:B,$D$25)+SUMIFS('5. Subcontracting Costs'!H:H,'5. Subcontracting Costs'!C:C,B46,'5. Subcontracting Costs'!B:B,$D$25)</f>
        <v>10105</v>
      </c>
      <c r="E46" s="75">
        <f>SUMIFS('1. Staff costs'!W:W,'1. Staff costs'!C:C,B46,'1. Staff costs'!B:B,$E$25)+SUMIFS('2-3. Travel Costs&amp;Costs of Stay'!N:N,'2-3. Travel Costs&amp;Costs of Stay'!C:C,B46,'2-3. Travel Costs&amp;Costs of Stay'!B:B,$E$25)+SUMIFS('4. Equipment Costs'!H:H,'4. Equipment Costs'!C:C,B46,'4. Equipment Costs'!B:B,$E$25)+SUMIFS('5. Subcontracting Costs'!H:H,'5. Subcontracting Costs'!C:C,B46,'5. Subcontracting Costs'!B:B,$E$25)</f>
        <v>0</v>
      </c>
      <c r="F46" s="75">
        <f>SUMIFS('1. Staff costs'!W:W,'1. Staff costs'!C:C,B46,'1. Staff costs'!B:B,$B$8)+SUMIFS('2-3. Travel Costs&amp;Costs of Stay'!N:N,'2-3. Travel Costs&amp;Costs of Stay'!C:C,B46,'2-3. Travel Costs&amp;Costs of Stay'!B:B,$B$8)+SUMIFS('4. Equipment Costs'!H:H,'4. Equipment Costs'!C:C,B46,'4. Equipment Costs'!B:B,$B$8)+SUMIFS('5. Subcontracting Costs'!H:H,'5. Subcontracting Costs'!C:C,B46,'5. Subcontracting Costs'!B:B,$B$8)</f>
        <v>17033</v>
      </c>
      <c r="G46" s="75">
        <f>SUMIFS('1. Staff costs'!W:W,'1. Staff costs'!C:C,B46,'1. Staff costs'!B:B,$G$25)+SUMIFS('2-3. Travel Costs&amp;Costs of Stay'!N:N,'2-3. Travel Costs&amp;Costs of Stay'!C:C,B46,'2-3. Travel Costs&amp;Costs of Stay'!B:B,$G$25)+SUMIFS('4. Equipment Costs'!H:H,'4. Equipment Costs'!C:C,B46,'4. Equipment Costs'!B:B,$G$25)+SUMIFS('5. Subcontracting Costs'!H:H,'5. Subcontracting Costs'!C:C,B46,'5. Subcontracting Costs'!B:B,$G$25)</f>
        <v>12530</v>
      </c>
      <c r="H46" s="82">
        <f>SUMIF('B. Special Mob Strand - Student'!B:B,B46,'B. Special Mob Strand - Student'!N:N)+SUMIF('B. Special Mob Strand - Staff'!B:B,B46,'B. Special Mob Strand - Staff'!N:N)</f>
        <v>0</v>
      </c>
      <c r="I46" s="85">
        <f t="shared" si="4"/>
        <v>49868</v>
      </c>
    </row>
    <row r="47" spans="2:9" x14ac:dyDescent="0.25">
      <c r="B47" s="35" t="s">
        <v>127</v>
      </c>
      <c r="C47" s="75">
        <f>SUMIFS('1. Staff costs'!W:W,'1. Staff costs'!C:C,B47,'1. Staff costs'!B:B,$C$25)+SUMIFS('2-3. Travel Costs&amp;Costs of Stay'!N:N,'2-3. Travel Costs&amp;Costs of Stay'!C:C,B47,'2-3. Travel Costs&amp;Costs of Stay'!B:B,$C$25)+SUMIFS('4. Equipment Costs'!H:H,'4. Equipment Costs'!C:C,B47,'4. Equipment Costs'!B:B,$C$25)+SUMIFS('5. Subcontracting Costs'!H:H,'5. Subcontracting Costs'!C:C,B47,'5. Subcontracting Costs'!B:B,$C$25)</f>
        <v>10180</v>
      </c>
      <c r="D47" s="75">
        <f>SUMIFS('1. Staff costs'!W:W,'1. Staff costs'!C:C,B47,'1. Staff costs'!B:B,$D$25)+SUMIFS('2-3. Travel Costs&amp;Costs of Stay'!N:N,'2-3. Travel Costs&amp;Costs of Stay'!C:C,B47,'2-3. Travel Costs&amp;Costs of Stay'!B:B,$D$25)+SUMIFS('4. Equipment Costs'!H:H,'4. Equipment Costs'!C:C,B47,'4. Equipment Costs'!B:B,$D$25)+SUMIFS('5. Subcontracting Costs'!H:H,'5. Subcontracting Costs'!C:C,B47,'5. Subcontracting Costs'!B:B,$D$25)</f>
        <v>14180</v>
      </c>
      <c r="E47" s="75">
        <f>SUMIFS('1. Staff costs'!W:W,'1. Staff costs'!C:C,B47,'1. Staff costs'!B:B,$E$25)+SUMIFS('2-3. Travel Costs&amp;Costs of Stay'!N:N,'2-3. Travel Costs&amp;Costs of Stay'!C:C,B47,'2-3. Travel Costs&amp;Costs of Stay'!B:B,$E$25)+SUMIFS('4. Equipment Costs'!H:H,'4. Equipment Costs'!C:C,B47,'4. Equipment Costs'!B:B,$E$25)+SUMIFS('5. Subcontracting Costs'!H:H,'5. Subcontracting Costs'!C:C,B47,'5. Subcontracting Costs'!B:B,$E$25)</f>
        <v>6243</v>
      </c>
      <c r="F47" s="75">
        <f>SUMIFS('1. Staff costs'!W:W,'1. Staff costs'!C:C,B47,'1. Staff costs'!B:B,$B$8)+SUMIFS('2-3. Travel Costs&amp;Costs of Stay'!N:N,'2-3. Travel Costs&amp;Costs of Stay'!C:C,B47,'2-3. Travel Costs&amp;Costs of Stay'!B:B,$B$8)+SUMIFS('4. Equipment Costs'!H:H,'4. Equipment Costs'!C:C,B47,'4. Equipment Costs'!B:B,$B$8)+SUMIFS('5. Subcontracting Costs'!H:H,'5. Subcontracting Costs'!C:C,B47,'5. Subcontracting Costs'!B:B,$B$8)</f>
        <v>10850</v>
      </c>
      <c r="G47" s="75">
        <f>SUMIFS('1. Staff costs'!W:W,'1. Staff costs'!C:C,B47,'1. Staff costs'!B:B,$G$25)+SUMIFS('2-3. Travel Costs&amp;Costs of Stay'!N:N,'2-3. Travel Costs&amp;Costs of Stay'!C:C,B47,'2-3. Travel Costs&amp;Costs of Stay'!B:B,$G$25)+SUMIFS('4. Equipment Costs'!H:H,'4. Equipment Costs'!C:C,B47,'4. Equipment Costs'!B:B,$G$25)+SUMIFS('5. Subcontracting Costs'!H:H,'5. Subcontracting Costs'!C:C,B47,'5. Subcontracting Costs'!B:B,$G$25)</f>
        <v>12530</v>
      </c>
      <c r="H47" s="82">
        <f>SUMIF('B. Special Mob Strand - Student'!B:B,B47,'B. Special Mob Strand - Student'!N:N)+SUMIF('B. Special Mob Strand - Staff'!B:B,B47,'B. Special Mob Strand - Staff'!N:N)</f>
        <v>0</v>
      </c>
      <c r="I47" s="85">
        <f t="shared" si="4"/>
        <v>53983</v>
      </c>
    </row>
    <row r="48" spans="2:9" x14ac:dyDescent="0.25">
      <c r="B48" s="35" t="s">
        <v>128</v>
      </c>
      <c r="C48" s="75">
        <f>SUMIFS('1. Staff costs'!W:W,'1. Staff costs'!C:C,B48,'1. Staff costs'!B:B,$C$25)+SUMIFS('2-3. Travel Costs&amp;Costs of Stay'!N:N,'2-3. Travel Costs&amp;Costs of Stay'!C:C,B48,'2-3. Travel Costs&amp;Costs of Stay'!B:B,$C$25)+SUMIFS('4. Equipment Costs'!H:H,'4. Equipment Costs'!C:C,B48,'4. Equipment Costs'!B:B,$C$25)+SUMIFS('5. Subcontracting Costs'!H:H,'5. Subcontracting Costs'!C:C,B48,'5. Subcontracting Costs'!B:B,$C$25)</f>
        <v>10180</v>
      </c>
      <c r="D48" s="75">
        <f>SUMIFS('1. Staff costs'!W:W,'1. Staff costs'!C:C,B48,'1. Staff costs'!B:B,$D$25)+SUMIFS('2-3. Travel Costs&amp;Costs of Stay'!N:N,'2-3. Travel Costs&amp;Costs of Stay'!C:C,B48,'2-3. Travel Costs&amp;Costs of Stay'!B:B,$D$25)+SUMIFS('4. Equipment Costs'!H:H,'4. Equipment Costs'!C:C,B48,'4. Equipment Costs'!B:B,$D$25)+SUMIFS('5. Subcontracting Costs'!H:H,'5. Subcontracting Costs'!C:C,B48,'5. Subcontracting Costs'!B:B,$D$25)</f>
        <v>13090</v>
      </c>
      <c r="E48" s="75">
        <f>SUMIFS('1. Staff costs'!W:W,'1. Staff costs'!C:C,B48,'1. Staff costs'!B:B,$E$25)+SUMIFS('2-3. Travel Costs&amp;Costs of Stay'!N:N,'2-3. Travel Costs&amp;Costs of Stay'!C:C,B48,'2-3. Travel Costs&amp;Costs of Stay'!B:B,$E$25)+SUMIFS('4. Equipment Costs'!H:H,'4. Equipment Costs'!C:C,B48,'4. Equipment Costs'!B:B,$E$25)+SUMIFS('5. Subcontracting Costs'!H:H,'5. Subcontracting Costs'!C:C,B48,'5. Subcontracting Costs'!B:B,$E$25)</f>
        <v>0</v>
      </c>
      <c r="F48" s="75">
        <f>SUMIFS('1. Staff costs'!W:W,'1. Staff costs'!C:C,B48,'1. Staff costs'!B:B,$B$8)+SUMIFS('2-3. Travel Costs&amp;Costs of Stay'!N:N,'2-3. Travel Costs&amp;Costs of Stay'!C:C,B48,'2-3. Travel Costs&amp;Costs of Stay'!B:B,$B$8)+SUMIFS('4. Equipment Costs'!H:H,'4. Equipment Costs'!C:C,B48,'4. Equipment Costs'!B:B,$B$8)+SUMIFS('5. Subcontracting Costs'!H:H,'5. Subcontracting Costs'!C:C,B48,'5. Subcontracting Costs'!B:B,$B$8)</f>
        <v>10850</v>
      </c>
      <c r="G48" s="75">
        <f>SUMIFS('1. Staff costs'!W:W,'1. Staff costs'!C:C,B48,'1. Staff costs'!B:B,$G$25)+SUMIFS('2-3. Travel Costs&amp;Costs of Stay'!N:N,'2-3. Travel Costs&amp;Costs of Stay'!C:C,B48,'2-3. Travel Costs&amp;Costs of Stay'!B:B,$G$25)+SUMIFS('4. Equipment Costs'!H:H,'4. Equipment Costs'!C:C,B48,'4. Equipment Costs'!B:B,$G$25)+SUMIFS('5. Subcontracting Costs'!H:H,'5. Subcontracting Costs'!C:C,B48,'5. Subcontracting Costs'!B:B,$G$25)</f>
        <v>12530</v>
      </c>
      <c r="H48" s="82">
        <f>SUMIF('B. Special Mob Strand - Student'!B:B,B48,'B. Special Mob Strand - Student'!N:N)+SUMIF('B. Special Mob Strand - Staff'!B:B,B48,'B. Special Mob Strand - Staff'!N:N)</f>
        <v>0</v>
      </c>
      <c r="I48" s="85">
        <f t="shared" si="4"/>
        <v>46650</v>
      </c>
    </row>
    <row r="49" spans="2:9" x14ac:dyDescent="0.25">
      <c r="B49" s="35" t="s">
        <v>129</v>
      </c>
      <c r="C49" s="75">
        <f>SUMIFS('1. Staff costs'!W:W,'1. Staff costs'!C:C,B49,'1. Staff costs'!B:B,$C$25)+SUMIFS('2-3. Travel Costs&amp;Costs of Stay'!N:N,'2-3. Travel Costs&amp;Costs of Stay'!C:C,B49,'2-3. Travel Costs&amp;Costs of Stay'!B:B,$C$25)+SUMIFS('4. Equipment Costs'!H:H,'4. Equipment Costs'!C:C,B49,'4. Equipment Costs'!B:B,$C$25)+SUMIFS('5. Subcontracting Costs'!H:H,'5. Subcontracting Costs'!C:C,B49,'5. Subcontracting Costs'!B:B,$C$25)</f>
        <v>3890</v>
      </c>
      <c r="D49" s="75">
        <f>SUMIFS('1. Staff costs'!W:W,'1. Staff costs'!C:C,B49,'1. Staff costs'!B:B,$D$25)+SUMIFS('2-3. Travel Costs&amp;Costs of Stay'!N:N,'2-3. Travel Costs&amp;Costs of Stay'!C:C,B49,'2-3. Travel Costs&amp;Costs of Stay'!B:B,$D$25)+SUMIFS('4. Equipment Costs'!H:H,'4. Equipment Costs'!C:C,B49,'4. Equipment Costs'!B:B,$D$25)+SUMIFS('5. Subcontracting Costs'!H:H,'5. Subcontracting Costs'!C:C,B49,'5. Subcontracting Costs'!B:B,$D$25)</f>
        <v>1660</v>
      </c>
      <c r="E49" s="75">
        <f>SUMIFS('1. Staff costs'!W:W,'1. Staff costs'!C:C,B49,'1. Staff costs'!B:B,$E$25)+SUMIFS('2-3. Travel Costs&amp;Costs of Stay'!N:N,'2-3. Travel Costs&amp;Costs of Stay'!C:C,B49,'2-3. Travel Costs&amp;Costs of Stay'!B:B,$E$25)+SUMIFS('4. Equipment Costs'!H:H,'4. Equipment Costs'!C:C,B49,'4. Equipment Costs'!B:B,$E$25)+SUMIFS('5. Subcontracting Costs'!H:H,'5. Subcontracting Costs'!C:C,B49,'5. Subcontracting Costs'!B:B,$E$25)</f>
        <v>0</v>
      </c>
      <c r="F49" s="75">
        <f>SUMIFS('1. Staff costs'!W:W,'1. Staff costs'!C:C,B49,'1. Staff costs'!B:B,$B$8)+SUMIFS('2-3. Travel Costs&amp;Costs of Stay'!N:N,'2-3. Travel Costs&amp;Costs of Stay'!C:C,B49,'2-3. Travel Costs&amp;Costs of Stay'!B:B,$B$8)+SUMIFS('4. Equipment Costs'!H:H,'4. Equipment Costs'!C:C,B49,'4. Equipment Costs'!B:B,$B$8)+SUMIFS('5. Subcontracting Costs'!H:H,'5. Subcontracting Costs'!C:C,B49,'5. Subcontracting Costs'!B:B,$B$8)</f>
        <v>3180</v>
      </c>
      <c r="G49" s="75">
        <f>SUMIFS('1. Staff costs'!W:W,'1. Staff costs'!C:C,B49,'1. Staff costs'!B:B,$G$25)+SUMIFS('2-3. Travel Costs&amp;Costs of Stay'!N:N,'2-3. Travel Costs&amp;Costs of Stay'!C:C,B49,'2-3. Travel Costs&amp;Costs of Stay'!B:B,$G$25)+SUMIFS('4. Equipment Costs'!H:H,'4. Equipment Costs'!C:C,B49,'4. Equipment Costs'!B:B,$G$25)+SUMIFS('5. Subcontracting Costs'!H:H,'5. Subcontracting Costs'!C:C,B49,'5. Subcontracting Costs'!B:B,$G$25)</f>
        <v>7080</v>
      </c>
      <c r="H49" s="82">
        <f>SUMIF('B. Special Mob Strand - Student'!B:B,B49,'B. Special Mob Strand - Student'!N:N)+SUMIF('B. Special Mob Strand - Staff'!B:B,B49,'B. Special Mob Strand - Staff'!N:N)</f>
        <v>0</v>
      </c>
      <c r="I49" s="85">
        <f t="shared" si="4"/>
        <v>15810</v>
      </c>
    </row>
    <row r="50" spans="2:9" x14ac:dyDescent="0.25">
      <c r="B50" s="35" t="s">
        <v>130</v>
      </c>
      <c r="C50" s="75">
        <f>SUMIFS('1. Staff costs'!W:W,'1. Staff costs'!C:C,B50,'1. Staff costs'!B:B,$C$25)+SUMIFS('2-3. Travel Costs&amp;Costs of Stay'!N:N,'2-3. Travel Costs&amp;Costs of Stay'!C:C,B50,'2-3. Travel Costs&amp;Costs of Stay'!B:B,$C$25)+SUMIFS('4. Equipment Costs'!H:H,'4. Equipment Costs'!C:C,B50,'4. Equipment Costs'!B:B,$C$25)+SUMIFS('5. Subcontracting Costs'!H:H,'5. Subcontracting Costs'!C:C,B50,'5. Subcontracting Costs'!B:B,$C$25)</f>
        <v>3320</v>
      </c>
      <c r="D50" s="75">
        <f>SUMIFS('1. Staff costs'!W:W,'1. Staff costs'!C:C,B50,'1. Staff costs'!B:B,$D$25)+SUMIFS('2-3. Travel Costs&amp;Costs of Stay'!N:N,'2-3. Travel Costs&amp;Costs of Stay'!C:C,B50,'2-3. Travel Costs&amp;Costs of Stay'!B:B,$D$25)+SUMIFS('4. Equipment Costs'!H:H,'4. Equipment Costs'!C:C,B50,'4. Equipment Costs'!B:B,$D$25)+SUMIFS('5. Subcontracting Costs'!H:H,'5. Subcontracting Costs'!C:C,B50,'5. Subcontracting Costs'!B:B,$D$25)</f>
        <v>0</v>
      </c>
      <c r="E50" s="75">
        <f>SUMIFS('1. Staff costs'!W:W,'1. Staff costs'!C:C,B50,'1. Staff costs'!B:B,$E$25)+SUMIFS('2-3. Travel Costs&amp;Costs of Stay'!N:N,'2-3. Travel Costs&amp;Costs of Stay'!C:C,B50,'2-3. Travel Costs&amp;Costs of Stay'!B:B,$E$25)+SUMIFS('4. Equipment Costs'!H:H,'4. Equipment Costs'!C:C,B50,'4. Equipment Costs'!B:B,$E$25)+SUMIFS('5. Subcontracting Costs'!H:H,'5. Subcontracting Costs'!C:C,B50,'5. Subcontracting Costs'!B:B,$E$25)</f>
        <v>0</v>
      </c>
      <c r="F50" s="75">
        <f>SUMIFS('1. Staff costs'!W:W,'1. Staff costs'!C:C,B50,'1. Staff costs'!B:B,$B$8)+SUMIFS('2-3. Travel Costs&amp;Costs of Stay'!N:N,'2-3. Travel Costs&amp;Costs of Stay'!C:C,B50,'2-3. Travel Costs&amp;Costs of Stay'!B:B,$B$8)+SUMIFS('4. Equipment Costs'!H:H,'4. Equipment Costs'!C:C,B50,'4. Equipment Costs'!B:B,$B$8)+SUMIFS('5. Subcontracting Costs'!H:H,'5. Subcontracting Costs'!C:C,B50,'5. Subcontracting Costs'!B:B,$B$8)</f>
        <v>3180</v>
      </c>
      <c r="G50" s="75">
        <f>SUMIFS('1. Staff costs'!W:W,'1. Staff costs'!C:C,B50,'1. Staff costs'!B:B,$G$25)+SUMIFS('2-3. Travel Costs&amp;Costs of Stay'!N:N,'2-3. Travel Costs&amp;Costs of Stay'!C:C,B50,'2-3. Travel Costs&amp;Costs of Stay'!B:B,$G$25)+SUMIFS('4. Equipment Costs'!H:H,'4. Equipment Costs'!C:C,B50,'4. Equipment Costs'!B:B,$G$25)+SUMIFS('5. Subcontracting Costs'!H:H,'5. Subcontracting Costs'!C:C,B50,'5. Subcontracting Costs'!B:B,$G$25)</f>
        <v>7080</v>
      </c>
      <c r="H50" s="82">
        <f>SUMIF('B. Special Mob Strand - Student'!B:B,B50,'B. Special Mob Strand - Student'!N:N)+SUMIF('B. Special Mob Strand - Staff'!B:B,B50,'B. Special Mob Strand - Staff'!N:N)</f>
        <v>0</v>
      </c>
      <c r="I50" s="85">
        <f t="shared" si="4"/>
        <v>13580</v>
      </c>
    </row>
    <row r="51" spans="2:9" x14ac:dyDescent="0.25">
      <c r="B51" s="35" t="s">
        <v>131</v>
      </c>
      <c r="C51" s="75">
        <f>SUMIFS('1. Staff costs'!W:W,'1. Staff costs'!C:C,B51,'1. Staff costs'!B:B,$C$25)+SUMIFS('2-3. Travel Costs&amp;Costs of Stay'!N:N,'2-3. Travel Costs&amp;Costs of Stay'!C:C,B51,'2-3. Travel Costs&amp;Costs of Stay'!B:B,$C$25)+SUMIFS('4. Equipment Costs'!H:H,'4. Equipment Costs'!C:C,B51,'4. Equipment Costs'!B:B,$C$25)+SUMIFS('5. Subcontracting Costs'!H:H,'5. Subcontracting Costs'!C:C,B51,'5. Subcontracting Costs'!B:B,$C$25)</f>
        <v>0</v>
      </c>
      <c r="D51" s="75">
        <f>SUMIFS('1. Staff costs'!W:W,'1. Staff costs'!C:C,B51,'1. Staff costs'!B:B,$D$25)+SUMIFS('2-3. Travel Costs&amp;Costs of Stay'!N:N,'2-3. Travel Costs&amp;Costs of Stay'!C:C,B51,'2-3. Travel Costs&amp;Costs of Stay'!B:B,$D$25)+SUMIFS('4. Equipment Costs'!H:H,'4. Equipment Costs'!C:C,B51,'4. Equipment Costs'!B:B,$D$25)+SUMIFS('5. Subcontracting Costs'!H:H,'5. Subcontracting Costs'!C:C,B51,'5. Subcontracting Costs'!B:B,$D$25)</f>
        <v>0</v>
      </c>
      <c r="E51" s="75">
        <f>SUMIFS('1. Staff costs'!W:W,'1. Staff costs'!C:C,B51,'1. Staff costs'!B:B,$E$25)+SUMIFS('2-3. Travel Costs&amp;Costs of Stay'!N:N,'2-3. Travel Costs&amp;Costs of Stay'!C:C,B51,'2-3. Travel Costs&amp;Costs of Stay'!B:B,$E$25)+SUMIFS('4. Equipment Costs'!H:H,'4. Equipment Costs'!C:C,B51,'4. Equipment Costs'!B:B,$E$25)+SUMIFS('5. Subcontracting Costs'!H:H,'5. Subcontracting Costs'!C:C,B51,'5. Subcontracting Costs'!B:B,$E$25)</f>
        <v>0</v>
      </c>
      <c r="F51" s="75">
        <f>SUMIFS('1. Staff costs'!W:W,'1. Staff costs'!C:C,B51,'1. Staff costs'!B:B,$B$8)+SUMIFS('2-3. Travel Costs&amp;Costs of Stay'!N:N,'2-3. Travel Costs&amp;Costs of Stay'!C:C,B51,'2-3. Travel Costs&amp;Costs of Stay'!B:B,$B$8)+SUMIFS('4. Equipment Costs'!H:H,'4. Equipment Costs'!C:C,B51,'4. Equipment Costs'!B:B,$B$8)+SUMIFS('5. Subcontracting Costs'!H:H,'5. Subcontracting Costs'!C:C,B51,'5. Subcontracting Costs'!B:B,$B$8)</f>
        <v>0</v>
      </c>
      <c r="G51" s="75">
        <f>SUMIFS('1. Staff costs'!W:W,'1. Staff costs'!C:C,B51,'1. Staff costs'!B:B,$G$25)+SUMIFS('2-3. Travel Costs&amp;Costs of Stay'!N:N,'2-3. Travel Costs&amp;Costs of Stay'!C:C,B51,'2-3. Travel Costs&amp;Costs of Stay'!B:B,$G$25)+SUMIFS('4. Equipment Costs'!H:H,'4. Equipment Costs'!C:C,B51,'4. Equipment Costs'!B:B,$G$25)+SUMIFS('5. Subcontracting Costs'!H:H,'5. Subcontracting Costs'!C:C,B51,'5. Subcontracting Costs'!B:B,$G$25)</f>
        <v>0</v>
      </c>
      <c r="H51" s="82">
        <f>SUMIF('B. Special Mob Strand - Student'!B:B,B51,'B. Special Mob Strand - Student'!N:N)+SUMIF('B. Special Mob Strand - Staff'!B:B,B51,'B. Special Mob Strand - Staff'!N:N)</f>
        <v>0</v>
      </c>
      <c r="I51" s="85">
        <f t="shared" si="4"/>
        <v>0</v>
      </c>
    </row>
    <row r="52" spans="2:9" x14ac:dyDescent="0.25">
      <c r="B52" s="35" t="s">
        <v>132</v>
      </c>
      <c r="C52" s="75">
        <f>SUMIFS('1. Staff costs'!W:W,'1. Staff costs'!C:C,B52,'1. Staff costs'!B:B,$C$25)+SUMIFS('2-3. Travel Costs&amp;Costs of Stay'!N:N,'2-3. Travel Costs&amp;Costs of Stay'!C:C,B52,'2-3. Travel Costs&amp;Costs of Stay'!B:B,$C$25)+SUMIFS('4. Equipment Costs'!H:H,'4. Equipment Costs'!C:C,B52,'4. Equipment Costs'!B:B,$C$25)+SUMIFS('5. Subcontracting Costs'!H:H,'5. Subcontracting Costs'!C:C,B52,'5. Subcontracting Costs'!B:B,$C$25)</f>
        <v>0</v>
      </c>
      <c r="D52" s="75">
        <f>SUMIFS('1. Staff costs'!W:W,'1. Staff costs'!C:C,B52,'1. Staff costs'!B:B,$D$25)+SUMIFS('2-3. Travel Costs&amp;Costs of Stay'!N:N,'2-3. Travel Costs&amp;Costs of Stay'!C:C,B52,'2-3. Travel Costs&amp;Costs of Stay'!B:B,$D$25)+SUMIFS('4. Equipment Costs'!H:H,'4. Equipment Costs'!C:C,B52,'4. Equipment Costs'!B:B,$D$25)+SUMIFS('5. Subcontracting Costs'!H:H,'5. Subcontracting Costs'!C:C,B52,'5. Subcontracting Costs'!B:B,$D$25)</f>
        <v>0</v>
      </c>
      <c r="E52" s="75">
        <f>SUMIFS('1. Staff costs'!W:W,'1. Staff costs'!C:C,B52,'1. Staff costs'!B:B,$E$25)+SUMIFS('2-3. Travel Costs&amp;Costs of Stay'!N:N,'2-3. Travel Costs&amp;Costs of Stay'!C:C,B52,'2-3. Travel Costs&amp;Costs of Stay'!B:B,$E$25)+SUMIFS('4. Equipment Costs'!H:H,'4. Equipment Costs'!C:C,B52,'4. Equipment Costs'!B:B,$E$25)+SUMIFS('5. Subcontracting Costs'!H:H,'5. Subcontracting Costs'!C:C,B52,'5. Subcontracting Costs'!B:B,$E$25)</f>
        <v>0</v>
      </c>
      <c r="F52" s="75">
        <f>SUMIFS('1. Staff costs'!W:W,'1. Staff costs'!C:C,B52,'1. Staff costs'!B:B,$B$8)+SUMIFS('2-3. Travel Costs&amp;Costs of Stay'!N:N,'2-3. Travel Costs&amp;Costs of Stay'!C:C,B52,'2-3. Travel Costs&amp;Costs of Stay'!B:B,$B$8)+SUMIFS('4. Equipment Costs'!H:H,'4. Equipment Costs'!C:C,B52,'4. Equipment Costs'!B:B,$B$8)+SUMIFS('5. Subcontracting Costs'!H:H,'5. Subcontracting Costs'!C:C,B52,'5. Subcontracting Costs'!B:B,$B$8)</f>
        <v>0</v>
      </c>
      <c r="G52" s="75">
        <f>SUMIFS('1. Staff costs'!W:W,'1. Staff costs'!C:C,B52,'1. Staff costs'!B:B,$G$25)+SUMIFS('2-3. Travel Costs&amp;Costs of Stay'!N:N,'2-3. Travel Costs&amp;Costs of Stay'!C:C,B52,'2-3. Travel Costs&amp;Costs of Stay'!B:B,$G$25)+SUMIFS('4. Equipment Costs'!H:H,'4. Equipment Costs'!C:C,B52,'4. Equipment Costs'!B:B,$G$25)+SUMIFS('5. Subcontracting Costs'!H:H,'5. Subcontracting Costs'!C:C,B52,'5. Subcontracting Costs'!B:B,$G$25)</f>
        <v>0</v>
      </c>
      <c r="H52" s="82">
        <f>SUMIF('B. Special Mob Strand - Student'!B:B,B52,'B. Special Mob Strand - Student'!N:N)+SUMIF('B. Special Mob Strand - Staff'!B:B,B52,'B. Special Mob Strand - Staff'!N:N)</f>
        <v>0</v>
      </c>
      <c r="I52" s="85">
        <f t="shared" si="4"/>
        <v>0</v>
      </c>
    </row>
    <row r="53" spans="2:9" x14ac:dyDescent="0.25">
      <c r="B53" s="35" t="s">
        <v>133</v>
      </c>
      <c r="C53" s="75">
        <f>SUMIFS('1. Staff costs'!W:W,'1. Staff costs'!C:C,B53,'1. Staff costs'!B:B,$C$25)+SUMIFS('2-3. Travel Costs&amp;Costs of Stay'!N:N,'2-3. Travel Costs&amp;Costs of Stay'!C:C,B53,'2-3. Travel Costs&amp;Costs of Stay'!B:B,$C$25)+SUMIFS('4. Equipment Costs'!H:H,'4. Equipment Costs'!C:C,B53,'4. Equipment Costs'!B:B,$C$25)+SUMIFS('5. Subcontracting Costs'!H:H,'5. Subcontracting Costs'!C:C,B53,'5. Subcontracting Costs'!B:B,$C$25)</f>
        <v>0</v>
      </c>
      <c r="D53" s="75">
        <f>SUMIFS('1. Staff costs'!W:W,'1. Staff costs'!C:C,B53,'1. Staff costs'!B:B,$D$25)+SUMIFS('2-3. Travel Costs&amp;Costs of Stay'!N:N,'2-3. Travel Costs&amp;Costs of Stay'!C:C,B53,'2-3. Travel Costs&amp;Costs of Stay'!B:B,$D$25)+SUMIFS('4. Equipment Costs'!H:H,'4. Equipment Costs'!C:C,B53,'4. Equipment Costs'!B:B,$D$25)+SUMIFS('5. Subcontracting Costs'!H:H,'5. Subcontracting Costs'!C:C,B53,'5. Subcontracting Costs'!B:B,$D$25)</f>
        <v>0</v>
      </c>
      <c r="E53" s="75">
        <f>SUMIFS('1. Staff costs'!W:W,'1. Staff costs'!C:C,B53,'1. Staff costs'!B:B,$E$25)+SUMIFS('2-3. Travel Costs&amp;Costs of Stay'!N:N,'2-3. Travel Costs&amp;Costs of Stay'!C:C,B53,'2-3. Travel Costs&amp;Costs of Stay'!B:B,$E$25)+SUMIFS('4. Equipment Costs'!H:H,'4. Equipment Costs'!C:C,B53,'4. Equipment Costs'!B:B,$E$25)+SUMIFS('5. Subcontracting Costs'!H:H,'5. Subcontracting Costs'!C:C,B53,'5. Subcontracting Costs'!B:B,$E$25)</f>
        <v>0</v>
      </c>
      <c r="F53" s="75">
        <f>SUMIFS('1. Staff costs'!W:W,'1. Staff costs'!C:C,B53,'1. Staff costs'!B:B,$B$8)+SUMIFS('2-3. Travel Costs&amp;Costs of Stay'!N:N,'2-3. Travel Costs&amp;Costs of Stay'!C:C,B53,'2-3. Travel Costs&amp;Costs of Stay'!B:B,$B$8)+SUMIFS('4. Equipment Costs'!H:H,'4. Equipment Costs'!C:C,B53,'4. Equipment Costs'!B:B,$B$8)+SUMIFS('5. Subcontracting Costs'!H:H,'5. Subcontracting Costs'!C:C,B53,'5. Subcontracting Costs'!B:B,$B$8)</f>
        <v>0</v>
      </c>
      <c r="G53" s="75">
        <f>SUMIFS('1. Staff costs'!W:W,'1. Staff costs'!C:C,B53,'1. Staff costs'!B:B,$G$25)+SUMIFS('2-3. Travel Costs&amp;Costs of Stay'!N:N,'2-3. Travel Costs&amp;Costs of Stay'!C:C,B53,'2-3. Travel Costs&amp;Costs of Stay'!B:B,$G$25)+SUMIFS('4. Equipment Costs'!H:H,'4. Equipment Costs'!C:C,B53,'4. Equipment Costs'!B:B,$G$25)+SUMIFS('5. Subcontracting Costs'!H:H,'5. Subcontracting Costs'!C:C,B53,'5. Subcontracting Costs'!B:B,$G$25)</f>
        <v>0</v>
      </c>
      <c r="H53" s="82">
        <f>SUMIF('B. Special Mob Strand - Student'!B:B,B53,'B. Special Mob Strand - Student'!N:N)+SUMIF('B. Special Mob Strand - Staff'!B:B,B53,'B. Special Mob Strand - Staff'!N:N)</f>
        <v>0</v>
      </c>
      <c r="I53" s="85">
        <f t="shared" si="4"/>
        <v>0</v>
      </c>
    </row>
    <row r="54" spans="2:9" x14ac:dyDescent="0.25">
      <c r="B54" s="35" t="s">
        <v>134</v>
      </c>
      <c r="C54" s="75">
        <f>SUMIFS('1. Staff costs'!W:W,'1. Staff costs'!C:C,B54,'1. Staff costs'!B:B,$C$25)+SUMIFS('2-3. Travel Costs&amp;Costs of Stay'!N:N,'2-3. Travel Costs&amp;Costs of Stay'!C:C,B54,'2-3. Travel Costs&amp;Costs of Stay'!B:B,$C$25)+SUMIFS('4. Equipment Costs'!H:H,'4. Equipment Costs'!C:C,B54,'4. Equipment Costs'!B:B,$C$25)+SUMIFS('5. Subcontracting Costs'!H:H,'5. Subcontracting Costs'!C:C,B54,'5. Subcontracting Costs'!B:B,$C$25)</f>
        <v>0</v>
      </c>
      <c r="D54" s="75">
        <f>SUMIFS('1. Staff costs'!W:W,'1. Staff costs'!C:C,B54,'1. Staff costs'!B:B,$D$25)+SUMIFS('2-3. Travel Costs&amp;Costs of Stay'!N:N,'2-3. Travel Costs&amp;Costs of Stay'!C:C,B54,'2-3. Travel Costs&amp;Costs of Stay'!B:B,$D$25)+SUMIFS('4. Equipment Costs'!H:H,'4. Equipment Costs'!C:C,B54,'4. Equipment Costs'!B:B,$D$25)+SUMIFS('5. Subcontracting Costs'!H:H,'5. Subcontracting Costs'!C:C,B54,'5. Subcontracting Costs'!B:B,$D$25)</f>
        <v>0</v>
      </c>
      <c r="E54" s="75">
        <f>SUMIFS('1. Staff costs'!W:W,'1. Staff costs'!C:C,B54,'1. Staff costs'!B:B,$E$25)+SUMIFS('2-3. Travel Costs&amp;Costs of Stay'!N:N,'2-3. Travel Costs&amp;Costs of Stay'!C:C,B54,'2-3. Travel Costs&amp;Costs of Stay'!B:B,$E$25)+SUMIFS('4. Equipment Costs'!H:H,'4. Equipment Costs'!C:C,B54,'4. Equipment Costs'!B:B,$E$25)+SUMIFS('5. Subcontracting Costs'!H:H,'5. Subcontracting Costs'!C:C,B54,'5. Subcontracting Costs'!B:B,$E$25)</f>
        <v>0</v>
      </c>
      <c r="F54" s="75">
        <f>SUMIFS('1. Staff costs'!W:W,'1. Staff costs'!C:C,B54,'1. Staff costs'!B:B,$B$8)+SUMIFS('2-3. Travel Costs&amp;Costs of Stay'!N:N,'2-3. Travel Costs&amp;Costs of Stay'!C:C,B54,'2-3. Travel Costs&amp;Costs of Stay'!B:B,$B$8)+SUMIFS('4. Equipment Costs'!H:H,'4. Equipment Costs'!C:C,B54,'4. Equipment Costs'!B:B,$B$8)+SUMIFS('5. Subcontracting Costs'!H:H,'5. Subcontracting Costs'!C:C,B54,'5. Subcontracting Costs'!B:B,$B$8)</f>
        <v>0</v>
      </c>
      <c r="G54" s="75">
        <f>SUMIFS('1. Staff costs'!W:W,'1. Staff costs'!C:C,B54,'1. Staff costs'!B:B,$G$25)+SUMIFS('2-3. Travel Costs&amp;Costs of Stay'!N:N,'2-3. Travel Costs&amp;Costs of Stay'!C:C,B54,'2-3. Travel Costs&amp;Costs of Stay'!B:B,$G$25)+SUMIFS('4. Equipment Costs'!H:H,'4. Equipment Costs'!C:C,B54,'4. Equipment Costs'!B:B,$G$25)+SUMIFS('5. Subcontracting Costs'!H:H,'5. Subcontracting Costs'!C:C,B54,'5. Subcontracting Costs'!B:B,$G$25)</f>
        <v>0</v>
      </c>
      <c r="H54" s="82">
        <f>SUMIF('B. Special Mob Strand - Student'!B:B,B54,'B. Special Mob Strand - Student'!N:N)+SUMIF('B. Special Mob Strand - Staff'!B:B,B54,'B. Special Mob Strand - Staff'!N:N)</f>
        <v>0</v>
      </c>
      <c r="I54" s="85">
        <f t="shared" si="4"/>
        <v>0</v>
      </c>
    </row>
    <row r="55" spans="2:9" x14ac:dyDescent="0.25">
      <c r="B55" s="35" t="s">
        <v>135</v>
      </c>
      <c r="C55" s="75">
        <f>SUMIFS('1. Staff costs'!W:W,'1. Staff costs'!C:C,B55,'1. Staff costs'!B:B,$C$25)+SUMIFS('2-3. Travel Costs&amp;Costs of Stay'!N:N,'2-3. Travel Costs&amp;Costs of Stay'!C:C,B55,'2-3. Travel Costs&amp;Costs of Stay'!B:B,$C$25)+SUMIFS('4. Equipment Costs'!H:H,'4. Equipment Costs'!C:C,B55,'4. Equipment Costs'!B:B,$C$25)+SUMIFS('5. Subcontracting Costs'!H:H,'5. Subcontracting Costs'!C:C,B55,'5. Subcontracting Costs'!B:B,$C$25)</f>
        <v>0</v>
      </c>
      <c r="D55" s="75">
        <f>SUMIFS('1. Staff costs'!W:W,'1. Staff costs'!C:C,B55,'1. Staff costs'!B:B,$D$25)+SUMIFS('2-3. Travel Costs&amp;Costs of Stay'!N:N,'2-3. Travel Costs&amp;Costs of Stay'!C:C,B55,'2-3. Travel Costs&amp;Costs of Stay'!B:B,$D$25)+SUMIFS('4. Equipment Costs'!H:H,'4. Equipment Costs'!C:C,B55,'4. Equipment Costs'!B:B,$D$25)+SUMIFS('5. Subcontracting Costs'!H:H,'5. Subcontracting Costs'!C:C,B55,'5. Subcontracting Costs'!B:B,$D$25)</f>
        <v>0</v>
      </c>
      <c r="E55" s="75">
        <f>SUMIFS('1. Staff costs'!W:W,'1. Staff costs'!C:C,B55,'1. Staff costs'!B:B,$E$25)+SUMIFS('2-3. Travel Costs&amp;Costs of Stay'!N:N,'2-3. Travel Costs&amp;Costs of Stay'!C:C,B55,'2-3. Travel Costs&amp;Costs of Stay'!B:B,$E$25)+SUMIFS('4. Equipment Costs'!H:H,'4. Equipment Costs'!C:C,B55,'4. Equipment Costs'!B:B,$E$25)+SUMIFS('5. Subcontracting Costs'!H:H,'5. Subcontracting Costs'!C:C,B55,'5. Subcontracting Costs'!B:B,$E$25)</f>
        <v>0</v>
      </c>
      <c r="F55" s="75">
        <f>SUMIFS('1. Staff costs'!W:W,'1. Staff costs'!C:C,B55,'1. Staff costs'!B:B,$B$8)+SUMIFS('2-3. Travel Costs&amp;Costs of Stay'!N:N,'2-3. Travel Costs&amp;Costs of Stay'!C:C,B55,'2-3. Travel Costs&amp;Costs of Stay'!B:B,$B$8)+SUMIFS('4. Equipment Costs'!H:H,'4. Equipment Costs'!C:C,B55,'4. Equipment Costs'!B:B,$B$8)+SUMIFS('5. Subcontracting Costs'!H:H,'5. Subcontracting Costs'!C:C,B55,'5. Subcontracting Costs'!B:B,$B$8)</f>
        <v>0</v>
      </c>
      <c r="G55" s="75">
        <f>SUMIFS('1. Staff costs'!W:W,'1. Staff costs'!C:C,B55,'1. Staff costs'!B:B,$G$25)+SUMIFS('2-3. Travel Costs&amp;Costs of Stay'!N:N,'2-3. Travel Costs&amp;Costs of Stay'!C:C,B55,'2-3. Travel Costs&amp;Costs of Stay'!B:B,$G$25)+SUMIFS('4. Equipment Costs'!H:H,'4. Equipment Costs'!C:C,B55,'4. Equipment Costs'!B:B,$G$25)+SUMIFS('5. Subcontracting Costs'!H:H,'5. Subcontracting Costs'!C:C,B55,'5. Subcontracting Costs'!B:B,$G$25)</f>
        <v>0</v>
      </c>
      <c r="H55" s="82">
        <f>SUMIF('B. Special Mob Strand - Student'!B:B,B55,'B. Special Mob Strand - Student'!N:N)+SUMIF('B. Special Mob Strand - Staff'!B:B,B55,'B. Special Mob Strand - Staff'!N:N)</f>
        <v>0</v>
      </c>
      <c r="I55" s="85">
        <f t="shared" si="4"/>
        <v>0</v>
      </c>
    </row>
    <row r="56" spans="2:9" x14ac:dyDescent="0.25">
      <c r="B56" s="35" t="s">
        <v>136</v>
      </c>
      <c r="C56" s="75">
        <f>SUMIFS('1. Staff costs'!W:W,'1. Staff costs'!C:C,B56,'1. Staff costs'!B:B,$C$25)+SUMIFS('2-3. Travel Costs&amp;Costs of Stay'!N:N,'2-3. Travel Costs&amp;Costs of Stay'!C:C,B56,'2-3. Travel Costs&amp;Costs of Stay'!B:B,$C$25)+SUMIFS('4. Equipment Costs'!H:H,'4. Equipment Costs'!C:C,B56,'4. Equipment Costs'!B:B,$C$25)+SUMIFS('5. Subcontracting Costs'!H:H,'5. Subcontracting Costs'!C:C,B56,'5. Subcontracting Costs'!B:B,$C$25)</f>
        <v>0</v>
      </c>
      <c r="D56" s="75">
        <f>SUMIFS('1. Staff costs'!W:W,'1. Staff costs'!C:C,B56,'1. Staff costs'!B:B,$D$25)+SUMIFS('2-3. Travel Costs&amp;Costs of Stay'!N:N,'2-3. Travel Costs&amp;Costs of Stay'!C:C,B56,'2-3. Travel Costs&amp;Costs of Stay'!B:B,$D$25)+SUMIFS('4. Equipment Costs'!H:H,'4. Equipment Costs'!C:C,B56,'4. Equipment Costs'!B:B,$D$25)+SUMIFS('5. Subcontracting Costs'!H:H,'5. Subcontracting Costs'!C:C,B56,'5. Subcontracting Costs'!B:B,$D$25)</f>
        <v>0</v>
      </c>
      <c r="E56" s="75">
        <f>SUMIFS('1. Staff costs'!W:W,'1. Staff costs'!C:C,B56,'1. Staff costs'!B:B,$E$25)+SUMIFS('2-3. Travel Costs&amp;Costs of Stay'!N:N,'2-3. Travel Costs&amp;Costs of Stay'!C:C,B56,'2-3. Travel Costs&amp;Costs of Stay'!B:B,$E$25)+SUMIFS('4. Equipment Costs'!H:H,'4. Equipment Costs'!C:C,B56,'4. Equipment Costs'!B:B,$E$25)+SUMIFS('5. Subcontracting Costs'!H:H,'5. Subcontracting Costs'!C:C,B56,'5. Subcontracting Costs'!B:B,$E$25)</f>
        <v>0</v>
      </c>
      <c r="F56" s="75">
        <f>SUMIFS('1. Staff costs'!W:W,'1. Staff costs'!C:C,B56,'1. Staff costs'!B:B,$B$8)+SUMIFS('2-3. Travel Costs&amp;Costs of Stay'!N:N,'2-3. Travel Costs&amp;Costs of Stay'!C:C,B56,'2-3. Travel Costs&amp;Costs of Stay'!B:B,$B$8)+SUMIFS('4. Equipment Costs'!H:H,'4. Equipment Costs'!C:C,B56,'4. Equipment Costs'!B:B,$B$8)+SUMIFS('5. Subcontracting Costs'!H:H,'5. Subcontracting Costs'!C:C,B56,'5. Subcontracting Costs'!B:B,$B$8)</f>
        <v>0</v>
      </c>
      <c r="G56" s="75">
        <f>SUMIFS('1. Staff costs'!W:W,'1. Staff costs'!C:C,B56,'1. Staff costs'!B:B,$G$25)+SUMIFS('2-3. Travel Costs&amp;Costs of Stay'!N:N,'2-3. Travel Costs&amp;Costs of Stay'!C:C,B56,'2-3. Travel Costs&amp;Costs of Stay'!B:B,$G$25)+SUMIFS('4. Equipment Costs'!H:H,'4. Equipment Costs'!C:C,B56,'4. Equipment Costs'!B:B,$G$25)+SUMIFS('5. Subcontracting Costs'!H:H,'5. Subcontracting Costs'!C:C,B56,'5. Subcontracting Costs'!B:B,$G$25)</f>
        <v>0</v>
      </c>
      <c r="H56" s="82">
        <f>SUMIF('B. Special Mob Strand - Student'!B:B,B56,'B. Special Mob Strand - Student'!N:N)+SUMIF('B. Special Mob Strand - Staff'!B:B,B56,'B. Special Mob Strand - Staff'!N:N)</f>
        <v>0</v>
      </c>
      <c r="I56" s="85">
        <f t="shared" si="4"/>
        <v>0</v>
      </c>
    </row>
    <row r="57" spans="2:9" x14ac:dyDescent="0.25">
      <c r="B57" s="35" t="s">
        <v>137</v>
      </c>
      <c r="C57" s="75">
        <f>SUMIFS('1. Staff costs'!W:W,'1. Staff costs'!C:C,B57,'1. Staff costs'!B:B,$C$25)+SUMIFS('2-3. Travel Costs&amp;Costs of Stay'!N:N,'2-3. Travel Costs&amp;Costs of Stay'!C:C,B57,'2-3. Travel Costs&amp;Costs of Stay'!B:B,$C$25)+SUMIFS('4. Equipment Costs'!H:H,'4. Equipment Costs'!C:C,B57,'4. Equipment Costs'!B:B,$C$25)+SUMIFS('5. Subcontracting Costs'!H:H,'5. Subcontracting Costs'!C:C,B57,'5. Subcontracting Costs'!B:B,$C$25)</f>
        <v>0</v>
      </c>
      <c r="D57" s="75">
        <f>SUMIFS('1. Staff costs'!W:W,'1. Staff costs'!C:C,B57,'1. Staff costs'!B:B,$D$25)+SUMIFS('2-3. Travel Costs&amp;Costs of Stay'!N:N,'2-3. Travel Costs&amp;Costs of Stay'!C:C,B57,'2-3. Travel Costs&amp;Costs of Stay'!B:B,$D$25)+SUMIFS('4. Equipment Costs'!H:H,'4. Equipment Costs'!C:C,B57,'4. Equipment Costs'!B:B,$D$25)+SUMIFS('5. Subcontracting Costs'!H:H,'5. Subcontracting Costs'!C:C,B57,'5. Subcontracting Costs'!B:B,$D$25)</f>
        <v>0</v>
      </c>
      <c r="E57" s="75">
        <f>SUMIFS('1. Staff costs'!W:W,'1. Staff costs'!C:C,B57,'1. Staff costs'!B:B,$E$25)+SUMIFS('2-3. Travel Costs&amp;Costs of Stay'!N:N,'2-3. Travel Costs&amp;Costs of Stay'!C:C,B57,'2-3. Travel Costs&amp;Costs of Stay'!B:B,$E$25)+SUMIFS('4. Equipment Costs'!H:H,'4. Equipment Costs'!C:C,B57,'4. Equipment Costs'!B:B,$E$25)+SUMIFS('5. Subcontracting Costs'!H:H,'5. Subcontracting Costs'!C:C,B57,'5. Subcontracting Costs'!B:B,$E$25)</f>
        <v>0</v>
      </c>
      <c r="F57" s="75">
        <f>SUMIFS('1. Staff costs'!W:W,'1. Staff costs'!C:C,B57,'1. Staff costs'!B:B,$B$8)+SUMIFS('2-3. Travel Costs&amp;Costs of Stay'!N:N,'2-3. Travel Costs&amp;Costs of Stay'!C:C,B57,'2-3. Travel Costs&amp;Costs of Stay'!B:B,$B$8)+SUMIFS('4. Equipment Costs'!H:H,'4. Equipment Costs'!C:C,B57,'4. Equipment Costs'!B:B,$B$8)+SUMIFS('5. Subcontracting Costs'!H:H,'5. Subcontracting Costs'!C:C,B57,'5. Subcontracting Costs'!B:B,$B$8)</f>
        <v>0</v>
      </c>
      <c r="G57" s="75">
        <f>SUMIFS('1. Staff costs'!W:W,'1. Staff costs'!C:C,B57,'1. Staff costs'!B:B,$G$25)+SUMIFS('2-3. Travel Costs&amp;Costs of Stay'!N:N,'2-3. Travel Costs&amp;Costs of Stay'!C:C,B57,'2-3. Travel Costs&amp;Costs of Stay'!B:B,$G$25)+SUMIFS('4. Equipment Costs'!H:H,'4. Equipment Costs'!C:C,B57,'4. Equipment Costs'!B:B,$G$25)+SUMIFS('5. Subcontracting Costs'!H:H,'5. Subcontracting Costs'!C:C,B57,'5. Subcontracting Costs'!B:B,$G$25)</f>
        <v>0</v>
      </c>
      <c r="H57" s="82">
        <f>SUMIF('B. Special Mob Strand - Student'!B:B,B57,'B. Special Mob Strand - Student'!N:N)+SUMIF('B. Special Mob Strand - Staff'!B:B,B57,'B. Special Mob Strand - Staff'!N:N)</f>
        <v>0</v>
      </c>
      <c r="I57" s="85">
        <f t="shared" si="4"/>
        <v>0</v>
      </c>
    </row>
    <row r="58" spans="2:9" x14ac:dyDescent="0.25">
      <c r="B58" s="35" t="s">
        <v>138</v>
      </c>
      <c r="C58" s="75">
        <f>SUMIFS('1. Staff costs'!W:W,'1. Staff costs'!C:C,B58,'1. Staff costs'!B:B,$C$25)+SUMIFS('2-3. Travel Costs&amp;Costs of Stay'!N:N,'2-3. Travel Costs&amp;Costs of Stay'!C:C,B58,'2-3. Travel Costs&amp;Costs of Stay'!B:B,$C$25)+SUMIFS('4. Equipment Costs'!H:H,'4. Equipment Costs'!C:C,B58,'4. Equipment Costs'!B:B,$C$25)+SUMIFS('5. Subcontracting Costs'!H:H,'5. Subcontracting Costs'!C:C,B58,'5. Subcontracting Costs'!B:B,$C$25)</f>
        <v>0</v>
      </c>
      <c r="D58" s="75">
        <f>SUMIFS('1. Staff costs'!W:W,'1. Staff costs'!C:C,B58,'1. Staff costs'!B:B,$D$25)+SUMIFS('2-3. Travel Costs&amp;Costs of Stay'!N:N,'2-3. Travel Costs&amp;Costs of Stay'!C:C,B58,'2-3. Travel Costs&amp;Costs of Stay'!B:B,$D$25)+SUMIFS('4. Equipment Costs'!H:H,'4. Equipment Costs'!C:C,B58,'4. Equipment Costs'!B:B,$D$25)+SUMIFS('5. Subcontracting Costs'!H:H,'5. Subcontracting Costs'!C:C,B58,'5. Subcontracting Costs'!B:B,$D$25)</f>
        <v>0</v>
      </c>
      <c r="E58" s="75">
        <f>SUMIFS('1. Staff costs'!W:W,'1. Staff costs'!C:C,B58,'1. Staff costs'!B:B,$E$25)+SUMIFS('2-3. Travel Costs&amp;Costs of Stay'!N:N,'2-3. Travel Costs&amp;Costs of Stay'!C:C,B58,'2-3. Travel Costs&amp;Costs of Stay'!B:B,$E$25)+SUMIFS('4. Equipment Costs'!H:H,'4. Equipment Costs'!C:C,B58,'4. Equipment Costs'!B:B,$E$25)+SUMIFS('5. Subcontracting Costs'!H:H,'5. Subcontracting Costs'!C:C,B58,'5. Subcontracting Costs'!B:B,$E$25)</f>
        <v>0</v>
      </c>
      <c r="F58" s="75">
        <f>SUMIFS('1. Staff costs'!W:W,'1. Staff costs'!C:C,B58,'1. Staff costs'!B:B,$B$8)+SUMIFS('2-3. Travel Costs&amp;Costs of Stay'!N:N,'2-3. Travel Costs&amp;Costs of Stay'!C:C,B58,'2-3. Travel Costs&amp;Costs of Stay'!B:B,$B$8)+SUMIFS('4. Equipment Costs'!H:H,'4. Equipment Costs'!C:C,B58,'4. Equipment Costs'!B:B,$B$8)+SUMIFS('5. Subcontracting Costs'!H:H,'5. Subcontracting Costs'!C:C,B58,'5. Subcontracting Costs'!B:B,$B$8)</f>
        <v>0</v>
      </c>
      <c r="G58" s="75">
        <f>SUMIFS('1. Staff costs'!W:W,'1. Staff costs'!C:C,B58,'1. Staff costs'!B:B,$G$25)+SUMIFS('2-3. Travel Costs&amp;Costs of Stay'!N:N,'2-3. Travel Costs&amp;Costs of Stay'!C:C,B58,'2-3. Travel Costs&amp;Costs of Stay'!B:B,$G$25)+SUMIFS('4. Equipment Costs'!H:H,'4. Equipment Costs'!C:C,B58,'4. Equipment Costs'!B:B,$G$25)+SUMIFS('5. Subcontracting Costs'!H:H,'5. Subcontracting Costs'!C:C,B58,'5. Subcontracting Costs'!B:B,$G$25)</f>
        <v>0</v>
      </c>
      <c r="H58" s="82">
        <f>SUMIF('B. Special Mob Strand - Student'!B:B,B58,'B. Special Mob Strand - Student'!N:N)+SUMIF('B. Special Mob Strand - Staff'!B:B,B58,'B. Special Mob Strand - Staff'!N:N)</f>
        <v>0</v>
      </c>
      <c r="I58" s="85">
        <f t="shared" si="4"/>
        <v>0</v>
      </c>
    </row>
    <row r="59" spans="2:9" x14ac:dyDescent="0.25">
      <c r="B59" s="35" t="s">
        <v>139</v>
      </c>
      <c r="C59" s="75">
        <f>SUMIFS('1. Staff costs'!W:W,'1. Staff costs'!C:C,B59,'1. Staff costs'!B:B,$C$25)+SUMIFS('2-3. Travel Costs&amp;Costs of Stay'!N:N,'2-3. Travel Costs&amp;Costs of Stay'!C:C,B59,'2-3. Travel Costs&amp;Costs of Stay'!B:B,$C$25)+SUMIFS('4. Equipment Costs'!H:H,'4. Equipment Costs'!C:C,B59,'4. Equipment Costs'!B:B,$C$25)+SUMIFS('5. Subcontracting Costs'!H:H,'5. Subcontracting Costs'!C:C,B59,'5. Subcontracting Costs'!B:B,$C$25)</f>
        <v>0</v>
      </c>
      <c r="D59" s="75">
        <f>SUMIFS('1. Staff costs'!W:W,'1. Staff costs'!C:C,B59,'1. Staff costs'!B:B,$D$25)+SUMIFS('2-3. Travel Costs&amp;Costs of Stay'!N:N,'2-3. Travel Costs&amp;Costs of Stay'!C:C,B59,'2-3. Travel Costs&amp;Costs of Stay'!B:B,$D$25)+SUMIFS('4. Equipment Costs'!H:H,'4. Equipment Costs'!C:C,B59,'4. Equipment Costs'!B:B,$D$25)+SUMIFS('5. Subcontracting Costs'!H:H,'5. Subcontracting Costs'!C:C,B59,'5. Subcontracting Costs'!B:B,$D$25)</f>
        <v>0</v>
      </c>
      <c r="E59" s="75">
        <f>SUMIFS('1. Staff costs'!W:W,'1. Staff costs'!C:C,B59,'1. Staff costs'!B:B,$E$25)+SUMIFS('2-3. Travel Costs&amp;Costs of Stay'!N:N,'2-3. Travel Costs&amp;Costs of Stay'!C:C,B59,'2-3. Travel Costs&amp;Costs of Stay'!B:B,$E$25)+SUMIFS('4. Equipment Costs'!H:H,'4. Equipment Costs'!C:C,B59,'4. Equipment Costs'!B:B,$E$25)+SUMIFS('5. Subcontracting Costs'!H:H,'5. Subcontracting Costs'!C:C,B59,'5. Subcontracting Costs'!B:B,$E$25)</f>
        <v>0</v>
      </c>
      <c r="F59" s="75">
        <f>SUMIFS('1. Staff costs'!W:W,'1. Staff costs'!C:C,B59,'1. Staff costs'!B:B,$B$8)+SUMIFS('2-3. Travel Costs&amp;Costs of Stay'!N:N,'2-3. Travel Costs&amp;Costs of Stay'!C:C,B59,'2-3. Travel Costs&amp;Costs of Stay'!B:B,$B$8)+SUMIFS('4. Equipment Costs'!H:H,'4. Equipment Costs'!C:C,B59,'4. Equipment Costs'!B:B,$B$8)+SUMIFS('5. Subcontracting Costs'!H:H,'5. Subcontracting Costs'!C:C,B59,'5. Subcontracting Costs'!B:B,$B$8)</f>
        <v>0</v>
      </c>
      <c r="G59" s="75">
        <f>SUMIFS('1. Staff costs'!W:W,'1. Staff costs'!C:C,B59,'1. Staff costs'!B:B,$G$25)+SUMIFS('2-3. Travel Costs&amp;Costs of Stay'!N:N,'2-3. Travel Costs&amp;Costs of Stay'!C:C,B59,'2-3. Travel Costs&amp;Costs of Stay'!B:B,$G$25)+SUMIFS('4. Equipment Costs'!H:H,'4. Equipment Costs'!C:C,B59,'4. Equipment Costs'!B:B,$G$25)+SUMIFS('5. Subcontracting Costs'!H:H,'5. Subcontracting Costs'!C:C,B59,'5. Subcontracting Costs'!B:B,$G$25)</f>
        <v>0</v>
      </c>
      <c r="H59" s="82">
        <f>SUMIF('B. Special Mob Strand - Student'!B:B,B59,'B. Special Mob Strand - Student'!N:N)+SUMIF('B. Special Mob Strand - Staff'!B:B,B59,'B. Special Mob Strand - Staff'!N:N)</f>
        <v>0</v>
      </c>
      <c r="I59" s="85">
        <f t="shared" si="4"/>
        <v>0</v>
      </c>
    </row>
    <row r="60" spans="2:9" x14ac:dyDescent="0.25">
      <c r="B60" s="35" t="s">
        <v>140</v>
      </c>
      <c r="C60" s="75">
        <f>SUMIFS('1. Staff costs'!W:W,'1. Staff costs'!C:C,B60,'1. Staff costs'!B:B,$C$25)+SUMIFS('2-3. Travel Costs&amp;Costs of Stay'!N:N,'2-3. Travel Costs&amp;Costs of Stay'!C:C,B60,'2-3. Travel Costs&amp;Costs of Stay'!B:B,$C$25)+SUMIFS('4. Equipment Costs'!H:H,'4. Equipment Costs'!C:C,B60,'4. Equipment Costs'!B:B,$C$25)+SUMIFS('5. Subcontracting Costs'!H:H,'5. Subcontracting Costs'!C:C,B60,'5. Subcontracting Costs'!B:B,$C$25)</f>
        <v>0</v>
      </c>
      <c r="D60" s="75">
        <f>SUMIFS('1. Staff costs'!W:W,'1. Staff costs'!C:C,B60,'1. Staff costs'!B:B,$D$25)+SUMIFS('2-3. Travel Costs&amp;Costs of Stay'!N:N,'2-3. Travel Costs&amp;Costs of Stay'!C:C,B60,'2-3. Travel Costs&amp;Costs of Stay'!B:B,$D$25)+SUMIFS('4. Equipment Costs'!H:H,'4. Equipment Costs'!C:C,B60,'4. Equipment Costs'!B:B,$D$25)+SUMIFS('5. Subcontracting Costs'!H:H,'5. Subcontracting Costs'!C:C,B60,'5. Subcontracting Costs'!B:B,$D$25)</f>
        <v>0</v>
      </c>
      <c r="E60" s="75">
        <f>SUMIFS('1. Staff costs'!W:W,'1. Staff costs'!C:C,B60,'1. Staff costs'!B:B,$E$25)+SUMIFS('2-3. Travel Costs&amp;Costs of Stay'!N:N,'2-3. Travel Costs&amp;Costs of Stay'!C:C,B60,'2-3. Travel Costs&amp;Costs of Stay'!B:B,$E$25)+SUMIFS('4. Equipment Costs'!H:H,'4. Equipment Costs'!C:C,B60,'4. Equipment Costs'!B:B,$E$25)+SUMIFS('5. Subcontracting Costs'!H:H,'5. Subcontracting Costs'!C:C,B60,'5. Subcontracting Costs'!B:B,$E$25)</f>
        <v>0</v>
      </c>
      <c r="F60" s="75">
        <f>SUMIFS('1. Staff costs'!W:W,'1. Staff costs'!C:C,B60,'1. Staff costs'!B:B,$B$8)+SUMIFS('2-3. Travel Costs&amp;Costs of Stay'!N:N,'2-3. Travel Costs&amp;Costs of Stay'!C:C,B60,'2-3. Travel Costs&amp;Costs of Stay'!B:B,$B$8)+SUMIFS('4. Equipment Costs'!H:H,'4. Equipment Costs'!C:C,B60,'4. Equipment Costs'!B:B,$B$8)+SUMIFS('5. Subcontracting Costs'!H:H,'5. Subcontracting Costs'!C:C,B60,'5. Subcontracting Costs'!B:B,$B$8)</f>
        <v>0</v>
      </c>
      <c r="G60" s="75">
        <f>SUMIFS('1. Staff costs'!W:W,'1. Staff costs'!C:C,B60,'1. Staff costs'!B:B,$G$25)+SUMIFS('2-3. Travel Costs&amp;Costs of Stay'!N:N,'2-3. Travel Costs&amp;Costs of Stay'!C:C,B60,'2-3. Travel Costs&amp;Costs of Stay'!B:B,$G$25)+SUMIFS('4. Equipment Costs'!H:H,'4. Equipment Costs'!C:C,B60,'4. Equipment Costs'!B:B,$G$25)+SUMIFS('5. Subcontracting Costs'!H:H,'5. Subcontracting Costs'!C:C,B60,'5. Subcontracting Costs'!B:B,$G$25)</f>
        <v>0</v>
      </c>
      <c r="H60" s="82">
        <f>SUMIF('B. Special Mob Strand - Student'!B:B,B60,'B. Special Mob Strand - Student'!N:N)+SUMIF('B. Special Mob Strand - Staff'!B:B,B60,'B. Special Mob Strand - Staff'!N:N)</f>
        <v>0</v>
      </c>
      <c r="I60" s="85">
        <f t="shared" si="4"/>
        <v>0</v>
      </c>
    </row>
    <row r="61" spans="2:9" x14ac:dyDescent="0.25">
      <c r="B61" s="35" t="s">
        <v>141</v>
      </c>
      <c r="C61" s="75">
        <f>SUMIFS('1. Staff costs'!W:W,'1. Staff costs'!C:C,B61,'1. Staff costs'!B:B,$C$25)+SUMIFS('2-3. Travel Costs&amp;Costs of Stay'!N:N,'2-3. Travel Costs&amp;Costs of Stay'!C:C,B61,'2-3. Travel Costs&amp;Costs of Stay'!B:B,$C$25)+SUMIFS('4. Equipment Costs'!H:H,'4. Equipment Costs'!C:C,B61,'4. Equipment Costs'!B:B,$C$25)+SUMIFS('5. Subcontracting Costs'!H:H,'5. Subcontracting Costs'!C:C,B61,'5. Subcontracting Costs'!B:B,$C$25)</f>
        <v>0</v>
      </c>
      <c r="D61" s="75">
        <f>SUMIFS('1. Staff costs'!W:W,'1. Staff costs'!C:C,B61,'1. Staff costs'!B:B,$D$25)+SUMIFS('2-3. Travel Costs&amp;Costs of Stay'!N:N,'2-3. Travel Costs&amp;Costs of Stay'!C:C,B61,'2-3. Travel Costs&amp;Costs of Stay'!B:B,$D$25)+SUMIFS('4. Equipment Costs'!H:H,'4. Equipment Costs'!C:C,B61,'4. Equipment Costs'!B:B,$D$25)+SUMIFS('5. Subcontracting Costs'!H:H,'5. Subcontracting Costs'!C:C,B61,'5. Subcontracting Costs'!B:B,$D$25)</f>
        <v>0</v>
      </c>
      <c r="E61" s="75">
        <f>SUMIFS('1. Staff costs'!W:W,'1. Staff costs'!C:C,B61,'1. Staff costs'!B:B,$E$25)+SUMIFS('2-3. Travel Costs&amp;Costs of Stay'!N:N,'2-3. Travel Costs&amp;Costs of Stay'!C:C,B61,'2-3. Travel Costs&amp;Costs of Stay'!B:B,$E$25)+SUMIFS('4. Equipment Costs'!H:H,'4. Equipment Costs'!C:C,B61,'4. Equipment Costs'!B:B,$E$25)+SUMIFS('5. Subcontracting Costs'!H:H,'5. Subcontracting Costs'!C:C,B61,'5. Subcontracting Costs'!B:B,$E$25)</f>
        <v>0</v>
      </c>
      <c r="F61" s="75">
        <f>SUMIFS('1. Staff costs'!W:W,'1. Staff costs'!C:C,B61,'1. Staff costs'!B:B,$B$8)+SUMIFS('2-3. Travel Costs&amp;Costs of Stay'!N:N,'2-3. Travel Costs&amp;Costs of Stay'!C:C,B61,'2-3. Travel Costs&amp;Costs of Stay'!B:B,$B$8)+SUMIFS('4. Equipment Costs'!H:H,'4. Equipment Costs'!C:C,B61,'4. Equipment Costs'!B:B,$B$8)+SUMIFS('5. Subcontracting Costs'!H:H,'5. Subcontracting Costs'!C:C,B61,'5. Subcontracting Costs'!B:B,$B$8)</f>
        <v>0</v>
      </c>
      <c r="G61" s="75">
        <f>SUMIFS('1. Staff costs'!W:W,'1. Staff costs'!C:C,B61,'1. Staff costs'!B:B,$G$25)+SUMIFS('2-3. Travel Costs&amp;Costs of Stay'!N:N,'2-3. Travel Costs&amp;Costs of Stay'!C:C,B61,'2-3. Travel Costs&amp;Costs of Stay'!B:B,$G$25)+SUMIFS('4. Equipment Costs'!H:H,'4. Equipment Costs'!C:C,B61,'4. Equipment Costs'!B:B,$G$25)+SUMIFS('5. Subcontracting Costs'!H:H,'5. Subcontracting Costs'!C:C,B61,'5. Subcontracting Costs'!B:B,$G$25)</f>
        <v>0</v>
      </c>
      <c r="H61" s="82">
        <f>SUMIF('B. Special Mob Strand - Student'!B:B,B61,'B. Special Mob Strand - Student'!N:N)+SUMIF('B. Special Mob Strand - Staff'!B:B,B61,'B. Special Mob Strand - Staff'!N:N)</f>
        <v>0</v>
      </c>
      <c r="I61" s="85">
        <f t="shared" si="4"/>
        <v>0</v>
      </c>
    </row>
    <row r="62" spans="2:9" x14ac:dyDescent="0.25">
      <c r="B62" s="35" t="s">
        <v>142</v>
      </c>
      <c r="C62" s="75">
        <f>SUMIFS('1. Staff costs'!W:W,'1. Staff costs'!C:C,B62,'1. Staff costs'!B:B,$C$25)+SUMIFS('2-3. Travel Costs&amp;Costs of Stay'!N:N,'2-3. Travel Costs&amp;Costs of Stay'!C:C,B62,'2-3. Travel Costs&amp;Costs of Stay'!B:B,$C$25)+SUMIFS('4. Equipment Costs'!H:H,'4. Equipment Costs'!C:C,B62,'4. Equipment Costs'!B:B,$C$25)+SUMIFS('5. Subcontracting Costs'!H:H,'5. Subcontracting Costs'!C:C,B62,'5. Subcontracting Costs'!B:B,$C$25)</f>
        <v>0</v>
      </c>
      <c r="D62" s="75">
        <f>SUMIFS('1. Staff costs'!W:W,'1. Staff costs'!C:C,B62,'1. Staff costs'!B:B,$D$25)+SUMIFS('2-3. Travel Costs&amp;Costs of Stay'!N:N,'2-3. Travel Costs&amp;Costs of Stay'!C:C,B62,'2-3. Travel Costs&amp;Costs of Stay'!B:B,$D$25)+SUMIFS('4. Equipment Costs'!H:H,'4. Equipment Costs'!C:C,B62,'4. Equipment Costs'!B:B,$D$25)+SUMIFS('5. Subcontracting Costs'!H:H,'5. Subcontracting Costs'!C:C,B62,'5. Subcontracting Costs'!B:B,$D$25)</f>
        <v>0</v>
      </c>
      <c r="E62" s="75">
        <f>SUMIFS('1. Staff costs'!W:W,'1. Staff costs'!C:C,B62,'1. Staff costs'!B:B,$E$25)+SUMIFS('2-3. Travel Costs&amp;Costs of Stay'!N:N,'2-3. Travel Costs&amp;Costs of Stay'!C:C,B62,'2-3. Travel Costs&amp;Costs of Stay'!B:B,$E$25)+SUMIFS('4. Equipment Costs'!H:H,'4. Equipment Costs'!C:C,B62,'4. Equipment Costs'!B:B,$E$25)+SUMIFS('5. Subcontracting Costs'!H:H,'5. Subcontracting Costs'!C:C,B62,'5. Subcontracting Costs'!B:B,$E$25)</f>
        <v>0</v>
      </c>
      <c r="F62" s="75">
        <f>SUMIFS('1. Staff costs'!W:W,'1. Staff costs'!C:C,B62,'1. Staff costs'!B:B,$B$8)+SUMIFS('2-3. Travel Costs&amp;Costs of Stay'!N:N,'2-3. Travel Costs&amp;Costs of Stay'!C:C,B62,'2-3. Travel Costs&amp;Costs of Stay'!B:B,$B$8)+SUMIFS('4. Equipment Costs'!H:H,'4. Equipment Costs'!C:C,B62,'4. Equipment Costs'!B:B,$B$8)+SUMIFS('5. Subcontracting Costs'!H:H,'5. Subcontracting Costs'!C:C,B62,'5. Subcontracting Costs'!B:B,$B$8)</f>
        <v>0</v>
      </c>
      <c r="G62" s="75">
        <f>SUMIFS('1. Staff costs'!W:W,'1. Staff costs'!C:C,B62,'1. Staff costs'!B:B,$G$25)+SUMIFS('2-3. Travel Costs&amp;Costs of Stay'!N:N,'2-3. Travel Costs&amp;Costs of Stay'!C:C,B62,'2-3. Travel Costs&amp;Costs of Stay'!B:B,$G$25)+SUMIFS('4. Equipment Costs'!H:H,'4. Equipment Costs'!C:C,B62,'4. Equipment Costs'!B:B,$G$25)+SUMIFS('5. Subcontracting Costs'!H:H,'5. Subcontracting Costs'!C:C,B62,'5. Subcontracting Costs'!B:B,$G$25)</f>
        <v>0</v>
      </c>
      <c r="H62" s="82">
        <f>SUMIF('B. Special Mob Strand - Student'!B:B,B62,'B. Special Mob Strand - Student'!N:N)+SUMIF('B. Special Mob Strand - Staff'!B:B,B62,'B. Special Mob Strand - Staff'!N:N)</f>
        <v>0</v>
      </c>
      <c r="I62" s="85">
        <f t="shared" si="4"/>
        <v>0</v>
      </c>
    </row>
    <row r="63" spans="2:9" x14ac:dyDescent="0.25">
      <c r="B63" s="35" t="s">
        <v>143</v>
      </c>
      <c r="C63" s="75">
        <f>SUMIFS('1. Staff costs'!W:W,'1. Staff costs'!C:C,B63,'1. Staff costs'!B:B,$C$25)+SUMIFS('2-3. Travel Costs&amp;Costs of Stay'!N:N,'2-3. Travel Costs&amp;Costs of Stay'!C:C,B63,'2-3. Travel Costs&amp;Costs of Stay'!B:B,$C$25)+SUMIFS('4. Equipment Costs'!H:H,'4. Equipment Costs'!C:C,B63,'4. Equipment Costs'!B:B,$C$25)+SUMIFS('5. Subcontracting Costs'!H:H,'5. Subcontracting Costs'!C:C,B63,'5. Subcontracting Costs'!B:B,$C$25)</f>
        <v>0</v>
      </c>
      <c r="D63" s="75">
        <f>SUMIFS('1. Staff costs'!W:W,'1. Staff costs'!C:C,B63,'1. Staff costs'!B:B,$D$25)+SUMIFS('2-3. Travel Costs&amp;Costs of Stay'!N:N,'2-3. Travel Costs&amp;Costs of Stay'!C:C,B63,'2-3. Travel Costs&amp;Costs of Stay'!B:B,$D$25)+SUMIFS('4. Equipment Costs'!H:H,'4. Equipment Costs'!C:C,B63,'4. Equipment Costs'!B:B,$D$25)+SUMIFS('5. Subcontracting Costs'!H:H,'5. Subcontracting Costs'!C:C,B63,'5. Subcontracting Costs'!B:B,$D$25)</f>
        <v>0</v>
      </c>
      <c r="E63" s="75">
        <f>SUMIFS('1. Staff costs'!W:W,'1. Staff costs'!C:C,B63,'1. Staff costs'!B:B,$E$25)+SUMIFS('2-3. Travel Costs&amp;Costs of Stay'!N:N,'2-3. Travel Costs&amp;Costs of Stay'!C:C,B63,'2-3. Travel Costs&amp;Costs of Stay'!B:B,$E$25)+SUMIFS('4. Equipment Costs'!H:H,'4. Equipment Costs'!C:C,B63,'4. Equipment Costs'!B:B,$E$25)+SUMIFS('5. Subcontracting Costs'!H:H,'5. Subcontracting Costs'!C:C,B63,'5. Subcontracting Costs'!B:B,$E$25)</f>
        <v>0</v>
      </c>
      <c r="F63" s="75">
        <f>SUMIFS('1. Staff costs'!W:W,'1. Staff costs'!C:C,B63,'1. Staff costs'!B:B,$B$8)+SUMIFS('2-3. Travel Costs&amp;Costs of Stay'!N:N,'2-3. Travel Costs&amp;Costs of Stay'!C:C,B63,'2-3. Travel Costs&amp;Costs of Stay'!B:B,$B$8)+SUMIFS('4. Equipment Costs'!H:H,'4. Equipment Costs'!C:C,B63,'4. Equipment Costs'!B:B,$B$8)+SUMIFS('5. Subcontracting Costs'!H:H,'5. Subcontracting Costs'!C:C,B63,'5. Subcontracting Costs'!B:B,$B$8)</f>
        <v>0</v>
      </c>
      <c r="G63" s="75">
        <f>SUMIFS('1. Staff costs'!W:W,'1. Staff costs'!C:C,B63,'1. Staff costs'!B:B,$G$25)+SUMIFS('2-3. Travel Costs&amp;Costs of Stay'!N:N,'2-3. Travel Costs&amp;Costs of Stay'!C:C,B63,'2-3. Travel Costs&amp;Costs of Stay'!B:B,$G$25)+SUMIFS('4. Equipment Costs'!H:H,'4. Equipment Costs'!C:C,B63,'4. Equipment Costs'!B:B,$G$25)+SUMIFS('5. Subcontracting Costs'!H:H,'5. Subcontracting Costs'!C:C,B63,'5. Subcontracting Costs'!B:B,$G$25)</f>
        <v>0</v>
      </c>
      <c r="H63" s="82">
        <f>SUMIF('B. Special Mob Strand - Student'!B:B,B63,'B. Special Mob Strand - Student'!N:N)+SUMIF('B. Special Mob Strand - Staff'!B:B,B63,'B. Special Mob Strand - Staff'!N:N)</f>
        <v>0</v>
      </c>
      <c r="I63" s="85">
        <f t="shared" si="4"/>
        <v>0</v>
      </c>
    </row>
    <row r="64" spans="2:9" x14ac:dyDescent="0.25">
      <c r="B64" s="35" t="s">
        <v>144</v>
      </c>
      <c r="C64" s="75">
        <f>SUMIFS('1. Staff costs'!W:W,'1. Staff costs'!C:C,B64,'1. Staff costs'!B:B,$C$25)+SUMIFS('2-3. Travel Costs&amp;Costs of Stay'!N:N,'2-3. Travel Costs&amp;Costs of Stay'!C:C,B64,'2-3. Travel Costs&amp;Costs of Stay'!B:B,$C$25)+SUMIFS('4. Equipment Costs'!H:H,'4. Equipment Costs'!C:C,B64,'4. Equipment Costs'!B:B,$C$25)+SUMIFS('5. Subcontracting Costs'!H:H,'5. Subcontracting Costs'!C:C,B64,'5. Subcontracting Costs'!B:B,$C$25)</f>
        <v>0</v>
      </c>
      <c r="D64" s="75">
        <f>SUMIFS('1. Staff costs'!W:W,'1. Staff costs'!C:C,B64,'1. Staff costs'!B:B,$D$25)+SUMIFS('2-3. Travel Costs&amp;Costs of Stay'!N:N,'2-3. Travel Costs&amp;Costs of Stay'!C:C,B64,'2-3. Travel Costs&amp;Costs of Stay'!B:B,$D$25)+SUMIFS('4. Equipment Costs'!H:H,'4. Equipment Costs'!C:C,B64,'4. Equipment Costs'!B:B,$D$25)+SUMIFS('5. Subcontracting Costs'!H:H,'5. Subcontracting Costs'!C:C,B64,'5. Subcontracting Costs'!B:B,$D$25)</f>
        <v>0</v>
      </c>
      <c r="E64" s="75">
        <f>SUMIFS('1. Staff costs'!W:W,'1. Staff costs'!C:C,B64,'1. Staff costs'!B:B,$E$25)+SUMIFS('2-3. Travel Costs&amp;Costs of Stay'!N:N,'2-3. Travel Costs&amp;Costs of Stay'!C:C,B64,'2-3. Travel Costs&amp;Costs of Stay'!B:B,$E$25)+SUMIFS('4. Equipment Costs'!H:H,'4. Equipment Costs'!C:C,B64,'4. Equipment Costs'!B:B,$E$25)+SUMIFS('5. Subcontracting Costs'!H:H,'5. Subcontracting Costs'!C:C,B64,'5. Subcontracting Costs'!B:B,$E$25)</f>
        <v>0</v>
      </c>
      <c r="F64" s="75">
        <f>SUMIFS('1. Staff costs'!W:W,'1. Staff costs'!C:C,B64,'1. Staff costs'!B:B,$B$8)+SUMIFS('2-3. Travel Costs&amp;Costs of Stay'!N:N,'2-3. Travel Costs&amp;Costs of Stay'!C:C,B64,'2-3. Travel Costs&amp;Costs of Stay'!B:B,$B$8)+SUMIFS('4. Equipment Costs'!H:H,'4. Equipment Costs'!C:C,B64,'4. Equipment Costs'!B:B,$B$8)+SUMIFS('5. Subcontracting Costs'!H:H,'5. Subcontracting Costs'!C:C,B64,'5. Subcontracting Costs'!B:B,$B$8)</f>
        <v>0</v>
      </c>
      <c r="G64" s="75">
        <f>SUMIFS('1. Staff costs'!W:W,'1. Staff costs'!C:C,B64,'1. Staff costs'!B:B,$G$25)+SUMIFS('2-3. Travel Costs&amp;Costs of Stay'!N:N,'2-3. Travel Costs&amp;Costs of Stay'!C:C,B64,'2-3. Travel Costs&amp;Costs of Stay'!B:B,$G$25)+SUMIFS('4. Equipment Costs'!H:H,'4. Equipment Costs'!C:C,B64,'4. Equipment Costs'!B:B,$G$25)+SUMIFS('5. Subcontracting Costs'!H:H,'5. Subcontracting Costs'!C:C,B64,'5. Subcontracting Costs'!B:B,$G$25)</f>
        <v>0</v>
      </c>
      <c r="H64" s="82">
        <f>SUMIF('B. Special Mob Strand - Student'!B:B,B64,'B. Special Mob Strand - Student'!N:N)+SUMIF('B. Special Mob Strand - Staff'!B:B,B64,'B. Special Mob Strand - Staff'!N:N)</f>
        <v>0</v>
      </c>
      <c r="I64" s="85">
        <f t="shared" si="4"/>
        <v>0</v>
      </c>
    </row>
    <row r="65" spans="2:9" x14ac:dyDescent="0.25">
      <c r="B65" s="35" t="s">
        <v>145</v>
      </c>
      <c r="C65" s="75">
        <f>SUMIFS('1. Staff costs'!W:W,'1. Staff costs'!C:C,B65,'1. Staff costs'!B:B,$C$25)+SUMIFS('2-3. Travel Costs&amp;Costs of Stay'!N:N,'2-3. Travel Costs&amp;Costs of Stay'!C:C,B65,'2-3. Travel Costs&amp;Costs of Stay'!B:B,$C$25)+SUMIFS('4. Equipment Costs'!H:H,'4. Equipment Costs'!C:C,B65,'4. Equipment Costs'!B:B,$C$25)+SUMIFS('5. Subcontracting Costs'!H:H,'5. Subcontracting Costs'!C:C,B65,'5. Subcontracting Costs'!B:B,$C$25)</f>
        <v>0</v>
      </c>
      <c r="D65" s="75">
        <f>SUMIFS('1. Staff costs'!W:W,'1. Staff costs'!C:C,B65,'1. Staff costs'!B:B,$D$25)+SUMIFS('2-3. Travel Costs&amp;Costs of Stay'!N:N,'2-3. Travel Costs&amp;Costs of Stay'!C:C,B65,'2-3. Travel Costs&amp;Costs of Stay'!B:B,$D$25)+SUMIFS('4. Equipment Costs'!H:H,'4. Equipment Costs'!C:C,B65,'4. Equipment Costs'!B:B,$D$25)+SUMIFS('5. Subcontracting Costs'!H:H,'5. Subcontracting Costs'!C:C,B65,'5. Subcontracting Costs'!B:B,$D$25)</f>
        <v>0</v>
      </c>
      <c r="E65" s="75">
        <f>SUMIFS('1. Staff costs'!W:W,'1. Staff costs'!C:C,B65,'1. Staff costs'!B:B,$E$25)+SUMIFS('2-3. Travel Costs&amp;Costs of Stay'!N:N,'2-3. Travel Costs&amp;Costs of Stay'!C:C,B65,'2-3. Travel Costs&amp;Costs of Stay'!B:B,$E$25)+SUMIFS('4. Equipment Costs'!H:H,'4. Equipment Costs'!C:C,B65,'4. Equipment Costs'!B:B,$E$25)+SUMIFS('5. Subcontracting Costs'!H:H,'5. Subcontracting Costs'!C:C,B65,'5. Subcontracting Costs'!B:B,$E$25)</f>
        <v>0</v>
      </c>
      <c r="F65" s="75">
        <f>SUMIFS('1. Staff costs'!W:W,'1. Staff costs'!C:C,B65,'1. Staff costs'!B:B,$B$8)+SUMIFS('2-3. Travel Costs&amp;Costs of Stay'!N:N,'2-3. Travel Costs&amp;Costs of Stay'!C:C,B65,'2-3. Travel Costs&amp;Costs of Stay'!B:B,$B$8)+SUMIFS('4. Equipment Costs'!H:H,'4. Equipment Costs'!C:C,B65,'4. Equipment Costs'!B:B,$B$8)+SUMIFS('5. Subcontracting Costs'!H:H,'5. Subcontracting Costs'!C:C,B65,'5. Subcontracting Costs'!B:B,$B$8)</f>
        <v>0</v>
      </c>
      <c r="G65" s="75">
        <f>SUMIFS('1. Staff costs'!W:W,'1. Staff costs'!C:C,B65,'1. Staff costs'!B:B,$G$25)+SUMIFS('2-3. Travel Costs&amp;Costs of Stay'!N:N,'2-3. Travel Costs&amp;Costs of Stay'!C:C,B65,'2-3. Travel Costs&amp;Costs of Stay'!B:B,$G$25)+SUMIFS('4. Equipment Costs'!H:H,'4. Equipment Costs'!C:C,B65,'4. Equipment Costs'!B:B,$G$25)+SUMIFS('5. Subcontracting Costs'!H:H,'5. Subcontracting Costs'!C:C,B65,'5. Subcontracting Costs'!B:B,$G$25)</f>
        <v>0</v>
      </c>
      <c r="H65" s="82">
        <f>SUMIF('B. Special Mob Strand - Student'!B:B,B65,'B. Special Mob Strand - Student'!N:N)+SUMIF('B. Special Mob Strand - Staff'!B:B,B65,'B. Special Mob Strand - Staff'!N:N)</f>
        <v>0</v>
      </c>
      <c r="I65" s="85">
        <f t="shared" si="4"/>
        <v>0</v>
      </c>
    </row>
    <row r="66" spans="2:9" x14ac:dyDescent="0.25">
      <c r="B66" s="35" t="s">
        <v>322</v>
      </c>
      <c r="C66" s="75">
        <f>SUMIFS('1. Staff costs'!W:W,'1. Staff costs'!C:C,B66,'1. Staff costs'!B:B,$C$25)+SUMIFS('2-3. Travel Costs&amp;Costs of Stay'!N:N,'2-3. Travel Costs&amp;Costs of Stay'!C:C,B66,'2-3. Travel Costs&amp;Costs of Stay'!B:B,$C$25)+SUMIFS('4. Equipment Costs'!H:H,'4. Equipment Costs'!C:C,B66,'4. Equipment Costs'!B:B,$C$25)+SUMIFS('5. Subcontracting Costs'!H:H,'5. Subcontracting Costs'!C:C,B66,'5. Subcontracting Costs'!B:B,$C$25)</f>
        <v>0</v>
      </c>
      <c r="D66" s="75">
        <f>SUMIFS('1. Staff costs'!W:W,'1. Staff costs'!C:C,B66,'1. Staff costs'!B:B,$D$25)+SUMIFS('2-3. Travel Costs&amp;Costs of Stay'!N:N,'2-3. Travel Costs&amp;Costs of Stay'!C:C,B66,'2-3. Travel Costs&amp;Costs of Stay'!B:B,$D$25)+SUMIFS('4. Equipment Costs'!H:H,'4. Equipment Costs'!C:C,B66,'4. Equipment Costs'!B:B,$D$25)+SUMIFS('5. Subcontracting Costs'!H:H,'5. Subcontracting Costs'!C:C,B66,'5. Subcontracting Costs'!B:B,$D$25)</f>
        <v>0</v>
      </c>
      <c r="E66" s="75">
        <f>SUMIFS('1. Staff costs'!W:W,'1. Staff costs'!C:C,B66,'1. Staff costs'!B:B,$E$25)+SUMIFS('2-3. Travel Costs&amp;Costs of Stay'!N:N,'2-3. Travel Costs&amp;Costs of Stay'!C:C,B66,'2-3. Travel Costs&amp;Costs of Stay'!B:B,$E$25)+SUMIFS('4. Equipment Costs'!H:H,'4. Equipment Costs'!C:C,B66,'4. Equipment Costs'!B:B,$E$25)+SUMIFS('5. Subcontracting Costs'!H:H,'5. Subcontracting Costs'!C:C,B66,'5. Subcontracting Costs'!B:B,$E$25)</f>
        <v>0</v>
      </c>
      <c r="F66" s="75">
        <f>SUMIFS('1. Staff costs'!W:W,'1. Staff costs'!C:C,B66,'1. Staff costs'!B:B,$B$8)+SUMIFS('2-3. Travel Costs&amp;Costs of Stay'!N:N,'2-3. Travel Costs&amp;Costs of Stay'!C:C,B66,'2-3. Travel Costs&amp;Costs of Stay'!B:B,$B$8)+SUMIFS('4. Equipment Costs'!H:H,'4. Equipment Costs'!C:C,B66,'4. Equipment Costs'!B:B,$B$8)+SUMIFS('5. Subcontracting Costs'!H:H,'5. Subcontracting Costs'!C:C,B66,'5. Subcontracting Costs'!B:B,$B$8)</f>
        <v>0</v>
      </c>
      <c r="G66" s="75">
        <f>SUMIFS('1. Staff costs'!W:W,'1. Staff costs'!C:C,B66,'1. Staff costs'!B:B,$G$25)+SUMIFS('2-3. Travel Costs&amp;Costs of Stay'!N:N,'2-3. Travel Costs&amp;Costs of Stay'!C:C,B66,'2-3. Travel Costs&amp;Costs of Stay'!B:B,$G$25)+SUMIFS('4. Equipment Costs'!H:H,'4. Equipment Costs'!C:C,B66,'4. Equipment Costs'!B:B,$G$25)+SUMIFS('5. Subcontracting Costs'!H:H,'5. Subcontracting Costs'!C:C,B66,'5. Subcontracting Costs'!B:B,$G$25)</f>
        <v>0</v>
      </c>
      <c r="H66" s="82">
        <f>SUMIF('B. Special Mob Strand - Student'!B:B,B66,'B. Special Mob Strand - Student'!N:N)+SUMIF('B. Special Mob Strand - Staff'!B:B,B66,'B. Special Mob Strand - Staff'!N:N)</f>
        <v>0</v>
      </c>
      <c r="I66" s="85">
        <f t="shared" si="4"/>
        <v>0</v>
      </c>
    </row>
    <row r="67" spans="2:9" x14ac:dyDescent="0.25">
      <c r="B67" s="35" t="s">
        <v>323</v>
      </c>
      <c r="C67" s="75">
        <f>SUMIFS('1. Staff costs'!W:W,'1. Staff costs'!C:C,B67,'1. Staff costs'!B:B,$C$25)+SUMIFS('2-3. Travel Costs&amp;Costs of Stay'!N:N,'2-3. Travel Costs&amp;Costs of Stay'!C:C,B67,'2-3. Travel Costs&amp;Costs of Stay'!B:B,$C$25)+SUMIFS('4. Equipment Costs'!H:H,'4. Equipment Costs'!C:C,B67,'4. Equipment Costs'!B:B,$C$25)+SUMIFS('5. Subcontracting Costs'!H:H,'5. Subcontracting Costs'!C:C,B67,'5. Subcontracting Costs'!B:B,$C$25)</f>
        <v>0</v>
      </c>
      <c r="D67" s="75">
        <f>SUMIFS('1. Staff costs'!W:W,'1. Staff costs'!C:C,B67,'1. Staff costs'!B:B,$D$25)+SUMIFS('2-3. Travel Costs&amp;Costs of Stay'!N:N,'2-3. Travel Costs&amp;Costs of Stay'!C:C,B67,'2-3. Travel Costs&amp;Costs of Stay'!B:B,$D$25)+SUMIFS('4. Equipment Costs'!H:H,'4. Equipment Costs'!C:C,B67,'4. Equipment Costs'!B:B,$D$25)+SUMIFS('5. Subcontracting Costs'!H:H,'5. Subcontracting Costs'!C:C,B67,'5. Subcontracting Costs'!B:B,$D$25)</f>
        <v>0</v>
      </c>
      <c r="E67" s="75">
        <f>SUMIFS('1. Staff costs'!W:W,'1. Staff costs'!C:C,B67,'1. Staff costs'!B:B,$E$25)+SUMIFS('2-3. Travel Costs&amp;Costs of Stay'!N:N,'2-3. Travel Costs&amp;Costs of Stay'!C:C,B67,'2-3. Travel Costs&amp;Costs of Stay'!B:B,$E$25)+SUMIFS('4. Equipment Costs'!H:H,'4. Equipment Costs'!C:C,B67,'4. Equipment Costs'!B:B,$E$25)+SUMIFS('5. Subcontracting Costs'!H:H,'5. Subcontracting Costs'!C:C,B67,'5. Subcontracting Costs'!B:B,$E$25)</f>
        <v>0</v>
      </c>
      <c r="F67" s="75">
        <f>SUMIFS('1. Staff costs'!W:W,'1. Staff costs'!C:C,B67,'1. Staff costs'!B:B,$B$8)+SUMIFS('2-3. Travel Costs&amp;Costs of Stay'!N:N,'2-3. Travel Costs&amp;Costs of Stay'!C:C,B67,'2-3. Travel Costs&amp;Costs of Stay'!B:B,$B$8)+SUMIFS('4. Equipment Costs'!H:H,'4. Equipment Costs'!C:C,B67,'4. Equipment Costs'!B:B,$B$8)+SUMIFS('5. Subcontracting Costs'!H:H,'5. Subcontracting Costs'!C:C,B67,'5. Subcontracting Costs'!B:B,$B$8)</f>
        <v>0</v>
      </c>
      <c r="G67" s="75">
        <f>SUMIFS('1. Staff costs'!W:W,'1. Staff costs'!C:C,B67,'1. Staff costs'!B:B,$G$25)+SUMIFS('2-3. Travel Costs&amp;Costs of Stay'!N:N,'2-3. Travel Costs&amp;Costs of Stay'!C:C,B67,'2-3. Travel Costs&amp;Costs of Stay'!B:B,$G$25)+SUMIFS('4. Equipment Costs'!H:H,'4. Equipment Costs'!C:C,B67,'4. Equipment Costs'!B:B,$G$25)+SUMIFS('5. Subcontracting Costs'!H:H,'5. Subcontracting Costs'!C:C,B67,'5. Subcontracting Costs'!B:B,$G$25)</f>
        <v>0</v>
      </c>
      <c r="H67" s="82">
        <f>SUMIF('B. Special Mob Strand - Student'!B:B,B67,'B. Special Mob Strand - Student'!N:N)+SUMIF('B. Special Mob Strand - Staff'!B:B,B67,'B. Special Mob Strand - Staff'!N:N)</f>
        <v>0</v>
      </c>
      <c r="I67" s="85">
        <f t="shared" si="4"/>
        <v>0</v>
      </c>
    </row>
    <row r="68" spans="2:9" x14ac:dyDescent="0.25">
      <c r="B68" s="35" t="s">
        <v>324</v>
      </c>
      <c r="C68" s="75">
        <f>SUMIFS('1. Staff costs'!W:W,'1. Staff costs'!C:C,B68,'1. Staff costs'!B:B,$C$25)+SUMIFS('2-3. Travel Costs&amp;Costs of Stay'!N:N,'2-3. Travel Costs&amp;Costs of Stay'!C:C,B68,'2-3. Travel Costs&amp;Costs of Stay'!B:B,$C$25)+SUMIFS('4. Equipment Costs'!H:H,'4. Equipment Costs'!C:C,B68,'4. Equipment Costs'!B:B,$C$25)+SUMIFS('5. Subcontracting Costs'!H:H,'5. Subcontracting Costs'!C:C,B68,'5. Subcontracting Costs'!B:B,$C$25)</f>
        <v>0</v>
      </c>
      <c r="D68" s="75">
        <f>SUMIFS('1. Staff costs'!W:W,'1. Staff costs'!C:C,B68,'1. Staff costs'!B:B,$D$25)+SUMIFS('2-3. Travel Costs&amp;Costs of Stay'!N:N,'2-3. Travel Costs&amp;Costs of Stay'!C:C,B68,'2-3. Travel Costs&amp;Costs of Stay'!B:B,$D$25)+SUMIFS('4. Equipment Costs'!H:H,'4. Equipment Costs'!C:C,B68,'4. Equipment Costs'!B:B,$D$25)+SUMIFS('5. Subcontracting Costs'!H:H,'5. Subcontracting Costs'!C:C,B68,'5. Subcontracting Costs'!B:B,$D$25)</f>
        <v>0</v>
      </c>
      <c r="E68" s="75">
        <f>SUMIFS('1. Staff costs'!W:W,'1. Staff costs'!C:C,B68,'1. Staff costs'!B:B,$E$25)+SUMIFS('2-3. Travel Costs&amp;Costs of Stay'!N:N,'2-3. Travel Costs&amp;Costs of Stay'!C:C,B68,'2-3. Travel Costs&amp;Costs of Stay'!B:B,$E$25)+SUMIFS('4. Equipment Costs'!H:H,'4. Equipment Costs'!C:C,B68,'4. Equipment Costs'!B:B,$E$25)+SUMIFS('5. Subcontracting Costs'!H:H,'5. Subcontracting Costs'!C:C,B68,'5. Subcontracting Costs'!B:B,$E$25)</f>
        <v>0</v>
      </c>
      <c r="F68" s="75">
        <f>SUMIFS('1. Staff costs'!W:W,'1. Staff costs'!C:C,B68,'1. Staff costs'!B:B,$B$8)+SUMIFS('2-3. Travel Costs&amp;Costs of Stay'!N:N,'2-3. Travel Costs&amp;Costs of Stay'!C:C,B68,'2-3. Travel Costs&amp;Costs of Stay'!B:B,$B$8)+SUMIFS('4. Equipment Costs'!H:H,'4. Equipment Costs'!C:C,B68,'4. Equipment Costs'!B:B,$B$8)+SUMIFS('5. Subcontracting Costs'!H:H,'5. Subcontracting Costs'!C:C,B68,'5. Subcontracting Costs'!B:B,$B$8)</f>
        <v>0</v>
      </c>
      <c r="G68" s="75">
        <f>SUMIFS('1. Staff costs'!W:W,'1. Staff costs'!C:C,B68,'1. Staff costs'!B:B,$G$25)+SUMIFS('2-3. Travel Costs&amp;Costs of Stay'!N:N,'2-3. Travel Costs&amp;Costs of Stay'!C:C,B68,'2-3. Travel Costs&amp;Costs of Stay'!B:B,$G$25)+SUMIFS('4. Equipment Costs'!H:H,'4. Equipment Costs'!C:C,B68,'4. Equipment Costs'!B:B,$G$25)+SUMIFS('5. Subcontracting Costs'!H:H,'5. Subcontracting Costs'!C:C,B68,'5. Subcontracting Costs'!B:B,$G$25)</f>
        <v>0</v>
      </c>
      <c r="H68" s="82">
        <f>SUMIF('B. Special Mob Strand - Student'!B:B,B68,'B. Special Mob Strand - Student'!N:N)+SUMIF('B. Special Mob Strand - Staff'!B:B,B68,'B. Special Mob Strand - Staff'!N:N)</f>
        <v>0</v>
      </c>
      <c r="I68" s="85">
        <f t="shared" si="4"/>
        <v>0</v>
      </c>
    </row>
    <row r="69" spans="2:9" x14ac:dyDescent="0.25">
      <c r="B69" s="35" t="s">
        <v>325</v>
      </c>
      <c r="C69" s="75">
        <f>SUMIFS('1. Staff costs'!W:W,'1. Staff costs'!C:C,B69,'1. Staff costs'!B:B,$C$25)+SUMIFS('2-3. Travel Costs&amp;Costs of Stay'!N:N,'2-3. Travel Costs&amp;Costs of Stay'!C:C,B69,'2-3. Travel Costs&amp;Costs of Stay'!B:B,$C$25)+SUMIFS('4. Equipment Costs'!H:H,'4. Equipment Costs'!C:C,B69,'4. Equipment Costs'!B:B,$C$25)+SUMIFS('5. Subcontracting Costs'!H:H,'5. Subcontracting Costs'!C:C,B69,'5. Subcontracting Costs'!B:B,$C$25)</f>
        <v>0</v>
      </c>
      <c r="D69" s="75">
        <f>SUMIFS('1. Staff costs'!W:W,'1. Staff costs'!C:C,B69,'1. Staff costs'!B:B,$D$25)+SUMIFS('2-3. Travel Costs&amp;Costs of Stay'!N:N,'2-3. Travel Costs&amp;Costs of Stay'!C:C,B69,'2-3. Travel Costs&amp;Costs of Stay'!B:B,$D$25)+SUMIFS('4. Equipment Costs'!H:H,'4. Equipment Costs'!C:C,B69,'4. Equipment Costs'!B:B,$D$25)+SUMIFS('5. Subcontracting Costs'!H:H,'5. Subcontracting Costs'!C:C,B69,'5. Subcontracting Costs'!B:B,$D$25)</f>
        <v>0</v>
      </c>
      <c r="E69" s="75">
        <f>SUMIFS('1. Staff costs'!W:W,'1. Staff costs'!C:C,B69,'1. Staff costs'!B:B,$E$25)+SUMIFS('2-3. Travel Costs&amp;Costs of Stay'!N:N,'2-3. Travel Costs&amp;Costs of Stay'!C:C,B69,'2-3. Travel Costs&amp;Costs of Stay'!B:B,$E$25)+SUMIFS('4. Equipment Costs'!H:H,'4. Equipment Costs'!C:C,B69,'4. Equipment Costs'!B:B,$E$25)+SUMIFS('5. Subcontracting Costs'!H:H,'5. Subcontracting Costs'!C:C,B69,'5. Subcontracting Costs'!B:B,$E$25)</f>
        <v>0</v>
      </c>
      <c r="F69" s="75">
        <f>SUMIFS('1. Staff costs'!W:W,'1. Staff costs'!C:C,B69,'1. Staff costs'!B:B,$B$8)+SUMIFS('2-3. Travel Costs&amp;Costs of Stay'!N:N,'2-3. Travel Costs&amp;Costs of Stay'!C:C,B69,'2-3. Travel Costs&amp;Costs of Stay'!B:B,$B$8)+SUMIFS('4. Equipment Costs'!H:H,'4. Equipment Costs'!C:C,B69,'4. Equipment Costs'!B:B,$B$8)+SUMIFS('5. Subcontracting Costs'!H:H,'5. Subcontracting Costs'!C:C,B69,'5. Subcontracting Costs'!B:B,$B$8)</f>
        <v>0</v>
      </c>
      <c r="G69" s="75">
        <f>SUMIFS('1. Staff costs'!W:W,'1. Staff costs'!C:C,B69,'1. Staff costs'!B:B,$G$25)+SUMIFS('2-3. Travel Costs&amp;Costs of Stay'!N:N,'2-3. Travel Costs&amp;Costs of Stay'!C:C,B69,'2-3. Travel Costs&amp;Costs of Stay'!B:B,$G$25)+SUMIFS('4. Equipment Costs'!H:H,'4. Equipment Costs'!C:C,B69,'4. Equipment Costs'!B:B,$G$25)+SUMIFS('5. Subcontracting Costs'!H:H,'5. Subcontracting Costs'!C:C,B69,'5. Subcontracting Costs'!B:B,$G$25)</f>
        <v>0</v>
      </c>
      <c r="H69" s="82">
        <f>SUMIF('B. Special Mob Strand - Student'!B:B,B69,'B. Special Mob Strand - Student'!N:N)+SUMIF('B. Special Mob Strand - Staff'!B:B,B69,'B. Special Mob Strand - Staff'!N:N)</f>
        <v>0</v>
      </c>
      <c r="I69" s="85">
        <f t="shared" si="4"/>
        <v>0</v>
      </c>
    </row>
    <row r="70" spans="2:9" x14ac:dyDescent="0.25">
      <c r="B70" s="35" t="s">
        <v>326</v>
      </c>
      <c r="C70" s="75">
        <f>SUMIFS('1. Staff costs'!W:W,'1. Staff costs'!C:C,B70,'1. Staff costs'!B:B,$C$25)+SUMIFS('2-3. Travel Costs&amp;Costs of Stay'!N:N,'2-3. Travel Costs&amp;Costs of Stay'!C:C,B70,'2-3. Travel Costs&amp;Costs of Stay'!B:B,$C$25)+SUMIFS('4. Equipment Costs'!H:H,'4. Equipment Costs'!C:C,B70,'4. Equipment Costs'!B:B,$C$25)+SUMIFS('5. Subcontracting Costs'!H:H,'5. Subcontracting Costs'!C:C,B70,'5. Subcontracting Costs'!B:B,$C$25)</f>
        <v>0</v>
      </c>
      <c r="D70" s="75">
        <f>SUMIFS('1. Staff costs'!W:W,'1. Staff costs'!C:C,B70,'1. Staff costs'!B:B,$D$25)+SUMIFS('2-3. Travel Costs&amp;Costs of Stay'!N:N,'2-3. Travel Costs&amp;Costs of Stay'!C:C,B70,'2-3. Travel Costs&amp;Costs of Stay'!B:B,$D$25)+SUMIFS('4. Equipment Costs'!H:H,'4. Equipment Costs'!C:C,B70,'4. Equipment Costs'!B:B,$D$25)+SUMIFS('5. Subcontracting Costs'!H:H,'5. Subcontracting Costs'!C:C,B70,'5. Subcontracting Costs'!B:B,$D$25)</f>
        <v>0</v>
      </c>
      <c r="E70" s="75">
        <f>SUMIFS('1. Staff costs'!W:W,'1. Staff costs'!C:C,B70,'1. Staff costs'!B:B,$E$25)+SUMIFS('2-3. Travel Costs&amp;Costs of Stay'!N:N,'2-3. Travel Costs&amp;Costs of Stay'!C:C,B70,'2-3. Travel Costs&amp;Costs of Stay'!B:B,$E$25)+SUMIFS('4. Equipment Costs'!H:H,'4. Equipment Costs'!C:C,B70,'4. Equipment Costs'!B:B,$E$25)+SUMIFS('5. Subcontracting Costs'!H:H,'5. Subcontracting Costs'!C:C,B70,'5. Subcontracting Costs'!B:B,$E$25)</f>
        <v>0</v>
      </c>
      <c r="F70" s="75">
        <f>SUMIFS('1. Staff costs'!W:W,'1. Staff costs'!C:C,B70,'1. Staff costs'!B:B,$B$8)+SUMIFS('2-3. Travel Costs&amp;Costs of Stay'!N:N,'2-3. Travel Costs&amp;Costs of Stay'!C:C,B70,'2-3. Travel Costs&amp;Costs of Stay'!B:B,$B$8)+SUMIFS('4. Equipment Costs'!H:H,'4. Equipment Costs'!C:C,B70,'4. Equipment Costs'!B:B,$B$8)+SUMIFS('5. Subcontracting Costs'!H:H,'5. Subcontracting Costs'!C:C,B70,'5. Subcontracting Costs'!B:B,$B$8)</f>
        <v>0</v>
      </c>
      <c r="G70" s="75">
        <f>SUMIFS('1. Staff costs'!W:W,'1. Staff costs'!C:C,B70,'1. Staff costs'!B:B,$G$25)+SUMIFS('2-3. Travel Costs&amp;Costs of Stay'!N:N,'2-3. Travel Costs&amp;Costs of Stay'!C:C,B70,'2-3. Travel Costs&amp;Costs of Stay'!B:B,$G$25)+SUMIFS('4. Equipment Costs'!H:H,'4. Equipment Costs'!C:C,B70,'4. Equipment Costs'!B:B,$G$25)+SUMIFS('5. Subcontracting Costs'!H:H,'5. Subcontracting Costs'!C:C,B70,'5. Subcontracting Costs'!B:B,$G$25)</f>
        <v>0</v>
      </c>
      <c r="H70" s="82">
        <f>SUMIF('B. Special Mob Strand - Student'!B:B,B70,'B. Special Mob Strand - Student'!N:N)+SUMIF('B. Special Mob Strand - Staff'!B:B,B70,'B. Special Mob Strand - Staff'!N:N)</f>
        <v>0</v>
      </c>
      <c r="I70" s="85">
        <f t="shared" si="4"/>
        <v>0</v>
      </c>
    </row>
    <row r="71" spans="2:9" x14ac:dyDescent="0.25">
      <c r="B71" s="35" t="s">
        <v>327</v>
      </c>
      <c r="C71" s="75">
        <f>SUMIFS('1. Staff costs'!W:W,'1. Staff costs'!C:C,B71,'1. Staff costs'!B:B,$C$25)+SUMIFS('2-3. Travel Costs&amp;Costs of Stay'!N:N,'2-3. Travel Costs&amp;Costs of Stay'!C:C,B71,'2-3. Travel Costs&amp;Costs of Stay'!B:B,$C$25)+SUMIFS('4. Equipment Costs'!H:H,'4. Equipment Costs'!C:C,B71,'4. Equipment Costs'!B:B,$C$25)+SUMIFS('5. Subcontracting Costs'!H:H,'5. Subcontracting Costs'!C:C,B71,'5. Subcontracting Costs'!B:B,$C$25)</f>
        <v>0</v>
      </c>
      <c r="D71" s="75">
        <f>SUMIFS('1. Staff costs'!W:W,'1. Staff costs'!C:C,B71,'1. Staff costs'!B:B,$D$25)+SUMIFS('2-3. Travel Costs&amp;Costs of Stay'!N:N,'2-3. Travel Costs&amp;Costs of Stay'!C:C,B71,'2-3. Travel Costs&amp;Costs of Stay'!B:B,$D$25)+SUMIFS('4. Equipment Costs'!H:H,'4. Equipment Costs'!C:C,B71,'4. Equipment Costs'!B:B,$D$25)+SUMIFS('5. Subcontracting Costs'!H:H,'5. Subcontracting Costs'!C:C,B71,'5. Subcontracting Costs'!B:B,$D$25)</f>
        <v>0</v>
      </c>
      <c r="E71" s="75">
        <f>SUMIFS('1. Staff costs'!W:W,'1. Staff costs'!C:C,B71,'1. Staff costs'!B:B,$E$25)+SUMIFS('2-3. Travel Costs&amp;Costs of Stay'!N:N,'2-3. Travel Costs&amp;Costs of Stay'!C:C,B71,'2-3. Travel Costs&amp;Costs of Stay'!B:B,$E$25)+SUMIFS('4. Equipment Costs'!H:H,'4. Equipment Costs'!C:C,B71,'4. Equipment Costs'!B:B,$E$25)+SUMIFS('5. Subcontracting Costs'!H:H,'5. Subcontracting Costs'!C:C,B71,'5. Subcontracting Costs'!B:B,$E$25)</f>
        <v>0</v>
      </c>
      <c r="F71" s="75">
        <f>SUMIFS('1. Staff costs'!W:W,'1. Staff costs'!C:C,B71,'1. Staff costs'!B:B,$B$8)+SUMIFS('2-3. Travel Costs&amp;Costs of Stay'!N:N,'2-3. Travel Costs&amp;Costs of Stay'!C:C,B71,'2-3. Travel Costs&amp;Costs of Stay'!B:B,$B$8)+SUMIFS('4. Equipment Costs'!H:H,'4. Equipment Costs'!C:C,B71,'4. Equipment Costs'!B:B,$B$8)+SUMIFS('5. Subcontracting Costs'!H:H,'5. Subcontracting Costs'!C:C,B71,'5. Subcontracting Costs'!B:B,$B$8)</f>
        <v>0</v>
      </c>
      <c r="G71" s="75">
        <f>SUMIFS('1. Staff costs'!W:W,'1. Staff costs'!C:C,B71,'1. Staff costs'!B:B,$G$25)+SUMIFS('2-3. Travel Costs&amp;Costs of Stay'!N:N,'2-3. Travel Costs&amp;Costs of Stay'!C:C,B71,'2-3. Travel Costs&amp;Costs of Stay'!B:B,$G$25)+SUMIFS('4. Equipment Costs'!H:H,'4. Equipment Costs'!C:C,B71,'4. Equipment Costs'!B:B,$G$25)+SUMIFS('5. Subcontracting Costs'!H:H,'5. Subcontracting Costs'!C:C,B71,'5. Subcontracting Costs'!B:B,$G$25)</f>
        <v>0</v>
      </c>
      <c r="H71" s="82">
        <f>SUMIF('B. Special Mob Strand - Student'!B:B,B71,'B. Special Mob Strand - Student'!N:N)+SUMIF('B. Special Mob Strand - Staff'!B:B,B71,'B. Special Mob Strand - Staff'!N:N)</f>
        <v>0</v>
      </c>
      <c r="I71" s="85">
        <f t="shared" si="4"/>
        <v>0</v>
      </c>
    </row>
    <row r="72" spans="2:9" x14ac:dyDescent="0.25">
      <c r="B72" s="35" t="s">
        <v>328</v>
      </c>
      <c r="C72" s="75">
        <f>SUMIFS('1. Staff costs'!W:W,'1. Staff costs'!C:C,B72,'1. Staff costs'!B:B,$C$25)+SUMIFS('2-3. Travel Costs&amp;Costs of Stay'!N:N,'2-3. Travel Costs&amp;Costs of Stay'!C:C,B72,'2-3. Travel Costs&amp;Costs of Stay'!B:B,$C$25)+SUMIFS('4. Equipment Costs'!H:H,'4. Equipment Costs'!C:C,B72,'4. Equipment Costs'!B:B,$C$25)+SUMIFS('5. Subcontracting Costs'!H:H,'5. Subcontracting Costs'!C:C,B72,'5. Subcontracting Costs'!B:B,$C$25)</f>
        <v>0</v>
      </c>
      <c r="D72" s="75">
        <f>SUMIFS('1. Staff costs'!W:W,'1. Staff costs'!C:C,B72,'1. Staff costs'!B:B,$D$25)+SUMIFS('2-3. Travel Costs&amp;Costs of Stay'!N:N,'2-3. Travel Costs&amp;Costs of Stay'!C:C,B72,'2-3. Travel Costs&amp;Costs of Stay'!B:B,$D$25)+SUMIFS('4. Equipment Costs'!H:H,'4. Equipment Costs'!C:C,B72,'4. Equipment Costs'!B:B,$D$25)+SUMIFS('5. Subcontracting Costs'!H:H,'5. Subcontracting Costs'!C:C,B72,'5. Subcontracting Costs'!B:B,$D$25)</f>
        <v>0</v>
      </c>
      <c r="E72" s="75">
        <f>SUMIFS('1. Staff costs'!W:W,'1. Staff costs'!C:C,B72,'1. Staff costs'!B:B,$E$25)+SUMIFS('2-3. Travel Costs&amp;Costs of Stay'!N:N,'2-3. Travel Costs&amp;Costs of Stay'!C:C,B72,'2-3. Travel Costs&amp;Costs of Stay'!B:B,$E$25)+SUMIFS('4. Equipment Costs'!H:H,'4. Equipment Costs'!C:C,B72,'4. Equipment Costs'!B:B,$E$25)+SUMIFS('5. Subcontracting Costs'!H:H,'5. Subcontracting Costs'!C:C,B72,'5. Subcontracting Costs'!B:B,$E$25)</f>
        <v>0</v>
      </c>
      <c r="F72" s="75">
        <f>SUMIFS('1. Staff costs'!W:W,'1. Staff costs'!C:C,B72,'1. Staff costs'!B:B,$B$8)+SUMIFS('2-3. Travel Costs&amp;Costs of Stay'!N:N,'2-3. Travel Costs&amp;Costs of Stay'!C:C,B72,'2-3. Travel Costs&amp;Costs of Stay'!B:B,$B$8)+SUMIFS('4. Equipment Costs'!H:H,'4. Equipment Costs'!C:C,B72,'4. Equipment Costs'!B:B,$B$8)+SUMIFS('5. Subcontracting Costs'!H:H,'5. Subcontracting Costs'!C:C,B72,'5. Subcontracting Costs'!B:B,$B$8)</f>
        <v>0</v>
      </c>
      <c r="G72" s="75">
        <f>SUMIFS('1. Staff costs'!W:W,'1. Staff costs'!C:C,B72,'1. Staff costs'!B:B,$G$25)+SUMIFS('2-3. Travel Costs&amp;Costs of Stay'!N:N,'2-3. Travel Costs&amp;Costs of Stay'!C:C,B72,'2-3. Travel Costs&amp;Costs of Stay'!B:B,$G$25)+SUMIFS('4. Equipment Costs'!H:H,'4. Equipment Costs'!C:C,B72,'4. Equipment Costs'!B:B,$G$25)+SUMIFS('5. Subcontracting Costs'!H:H,'5. Subcontracting Costs'!C:C,B72,'5. Subcontracting Costs'!B:B,$G$25)</f>
        <v>0</v>
      </c>
      <c r="H72" s="82">
        <f>SUMIF('B. Special Mob Strand - Student'!B:B,B72,'B. Special Mob Strand - Student'!N:N)+SUMIF('B. Special Mob Strand - Staff'!B:B,B72,'B. Special Mob Strand - Staff'!N:N)</f>
        <v>0</v>
      </c>
      <c r="I72" s="85">
        <f t="shared" si="4"/>
        <v>0</v>
      </c>
    </row>
    <row r="73" spans="2:9" x14ac:dyDescent="0.25">
      <c r="B73" s="35" t="s">
        <v>329</v>
      </c>
      <c r="C73" s="75">
        <f>SUMIFS('1. Staff costs'!W:W,'1. Staff costs'!C:C,B73,'1. Staff costs'!B:B,$C$25)+SUMIFS('2-3. Travel Costs&amp;Costs of Stay'!N:N,'2-3. Travel Costs&amp;Costs of Stay'!C:C,B73,'2-3. Travel Costs&amp;Costs of Stay'!B:B,$C$25)+SUMIFS('4. Equipment Costs'!H:H,'4. Equipment Costs'!C:C,B73,'4. Equipment Costs'!B:B,$C$25)+SUMIFS('5. Subcontracting Costs'!H:H,'5. Subcontracting Costs'!C:C,B73,'5. Subcontracting Costs'!B:B,$C$25)</f>
        <v>0</v>
      </c>
      <c r="D73" s="75">
        <f>SUMIFS('1. Staff costs'!W:W,'1. Staff costs'!C:C,B73,'1. Staff costs'!B:B,$D$25)+SUMIFS('2-3. Travel Costs&amp;Costs of Stay'!N:N,'2-3. Travel Costs&amp;Costs of Stay'!C:C,B73,'2-3. Travel Costs&amp;Costs of Stay'!B:B,$D$25)+SUMIFS('4. Equipment Costs'!H:H,'4. Equipment Costs'!C:C,B73,'4. Equipment Costs'!B:B,$D$25)+SUMIFS('5. Subcontracting Costs'!H:H,'5. Subcontracting Costs'!C:C,B73,'5. Subcontracting Costs'!B:B,$D$25)</f>
        <v>0</v>
      </c>
      <c r="E73" s="75">
        <f>SUMIFS('1. Staff costs'!W:W,'1. Staff costs'!C:C,B73,'1. Staff costs'!B:B,$E$25)+SUMIFS('2-3. Travel Costs&amp;Costs of Stay'!N:N,'2-3. Travel Costs&amp;Costs of Stay'!C:C,B73,'2-3. Travel Costs&amp;Costs of Stay'!B:B,$E$25)+SUMIFS('4. Equipment Costs'!H:H,'4. Equipment Costs'!C:C,B73,'4. Equipment Costs'!B:B,$E$25)+SUMIFS('5. Subcontracting Costs'!H:H,'5. Subcontracting Costs'!C:C,B73,'5. Subcontracting Costs'!B:B,$E$25)</f>
        <v>0</v>
      </c>
      <c r="F73" s="75">
        <f>SUMIFS('1. Staff costs'!W:W,'1. Staff costs'!C:C,B73,'1. Staff costs'!B:B,$B$8)+SUMIFS('2-3. Travel Costs&amp;Costs of Stay'!N:N,'2-3. Travel Costs&amp;Costs of Stay'!C:C,B73,'2-3. Travel Costs&amp;Costs of Stay'!B:B,$B$8)+SUMIFS('4. Equipment Costs'!H:H,'4. Equipment Costs'!C:C,B73,'4. Equipment Costs'!B:B,$B$8)+SUMIFS('5. Subcontracting Costs'!H:H,'5. Subcontracting Costs'!C:C,B73,'5. Subcontracting Costs'!B:B,$B$8)</f>
        <v>0</v>
      </c>
      <c r="G73" s="75">
        <f>SUMIFS('1. Staff costs'!W:W,'1. Staff costs'!C:C,B73,'1. Staff costs'!B:B,$G$25)+SUMIFS('2-3. Travel Costs&amp;Costs of Stay'!N:N,'2-3. Travel Costs&amp;Costs of Stay'!C:C,B73,'2-3. Travel Costs&amp;Costs of Stay'!B:B,$G$25)+SUMIFS('4. Equipment Costs'!H:H,'4. Equipment Costs'!C:C,B73,'4. Equipment Costs'!B:B,$G$25)+SUMIFS('5. Subcontracting Costs'!H:H,'5. Subcontracting Costs'!C:C,B73,'5. Subcontracting Costs'!B:B,$G$25)</f>
        <v>0</v>
      </c>
      <c r="H73" s="82">
        <f>SUMIF('B. Special Mob Strand - Student'!B:B,B73,'B. Special Mob Strand - Student'!N:N)+SUMIF('B. Special Mob Strand - Staff'!B:B,B73,'B. Special Mob Strand - Staff'!N:N)</f>
        <v>0</v>
      </c>
      <c r="I73" s="85">
        <f t="shared" si="4"/>
        <v>0</v>
      </c>
    </row>
    <row r="74" spans="2:9" x14ac:dyDescent="0.25">
      <c r="B74" s="35" t="s">
        <v>330</v>
      </c>
      <c r="C74" s="75">
        <f>SUMIFS('1. Staff costs'!W:W,'1. Staff costs'!C:C,B74,'1. Staff costs'!B:B,$C$25)+SUMIFS('2-3. Travel Costs&amp;Costs of Stay'!N:N,'2-3. Travel Costs&amp;Costs of Stay'!C:C,B74,'2-3. Travel Costs&amp;Costs of Stay'!B:B,$C$25)+SUMIFS('4. Equipment Costs'!H:H,'4. Equipment Costs'!C:C,B74,'4. Equipment Costs'!B:B,$C$25)+SUMIFS('5. Subcontracting Costs'!H:H,'5. Subcontracting Costs'!C:C,B74,'5. Subcontracting Costs'!B:B,$C$25)</f>
        <v>0</v>
      </c>
      <c r="D74" s="75">
        <f>SUMIFS('1. Staff costs'!W:W,'1. Staff costs'!C:C,B74,'1. Staff costs'!B:B,$D$25)+SUMIFS('2-3. Travel Costs&amp;Costs of Stay'!N:N,'2-3. Travel Costs&amp;Costs of Stay'!C:C,B74,'2-3. Travel Costs&amp;Costs of Stay'!B:B,$D$25)+SUMIFS('4. Equipment Costs'!H:H,'4. Equipment Costs'!C:C,B74,'4. Equipment Costs'!B:B,$D$25)+SUMIFS('5. Subcontracting Costs'!H:H,'5. Subcontracting Costs'!C:C,B74,'5. Subcontracting Costs'!B:B,$D$25)</f>
        <v>0</v>
      </c>
      <c r="E74" s="75">
        <f>SUMIFS('1. Staff costs'!W:W,'1. Staff costs'!C:C,B74,'1. Staff costs'!B:B,$E$25)+SUMIFS('2-3. Travel Costs&amp;Costs of Stay'!N:N,'2-3. Travel Costs&amp;Costs of Stay'!C:C,B74,'2-3. Travel Costs&amp;Costs of Stay'!B:B,$E$25)+SUMIFS('4. Equipment Costs'!H:H,'4. Equipment Costs'!C:C,B74,'4. Equipment Costs'!B:B,$E$25)+SUMIFS('5. Subcontracting Costs'!H:H,'5. Subcontracting Costs'!C:C,B74,'5. Subcontracting Costs'!B:B,$E$25)</f>
        <v>0</v>
      </c>
      <c r="F74" s="75">
        <f>SUMIFS('1. Staff costs'!W:W,'1. Staff costs'!C:C,B74,'1. Staff costs'!B:B,$B$8)+SUMIFS('2-3. Travel Costs&amp;Costs of Stay'!N:N,'2-3. Travel Costs&amp;Costs of Stay'!C:C,B74,'2-3. Travel Costs&amp;Costs of Stay'!B:B,$B$8)+SUMIFS('4. Equipment Costs'!H:H,'4. Equipment Costs'!C:C,B74,'4. Equipment Costs'!B:B,$B$8)+SUMIFS('5. Subcontracting Costs'!H:H,'5. Subcontracting Costs'!C:C,B74,'5. Subcontracting Costs'!B:B,$B$8)</f>
        <v>0</v>
      </c>
      <c r="G74" s="75">
        <f>SUMIFS('1. Staff costs'!W:W,'1. Staff costs'!C:C,B74,'1. Staff costs'!B:B,$G$25)+SUMIFS('2-3. Travel Costs&amp;Costs of Stay'!N:N,'2-3. Travel Costs&amp;Costs of Stay'!C:C,B74,'2-3. Travel Costs&amp;Costs of Stay'!B:B,$G$25)+SUMIFS('4. Equipment Costs'!H:H,'4. Equipment Costs'!C:C,B74,'4. Equipment Costs'!B:B,$G$25)+SUMIFS('5. Subcontracting Costs'!H:H,'5. Subcontracting Costs'!C:C,B74,'5. Subcontracting Costs'!B:B,$G$25)</f>
        <v>0</v>
      </c>
      <c r="H74" s="82">
        <f>SUMIF('B. Special Mob Strand - Student'!B:B,B74,'B. Special Mob Strand - Student'!N:N)+SUMIF('B. Special Mob Strand - Staff'!B:B,B74,'B. Special Mob Strand - Staff'!N:N)</f>
        <v>0</v>
      </c>
      <c r="I74" s="85">
        <f t="shared" si="4"/>
        <v>0</v>
      </c>
    </row>
    <row r="75" spans="2:9" x14ac:dyDescent="0.25">
      <c r="B75" s="35" t="s">
        <v>331</v>
      </c>
      <c r="C75" s="75">
        <f>SUMIFS('1. Staff costs'!W:W,'1. Staff costs'!C:C,B75,'1. Staff costs'!B:B,$C$25)+SUMIFS('2-3. Travel Costs&amp;Costs of Stay'!N:N,'2-3. Travel Costs&amp;Costs of Stay'!C:C,B75,'2-3. Travel Costs&amp;Costs of Stay'!B:B,$C$25)+SUMIFS('4. Equipment Costs'!H:H,'4. Equipment Costs'!C:C,B75,'4. Equipment Costs'!B:B,$C$25)+SUMIFS('5. Subcontracting Costs'!H:H,'5. Subcontracting Costs'!C:C,B75,'5. Subcontracting Costs'!B:B,$C$25)</f>
        <v>0</v>
      </c>
      <c r="D75" s="75">
        <f>SUMIFS('1. Staff costs'!W:W,'1. Staff costs'!C:C,B75,'1. Staff costs'!B:B,$D$25)+SUMIFS('2-3. Travel Costs&amp;Costs of Stay'!N:N,'2-3. Travel Costs&amp;Costs of Stay'!C:C,B75,'2-3. Travel Costs&amp;Costs of Stay'!B:B,$D$25)+SUMIFS('4. Equipment Costs'!H:H,'4. Equipment Costs'!C:C,B75,'4. Equipment Costs'!B:B,$D$25)+SUMIFS('5. Subcontracting Costs'!H:H,'5. Subcontracting Costs'!C:C,B75,'5. Subcontracting Costs'!B:B,$D$25)</f>
        <v>0</v>
      </c>
      <c r="E75" s="75">
        <f>SUMIFS('1. Staff costs'!W:W,'1. Staff costs'!C:C,B75,'1. Staff costs'!B:B,$E$25)+SUMIFS('2-3. Travel Costs&amp;Costs of Stay'!N:N,'2-3. Travel Costs&amp;Costs of Stay'!C:C,B75,'2-3. Travel Costs&amp;Costs of Stay'!B:B,$E$25)+SUMIFS('4. Equipment Costs'!H:H,'4. Equipment Costs'!C:C,B75,'4. Equipment Costs'!B:B,$E$25)+SUMIFS('5. Subcontracting Costs'!H:H,'5. Subcontracting Costs'!C:C,B75,'5. Subcontracting Costs'!B:B,$E$25)</f>
        <v>0</v>
      </c>
      <c r="F75" s="75">
        <f>SUMIFS('1. Staff costs'!W:W,'1. Staff costs'!C:C,B75,'1. Staff costs'!B:B,$B$8)+SUMIFS('2-3. Travel Costs&amp;Costs of Stay'!N:N,'2-3. Travel Costs&amp;Costs of Stay'!C:C,B75,'2-3. Travel Costs&amp;Costs of Stay'!B:B,$B$8)+SUMIFS('4. Equipment Costs'!H:H,'4. Equipment Costs'!C:C,B75,'4. Equipment Costs'!B:B,$B$8)+SUMIFS('5. Subcontracting Costs'!H:H,'5. Subcontracting Costs'!C:C,B75,'5. Subcontracting Costs'!B:B,$B$8)</f>
        <v>0</v>
      </c>
      <c r="G75" s="75">
        <f>SUMIFS('1. Staff costs'!W:W,'1. Staff costs'!C:C,B75,'1. Staff costs'!B:B,$G$25)+SUMIFS('2-3. Travel Costs&amp;Costs of Stay'!N:N,'2-3. Travel Costs&amp;Costs of Stay'!C:C,B75,'2-3. Travel Costs&amp;Costs of Stay'!B:B,$G$25)+SUMIFS('4. Equipment Costs'!H:H,'4. Equipment Costs'!C:C,B75,'4. Equipment Costs'!B:B,$G$25)+SUMIFS('5. Subcontracting Costs'!H:H,'5. Subcontracting Costs'!C:C,B75,'5. Subcontracting Costs'!B:B,$G$25)</f>
        <v>0</v>
      </c>
      <c r="H75" s="82">
        <f>SUMIF('B. Special Mob Strand - Student'!B:B,B75,'B. Special Mob Strand - Student'!N:N)+SUMIF('B. Special Mob Strand - Staff'!B:B,B75,'B. Special Mob Strand - Staff'!N:N)</f>
        <v>0</v>
      </c>
      <c r="I75" s="85">
        <f t="shared" si="4"/>
        <v>0</v>
      </c>
    </row>
    <row r="76" spans="2:9" x14ac:dyDescent="0.25">
      <c r="B76" s="35" t="s">
        <v>348</v>
      </c>
      <c r="C76" s="75">
        <f>SUMIFS('1. Staff costs'!W:W,'1. Staff costs'!C:C,B76,'1. Staff costs'!B:B,$C$25)+SUMIFS('2-3. Travel Costs&amp;Costs of Stay'!N:N,'2-3. Travel Costs&amp;Costs of Stay'!C:C,B76,'2-3. Travel Costs&amp;Costs of Stay'!B:B,$C$25)+SUMIFS('4. Equipment Costs'!H:H,'4. Equipment Costs'!C:C,B76,'4. Equipment Costs'!B:B,$C$25)+SUMIFS('5. Subcontracting Costs'!H:H,'5. Subcontracting Costs'!C:C,B76,'5. Subcontracting Costs'!B:B,$C$25)</f>
        <v>0</v>
      </c>
      <c r="D76" s="75">
        <f>SUMIFS('1. Staff costs'!W:W,'1. Staff costs'!C:C,B76,'1. Staff costs'!B:B,$D$25)+SUMIFS('2-3. Travel Costs&amp;Costs of Stay'!N:N,'2-3. Travel Costs&amp;Costs of Stay'!C:C,B76,'2-3. Travel Costs&amp;Costs of Stay'!B:B,$D$25)+SUMIFS('4. Equipment Costs'!H:H,'4. Equipment Costs'!C:C,B76,'4. Equipment Costs'!B:B,$D$25)+SUMIFS('5. Subcontracting Costs'!H:H,'5. Subcontracting Costs'!C:C,B76,'5. Subcontracting Costs'!B:B,$D$25)</f>
        <v>0</v>
      </c>
      <c r="E76" s="75">
        <f>SUMIFS('1. Staff costs'!W:W,'1. Staff costs'!C:C,B76,'1. Staff costs'!B:B,$E$25)+SUMIFS('2-3. Travel Costs&amp;Costs of Stay'!N:N,'2-3. Travel Costs&amp;Costs of Stay'!C:C,B76,'2-3. Travel Costs&amp;Costs of Stay'!B:B,$E$25)+SUMIFS('4. Equipment Costs'!H:H,'4. Equipment Costs'!C:C,B76,'4. Equipment Costs'!B:B,$E$25)+SUMIFS('5. Subcontracting Costs'!H:H,'5. Subcontracting Costs'!C:C,B76,'5. Subcontracting Costs'!B:B,$E$25)</f>
        <v>0</v>
      </c>
      <c r="F76" s="75">
        <f>SUMIFS('1. Staff costs'!W:W,'1. Staff costs'!C:C,B76,'1. Staff costs'!B:B,$B$8)+SUMIFS('2-3. Travel Costs&amp;Costs of Stay'!N:N,'2-3. Travel Costs&amp;Costs of Stay'!C:C,B76,'2-3. Travel Costs&amp;Costs of Stay'!B:B,$B$8)+SUMIFS('4. Equipment Costs'!H:H,'4. Equipment Costs'!C:C,B76,'4. Equipment Costs'!B:B,$B$8)+SUMIFS('5. Subcontracting Costs'!H:H,'5. Subcontracting Costs'!C:C,B76,'5. Subcontracting Costs'!B:B,$B$8)</f>
        <v>0</v>
      </c>
      <c r="G76" s="75">
        <f>SUMIFS('1. Staff costs'!W:W,'1. Staff costs'!C:C,B76,'1. Staff costs'!B:B,$G$25)+SUMIFS('2-3. Travel Costs&amp;Costs of Stay'!N:N,'2-3. Travel Costs&amp;Costs of Stay'!C:C,B76,'2-3. Travel Costs&amp;Costs of Stay'!B:B,$G$25)+SUMIFS('4. Equipment Costs'!H:H,'4. Equipment Costs'!C:C,B76,'4. Equipment Costs'!B:B,$G$25)+SUMIFS('5. Subcontracting Costs'!H:H,'5. Subcontracting Costs'!C:C,B76,'5. Subcontracting Costs'!B:B,$G$25)</f>
        <v>0</v>
      </c>
      <c r="H76" s="82">
        <f>SUMIF('B. Special Mob Strand - Student'!B:B,B76,'B. Special Mob Strand - Student'!N:N)+SUMIF('B. Special Mob Strand - Staff'!B:B,B76,'B. Special Mob Strand - Staff'!N:N)</f>
        <v>0</v>
      </c>
      <c r="I76" s="85">
        <f t="shared" si="4"/>
        <v>0</v>
      </c>
    </row>
    <row r="77" spans="2:9" x14ac:dyDescent="0.25">
      <c r="B77" s="35" t="s">
        <v>349</v>
      </c>
      <c r="C77" s="75">
        <f>SUMIFS('1. Staff costs'!W:W,'1. Staff costs'!C:C,B77,'1. Staff costs'!B:B,$C$25)+SUMIFS('2-3. Travel Costs&amp;Costs of Stay'!N:N,'2-3. Travel Costs&amp;Costs of Stay'!C:C,B77,'2-3. Travel Costs&amp;Costs of Stay'!B:B,$C$25)+SUMIFS('4. Equipment Costs'!H:H,'4. Equipment Costs'!C:C,B77,'4. Equipment Costs'!B:B,$C$25)+SUMIFS('5. Subcontracting Costs'!H:H,'5. Subcontracting Costs'!C:C,B77,'5. Subcontracting Costs'!B:B,$C$25)</f>
        <v>0</v>
      </c>
      <c r="D77" s="75">
        <f>SUMIFS('1. Staff costs'!W:W,'1. Staff costs'!C:C,B77,'1. Staff costs'!B:B,$D$25)+SUMIFS('2-3. Travel Costs&amp;Costs of Stay'!N:N,'2-3. Travel Costs&amp;Costs of Stay'!C:C,B77,'2-3. Travel Costs&amp;Costs of Stay'!B:B,$D$25)+SUMIFS('4. Equipment Costs'!H:H,'4. Equipment Costs'!C:C,B77,'4. Equipment Costs'!B:B,$D$25)+SUMIFS('5. Subcontracting Costs'!H:H,'5. Subcontracting Costs'!C:C,B77,'5. Subcontracting Costs'!B:B,$D$25)</f>
        <v>0</v>
      </c>
      <c r="E77" s="75">
        <f>SUMIFS('1. Staff costs'!W:W,'1. Staff costs'!C:C,B77,'1. Staff costs'!B:B,$E$25)+SUMIFS('2-3. Travel Costs&amp;Costs of Stay'!N:N,'2-3. Travel Costs&amp;Costs of Stay'!C:C,B77,'2-3. Travel Costs&amp;Costs of Stay'!B:B,$E$25)+SUMIFS('4. Equipment Costs'!H:H,'4. Equipment Costs'!C:C,B77,'4. Equipment Costs'!B:B,$E$25)+SUMIFS('5. Subcontracting Costs'!H:H,'5. Subcontracting Costs'!C:C,B77,'5. Subcontracting Costs'!B:B,$E$25)</f>
        <v>0</v>
      </c>
      <c r="F77" s="75">
        <f>SUMIFS('1. Staff costs'!W:W,'1. Staff costs'!C:C,B77,'1. Staff costs'!B:B,$B$8)+SUMIFS('2-3. Travel Costs&amp;Costs of Stay'!N:N,'2-3. Travel Costs&amp;Costs of Stay'!C:C,B77,'2-3. Travel Costs&amp;Costs of Stay'!B:B,$B$8)+SUMIFS('4. Equipment Costs'!H:H,'4. Equipment Costs'!C:C,B77,'4. Equipment Costs'!B:B,$B$8)+SUMIFS('5. Subcontracting Costs'!H:H,'5. Subcontracting Costs'!C:C,B77,'5. Subcontracting Costs'!B:B,$B$8)</f>
        <v>0</v>
      </c>
      <c r="G77" s="75">
        <f>SUMIFS('1. Staff costs'!W:W,'1. Staff costs'!C:C,B77,'1. Staff costs'!B:B,$G$25)+SUMIFS('2-3. Travel Costs&amp;Costs of Stay'!N:N,'2-3. Travel Costs&amp;Costs of Stay'!C:C,B77,'2-3. Travel Costs&amp;Costs of Stay'!B:B,$G$25)+SUMIFS('4. Equipment Costs'!H:H,'4. Equipment Costs'!C:C,B77,'4. Equipment Costs'!B:B,$G$25)+SUMIFS('5. Subcontracting Costs'!H:H,'5. Subcontracting Costs'!C:C,B77,'5. Subcontracting Costs'!B:B,$G$25)</f>
        <v>0</v>
      </c>
      <c r="H77" s="82">
        <f>SUMIF('B. Special Mob Strand - Student'!B:B,B77,'B. Special Mob Strand - Student'!N:N)+SUMIF('B. Special Mob Strand - Staff'!B:B,B77,'B. Special Mob Strand - Staff'!N:N)</f>
        <v>0</v>
      </c>
      <c r="I77" s="85">
        <f t="shared" si="4"/>
        <v>0</v>
      </c>
    </row>
    <row r="78" spans="2:9" x14ac:dyDescent="0.25">
      <c r="B78" s="35" t="s">
        <v>350</v>
      </c>
      <c r="C78" s="75">
        <f>SUMIFS('1. Staff costs'!W:W,'1. Staff costs'!C:C,B78,'1. Staff costs'!B:B,$C$25)+SUMIFS('2-3. Travel Costs&amp;Costs of Stay'!N:N,'2-3. Travel Costs&amp;Costs of Stay'!C:C,B78,'2-3. Travel Costs&amp;Costs of Stay'!B:B,$C$25)+SUMIFS('4. Equipment Costs'!H:H,'4. Equipment Costs'!C:C,B78,'4. Equipment Costs'!B:B,$C$25)+SUMIFS('5. Subcontracting Costs'!H:H,'5. Subcontracting Costs'!C:C,B78,'5. Subcontracting Costs'!B:B,$C$25)</f>
        <v>0</v>
      </c>
      <c r="D78" s="75">
        <f>SUMIFS('1. Staff costs'!W:W,'1. Staff costs'!C:C,B78,'1. Staff costs'!B:B,$D$25)+SUMIFS('2-3. Travel Costs&amp;Costs of Stay'!N:N,'2-3. Travel Costs&amp;Costs of Stay'!C:C,B78,'2-3. Travel Costs&amp;Costs of Stay'!B:B,$D$25)+SUMIFS('4. Equipment Costs'!H:H,'4. Equipment Costs'!C:C,B78,'4. Equipment Costs'!B:B,$D$25)+SUMIFS('5. Subcontracting Costs'!H:H,'5. Subcontracting Costs'!C:C,B78,'5. Subcontracting Costs'!B:B,$D$25)</f>
        <v>0</v>
      </c>
      <c r="E78" s="75">
        <f>SUMIFS('1. Staff costs'!W:W,'1. Staff costs'!C:C,B78,'1. Staff costs'!B:B,$E$25)+SUMIFS('2-3. Travel Costs&amp;Costs of Stay'!N:N,'2-3. Travel Costs&amp;Costs of Stay'!C:C,B78,'2-3. Travel Costs&amp;Costs of Stay'!B:B,$E$25)+SUMIFS('4. Equipment Costs'!H:H,'4. Equipment Costs'!C:C,B78,'4. Equipment Costs'!B:B,$E$25)+SUMIFS('5. Subcontracting Costs'!H:H,'5. Subcontracting Costs'!C:C,B78,'5. Subcontracting Costs'!B:B,$E$25)</f>
        <v>0</v>
      </c>
      <c r="F78" s="75">
        <f>SUMIFS('1. Staff costs'!W:W,'1. Staff costs'!C:C,B78,'1. Staff costs'!B:B,$B$8)+SUMIFS('2-3. Travel Costs&amp;Costs of Stay'!N:N,'2-3. Travel Costs&amp;Costs of Stay'!C:C,B78,'2-3. Travel Costs&amp;Costs of Stay'!B:B,$B$8)+SUMIFS('4. Equipment Costs'!H:H,'4. Equipment Costs'!C:C,B78,'4. Equipment Costs'!B:B,$B$8)+SUMIFS('5. Subcontracting Costs'!H:H,'5. Subcontracting Costs'!C:C,B78,'5. Subcontracting Costs'!B:B,$B$8)</f>
        <v>0</v>
      </c>
      <c r="G78" s="75">
        <f>SUMIFS('1. Staff costs'!W:W,'1. Staff costs'!C:C,B78,'1. Staff costs'!B:B,$G$25)+SUMIFS('2-3. Travel Costs&amp;Costs of Stay'!N:N,'2-3. Travel Costs&amp;Costs of Stay'!C:C,B78,'2-3. Travel Costs&amp;Costs of Stay'!B:B,$G$25)+SUMIFS('4. Equipment Costs'!H:H,'4. Equipment Costs'!C:C,B78,'4. Equipment Costs'!B:B,$G$25)+SUMIFS('5. Subcontracting Costs'!H:H,'5. Subcontracting Costs'!C:C,B78,'5. Subcontracting Costs'!B:B,$G$25)</f>
        <v>0</v>
      </c>
      <c r="H78" s="82">
        <f>SUMIF('B. Special Mob Strand - Student'!B:B,B78,'B. Special Mob Strand - Student'!N:N)+SUMIF('B. Special Mob Strand - Staff'!B:B,B78,'B. Special Mob Strand - Staff'!N:N)</f>
        <v>0</v>
      </c>
      <c r="I78" s="85">
        <f t="shared" si="4"/>
        <v>0</v>
      </c>
    </row>
    <row r="79" spans="2:9" x14ac:dyDescent="0.25">
      <c r="B79" s="35" t="s">
        <v>351</v>
      </c>
      <c r="C79" s="75">
        <f>SUMIFS('1. Staff costs'!W:W,'1. Staff costs'!C:C,B79,'1. Staff costs'!B:B,$C$25)+SUMIFS('2-3. Travel Costs&amp;Costs of Stay'!N:N,'2-3. Travel Costs&amp;Costs of Stay'!C:C,B79,'2-3. Travel Costs&amp;Costs of Stay'!B:B,$C$25)+SUMIFS('4. Equipment Costs'!H:H,'4. Equipment Costs'!C:C,B79,'4. Equipment Costs'!B:B,$C$25)+SUMIFS('5. Subcontracting Costs'!H:H,'5. Subcontracting Costs'!C:C,B79,'5. Subcontracting Costs'!B:B,$C$25)</f>
        <v>0</v>
      </c>
      <c r="D79" s="75">
        <f>SUMIFS('1. Staff costs'!W:W,'1. Staff costs'!C:C,B79,'1. Staff costs'!B:B,$D$25)+SUMIFS('2-3. Travel Costs&amp;Costs of Stay'!N:N,'2-3. Travel Costs&amp;Costs of Stay'!C:C,B79,'2-3. Travel Costs&amp;Costs of Stay'!B:B,$D$25)+SUMIFS('4. Equipment Costs'!H:H,'4. Equipment Costs'!C:C,B79,'4. Equipment Costs'!B:B,$D$25)+SUMIFS('5. Subcontracting Costs'!H:H,'5. Subcontracting Costs'!C:C,B79,'5. Subcontracting Costs'!B:B,$D$25)</f>
        <v>0</v>
      </c>
      <c r="E79" s="75">
        <f>SUMIFS('1. Staff costs'!W:W,'1. Staff costs'!C:C,B79,'1. Staff costs'!B:B,$E$25)+SUMIFS('2-3. Travel Costs&amp;Costs of Stay'!N:N,'2-3. Travel Costs&amp;Costs of Stay'!C:C,B79,'2-3. Travel Costs&amp;Costs of Stay'!B:B,$E$25)+SUMIFS('4. Equipment Costs'!H:H,'4. Equipment Costs'!C:C,B79,'4. Equipment Costs'!B:B,$E$25)+SUMIFS('5. Subcontracting Costs'!H:H,'5. Subcontracting Costs'!C:C,B79,'5. Subcontracting Costs'!B:B,$E$25)</f>
        <v>0</v>
      </c>
      <c r="F79" s="75">
        <f>SUMIFS('1. Staff costs'!W:W,'1. Staff costs'!C:C,B79,'1. Staff costs'!B:B,$B$8)+SUMIFS('2-3. Travel Costs&amp;Costs of Stay'!N:N,'2-3. Travel Costs&amp;Costs of Stay'!C:C,B79,'2-3. Travel Costs&amp;Costs of Stay'!B:B,$B$8)+SUMIFS('4. Equipment Costs'!H:H,'4. Equipment Costs'!C:C,B79,'4. Equipment Costs'!B:B,$B$8)+SUMIFS('5. Subcontracting Costs'!H:H,'5. Subcontracting Costs'!C:C,B79,'5. Subcontracting Costs'!B:B,$B$8)</f>
        <v>0</v>
      </c>
      <c r="G79" s="75">
        <f>SUMIFS('1. Staff costs'!W:W,'1. Staff costs'!C:C,B79,'1. Staff costs'!B:B,$G$25)+SUMIFS('2-3. Travel Costs&amp;Costs of Stay'!N:N,'2-3. Travel Costs&amp;Costs of Stay'!C:C,B79,'2-3. Travel Costs&amp;Costs of Stay'!B:B,$G$25)+SUMIFS('4. Equipment Costs'!H:H,'4. Equipment Costs'!C:C,B79,'4. Equipment Costs'!B:B,$G$25)+SUMIFS('5. Subcontracting Costs'!H:H,'5. Subcontracting Costs'!C:C,B79,'5. Subcontracting Costs'!B:B,$G$25)</f>
        <v>0</v>
      </c>
      <c r="H79" s="82">
        <f>SUMIF('B. Special Mob Strand - Student'!B:B,B79,'B. Special Mob Strand - Student'!N:N)+SUMIF('B. Special Mob Strand - Staff'!B:B,B79,'B. Special Mob Strand - Staff'!N:N)</f>
        <v>0</v>
      </c>
      <c r="I79" s="85">
        <f t="shared" si="4"/>
        <v>0</v>
      </c>
    </row>
    <row r="80" spans="2:9" x14ac:dyDescent="0.25">
      <c r="B80" s="35" t="s">
        <v>352</v>
      </c>
      <c r="C80" s="75">
        <f>SUMIFS('1. Staff costs'!W:W,'1. Staff costs'!C:C,B80,'1. Staff costs'!B:B,$C$25)+SUMIFS('2-3. Travel Costs&amp;Costs of Stay'!N:N,'2-3. Travel Costs&amp;Costs of Stay'!C:C,B80,'2-3. Travel Costs&amp;Costs of Stay'!B:B,$C$25)+SUMIFS('4. Equipment Costs'!H:H,'4. Equipment Costs'!C:C,B80,'4. Equipment Costs'!B:B,$C$25)+SUMIFS('5. Subcontracting Costs'!H:H,'5. Subcontracting Costs'!C:C,B80,'5. Subcontracting Costs'!B:B,$C$25)</f>
        <v>0</v>
      </c>
      <c r="D80" s="75">
        <f>SUMIFS('1. Staff costs'!W:W,'1. Staff costs'!C:C,B80,'1. Staff costs'!B:B,$D$25)+SUMIFS('2-3. Travel Costs&amp;Costs of Stay'!N:N,'2-3. Travel Costs&amp;Costs of Stay'!C:C,B80,'2-3. Travel Costs&amp;Costs of Stay'!B:B,$D$25)+SUMIFS('4. Equipment Costs'!H:H,'4. Equipment Costs'!C:C,B80,'4. Equipment Costs'!B:B,$D$25)+SUMIFS('5. Subcontracting Costs'!H:H,'5. Subcontracting Costs'!C:C,B80,'5. Subcontracting Costs'!B:B,$D$25)</f>
        <v>0</v>
      </c>
      <c r="E80" s="75">
        <f>SUMIFS('1. Staff costs'!W:W,'1. Staff costs'!C:C,B80,'1. Staff costs'!B:B,$E$25)+SUMIFS('2-3. Travel Costs&amp;Costs of Stay'!N:N,'2-3. Travel Costs&amp;Costs of Stay'!C:C,B80,'2-3. Travel Costs&amp;Costs of Stay'!B:B,$E$25)+SUMIFS('4. Equipment Costs'!H:H,'4. Equipment Costs'!C:C,B80,'4. Equipment Costs'!B:B,$E$25)+SUMIFS('5. Subcontracting Costs'!H:H,'5. Subcontracting Costs'!C:C,B80,'5. Subcontracting Costs'!B:B,$E$25)</f>
        <v>0</v>
      </c>
      <c r="F80" s="75">
        <f>SUMIFS('1. Staff costs'!W:W,'1. Staff costs'!C:C,B80,'1. Staff costs'!B:B,$B$8)+SUMIFS('2-3. Travel Costs&amp;Costs of Stay'!N:N,'2-3. Travel Costs&amp;Costs of Stay'!C:C,B80,'2-3. Travel Costs&amp;Costs of Stay'!B:B,$B$8)+SUMIFS('4. Equipment Costs'!H:H,'4. Equipment Costs'!C:C,B80,'4. Equipment Costs'!B:B,$B$8)+SUMIFS('5. Subcontracting Costs'!H:H,'5. Subcontracting Costs'!C:C,B80,'5. Subcontracting Costs'!B:B,$B$8)</f>
        <v>0</v>
      </c>
      <c r="G80" s="75">
        <f>SUMIFS('1. Staff costs'!W:W,'1. Staff costs'!C:C,B80,'1. Staff costs'!B:B,$G$25)+SUMIFS('2-3. Travel Costs&amp;Costs of Stay'!N:N,'2-3. Travel Costs&amp;Costs of Stay'!C:C,B80,'2-3. Travel Costs&amp;Costs of Stay'!B:B,$G$25)+SUMIFS('4. Equipment Costs'!H:H,'4. Equipment Costs'!C:C,B80,'4. Equipment Costs'!B:B,$G$25)+SUMIFS('5. Subcontracting Costs'!H:H,'5. Subcontracting Costs'!C:C,B80,'5. Subcontracting Costs'!B:B,$G$25)</f>
        <v>0</v>
      </c>
      <c r="H80" s="82">
        <f>SUMIF('B. Special Mob Strand - Student'!B:B,B80,'B. Special Mob Strand - Student'!N:N)+SUMIF('B. Special Mob Strand - Staff'!B:B,B80,'B. Special Mob Strand - Staff'!N:N)</f>
        <v>0</v>
      </c>
      <c r="I80" s="85">
        <f t="shared" si="4"/>
        <v>0</v>
      </c>
    </row>
    <row r="81" spans="2:9" x14ac:dyDescent="0.25">
      <c r="B81" s="86" t="s">
        <v>146</v>
      </c>
      <c r="C81" s="76">
        <f>SUM(C26:C80)</f>
        <v>164600</v>
      </c>
      <c r="D81" s="76">
        <f t="shared" ref="D81:H81" si="5">SUM(D26:D80)</f>
        <v>252073</v>
      </c>
      <c r="E81" s="76">
        <f t="shared" si="5"/>
        <v>60977</v>
      </c>
      <c r="F81" s="76">
        <f t="shared" si="5"/>
        <v>204100</v>
      </c>
      <c r="G81" s="76">
        <f t="shared" si="5"/>
        <v>305250</v>
      </c>
      <c r="H81" s="78">
        <f t="shared" si="5"/>
        <v>0</v>
      </c>
      <c r="I81" s="87">
        <f>SUM(C81:H81)</f>
        <v>987000</v>
      </c>
    </row>
  </sheetData>
  <sheetProtection password="E359" sheet="1" objects="1" scenarios="1" selectLockedCells="1" selectUnlockedCells="1"/>
  <dataConsolidate/>
  <mergeCells count="4">
    <mergeCell ref="B2:I2"/>
    <mergeCell ref="B14:I14"/>
    <mergeCell ref="H5:H9"/>
    <mergeCell ref="B23:I23"/>
  </mergeCells>
  <conditionalFormatting sqref="B2:E2">
    <cfRule type="cellIs" dxfId="17" priority="131" stopIfTrue="1" operator="equal">
      <formula>"&gt; 30 %"</formula>
    </cfRule>
  </conditionalFormatting>
  <conditionalFormatting sqref="C4">
    <cfRule type="cellIs" dxfId="16" priority="44" stopIfTrue="1" operator="equal">
      <formula>"ERROR"</formula>
    </cfRule>
  </conditionalFormatting>
  <conditionalFormatting sqref="F4">
    <cfRule type="cellIs" dxfId="15" priority="42" stopIfTrue="1" operator="equal">
      <formula>"ERROR"</formula>
    </cfRule>
  </conditionalFormatting>
  <conditionalFormatting sqref="D4:E4">
    <cfRule type="cellIs" dxfId="14" priority="43" stopIfTrue="1" operator="equal">
      <formula>"ERROR"</formula>
    </cfRule>
  </conditionalFormatting>
  <conditionalFormatting sqref="G4:H4">
    <cfRule type="cellIs" dxfId="13" priority="41" stopIfTrue="1" operator="equal">
      <formula>"ERROR"</formula>
    </cfRule>
  </conditionalFormatting>
  <conditionalFormatting sqref="I4">
    <cfRule type="cellIs" dxfId="12" priority="40" stopIfTrue="1" operator="equal">
      <formula>"ERROR"</formula>
    </cfRule>
  </conditionalFormatting>
  <conditionalFormatting sqref="B14:E14">
    <cfRule type="cellIs" dxfId="11" priority="25" stopIfTrue="1" operator="equal">
      <formula>"&gt; 30 %"</formula>
    </cfRule>
  </conditionalFormatting>
  <conditionalFormatting sqref="I16">
    <cfRule type="cellIs" dxfId="10" priority="26" stopIfTrue="1" operator="equal">
      <formula>"ERROR"</formula>
    </cfRule>
  </conditionalFormatting>
  <conditionalFormatting sqref="B10">
    <cfRule type="cellIs" dxfId="9" priority="21" stopIfTrue="1" operator="equal">
      <formula>"ERROR"</formula>
    </cfRule>
  </conditionalFormatting>
  <conditionalFormatting sqref="B19">
    <cfRule type="cellIs" dxfId="8" priority="20" stopIfTrue="1" operator="equal">
      <formula>"ERROR"</formula>
    </cfRule>
  </conditionalFormatting>
  <conditionalFormatting sqref="C16">
    <cfRule type="cellIs" dxfId="7" priority="11" stopIfTrue="1" operator="equal">
      <formula>"ERROR"</formula>
    </cfRule>
  </conditionalFormatting>
  <conditionalFormatting sqref="F16">
    <cfRule type="cellIs" dxfId="6" priority="9" stopIfTrue="1" operator="equal">
      <formula>"ERROR"</formula>
    </cfRule>
  </conditionalFormatting>
  <conditionalFormatting sqref="D16:E16">
    <cfRule type="cellIs" dxfId="5" priority="10" stopIfTrue="1" operator="equal">
      <formula>"ERROR"</formula>
    </cfRule>
  </conditionalFormatting>
  <conditionalFormatting sqref="G16:H16">
    <cfRule type="cellIs" dxfId="4" priority="8" stopIfTrue="1" operator="equal">
      <formula>"ERROR"</formula>
    </cfRule>
  </conditionalFormatting>
  <conditionalFormatting sqref="B23:E23">
    <cfRule type="cellIs" dxfId="3" priority="6" stopIfTrue="1" operator="equal">
      <formula>"&gt; 30 %"</formula>
    </cfRule>
  </conditionalFormatting>
  <conditionalFormatting sqref="H26:H80">
    <cfRule type="cellIs" dxfId="2" priority="4" stopIfTrue="1" operator="equal">
      <formula>"ERROR"</formula>
    </cfRule>
  </conditionalFormatting>
  <conditionalFormatting sqref="I25">
    <cfRule type="cellIs" dxfId="1" priority="3" stopIfTrue="1" operator="equal">
      <formula>"ERROR"</formula>
    </cfRule>
  </conditionalFormatting>
  <conditionalFormatting sqref="H25">
    <cfRule type="cellIs" dxfId="0" priority="2" stopIfTrue="1" operator="equal">
      <formula>"ERROR"</formula>
    </cfRule>
  </conditionalFormatting>
  <printOptions horizontalCentered="1"/>
  <pageMargins left="0.23622047244094491" right="0.23622047244094491" top="0.39370078740157483" bottom="0.94488188976377963" header="0.31496062992125984" footer="0.31496062992125984"/>
  <pageSetup paperSize="9" scale="46" orientation="portrait" r:id="rId1"/>
  <headerFooter>
    <oddFooter xml:space="preserve">&amp;CPage &amp;P of 3
</oddFooter>
  </headerFooter>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Z369"/>
  <sheetViews>
    <sheetView zoomScale="55" zoomScaleNormal="55" workbookViewId="0">
      <selection activeCell="B2" sqref="B2:H2"/>
    </sheetView>
  </sheetViews>
  <sheetFormatPr defaultRowHeight="15" x14ac:dyDescent="0.25"/>
  <cols>
    <col min="1" max="1" width="1.5703125" style="26" customWidth="1"/>
    <col min="2" max="2" width="50.7109375" style="16" bestFit="1" customWidth="1"/>
    <col min="3" max="3" width="11.5703125" style="16" customWidth="1"/>
    <col min="4" max="4" width="9.140625" style="16" customWidth="1"/>
    <col min="5" max="8" width="18.7109375" style="16" customWidth="1"/>
    <col min="9" max="9" width="1.7109375" style="16" customWidth="1"/>
    <col min="10" max="11" width="20.7109375" style="16" customWidth="1"/>
    <col min="12" max="12" width="1.7109375" style="16" customWidth="1"/>
    <col min="13" max="13" width="52.85546875" style="16" bestFit="1" customWidth="1"/>
    <col min="14" max="14" width="11.5703125" style="16" customWidth="1"/>
    <col min="15" max="15" width="9.140625" style="16" customWidth="1"/>
    <col min="16" max="19" width="18.7109375" style="16" customWidth="1"/>
    <col min="20" max="20" width="1.7109375" style="16" customWidth="1"/>
    <col min="21" max="21" width="18.7109375" style="30" customWidth="1"/>
    <col min="22" max="23" width="18.7109375" style="16" customWidth="1"/>
    <col min="24" max="24" width="2" style="16" customWidth="1"/>
    <col min="25" max="26" width="15.7109375" style="16" customWidth="1"/>
    <col min="27" max="16384" width="9.140625" style="16"/>
  </cols>
  <sheetData>
    <row r="1" spans="2:26" ht="9.9499999999999993" customHeight="1" x14ac:dyDescent="0.25"/>
    <row r="2" spans="2:26" x14ac:dyDescent="0.25">
      <c r="B2" s="215" t="s">
        <v>347</v>
      </c>
      <c r="C2" s="215"/>
      <c r="D2" s="215"/>
      <c r="E2" s="215"/>
      <c r="F2" s="215"/>
      <c r="G2" s="215"/>
      <c r="H2" s="215"/>
      <c r="J2" s="215" t="s">
        <v>345</v>
      </c>
      <c r="K2" s="215"/>
      <c r="M2" s="215" t="s">
        <v>364</v>
      </c>
      <c r="N2" s="215"/>
      <c r="O2" s="215"/>
      <c r="P2" s="215"/>
      <c r="Q2" s="215"/>
      <c r="R2" s="215"/>
      <c r="S2" s="215"/>
      <c r="U2" s="215" t="s">
        <v>344</v>
      </c>
      <c r="V2" s="215"/>
      <c r="W2" s="215"/>
    </row>
    <row r="3" spans="2:26" ht="9.9499999999999993" customHeight="1" x14ac:dyDescent="0.25">
      <c r="B3" s="27"/>
      <c r="C3" s="26"/>
      <c r="D3" s="26"/>
      <c r="E3" s="26"/>
      <c r="F3" s="26"/>
      <c r="G3" s="26"/>
      <c r="H3" s="28"/>
      <c r="J3" s="27"/>
      <c r="K3" s="28"/>
      <c r="M3" s="27"/>
      <c r="N3" s="26"/>
      <c r="O3" s="26"/>
      <c r="P3" s="26"/>
      <c r="Q3" s="26"/>
      <c r="R3" s="26"/>
      <c r="S3" s="28"/>
      <c r="U3" s="32"/>
      <c r="V3" s="26"/>
      <c r="W3" s="28"/>
    </row>
    <row r="4" spans="2:26" ht="82.5" customHeight="1" x14ac:dyDescent="0.25">
      <c r="B4" s="17" t="s">
        <v>0</v>
      </c>
      <c r="C4" s="17" t="s">
        <v>479</v>
      </c>
      <c r="D4" s="17" t="s">
        <v>371</v>
      </c>
      <c r="E4" s="17" t="s">
        <v>200</v>
      </c>
      <c r="F4" s="18" t="s">
        <v>158</v>
      </c>
      <c r="G4" s="17" t="s">
        <v>2</v>
      </c>
      <c r="H4" s="18" t="s">
        <v>303</v>
      </c>
      <c r="J4" s="18" t="s">
        <v>34</v>
      </c>
      <c r="K4" s="18" t="s">
        <v>363</v>
      </c>
      <c r="M4" s="17" t="s">
        <v>0</v>
      </c>
      <c r="N4" s="17" t="s">
        <v>479</v>
      </c>
      <c r="O4" s="17" t="s">
        <v>371</v>
      </c>
      <c r="P4" s="25" t="s">
        <v>514</v>
      </c>
      <c r="Q4" s="25" t="s">
        <v>515</v>
      </c>
      <c r="R4" s="25" t="s">
        <v>518</v>
      </c>
      <c r="S4" s="25" t="s">
        <v>519</v>
      </c>
      <c r="U4" s="25" t="s">
        <v>528</v>
      </c>
      <c r="V4" s="25" t="s">
        <v>520</v>
      </c>
      <c r="W4" s="25" t="s">
        <v>522</v>
      </c>
      <c r="Y4" s="25" t="s">
        <v>520</v>
      </c>
      <c r="Z4" s="25" t="s">
        <v>522</v>
      </c>
    </row>
    <row r="5" spans="2:26" x14ac:dyDescent="0.25">
      <c r="B5" s="19" t="s">
        <v>7</v>
      </c>
      <c r="C5" s="19" t="s">
        <v>377</v>
      </c>
      <c r="D5" s="19" t="s">
        <v>501</v>
      </c>
      <c r="E5" s="20">
        <v>294</v>
      </c>
      <c r="F5" s="20">
        <v>241</v>
      </c>
      <c r="G5" s="20">
        <v>190</v>
      </c>
      <c r="H5" s="20">
        <v>157</v>
      </c>
      <c r="J5" s="19" t="s">
        <v>337</v>
      </c>
      <c r="K5" s="19">
        <v>180</v>
      </c>
      <c r="M5" s="21" t="s">
        <v>7</v>
      </c>
      <c r="N5" s="21" t="s">
        <v>377</v>
      </c>
      <c r="O5" s="19" t="s">
        <v>501</v>
      </c>
      <c r="P5" s="22">
        <v>850</v>
      </c>
      <c r="Q5" s="22">
        <v>0</v>
      </c>
      <c r="R5" s="23">
        <v>140</v>
      </c>
      <c r="S5" s="24">
        <v>0</v>
      </c>
      <c r="U5" s="31">
        <v>1</v>
      </c>
      <c r="V5" s="20">
        <f>120*U5</f>
        <v>120</v>
      </c>
      <c r="W5" s="20">
        <f>55*U5</f>
        <v>55</v>
      </c>
      <c r="Y5" s="31">
        <v>1</v>
      </c>
      <c r="Z5" s="31">
        <v>1</v>
      </c>
    </row>
    <row r="6" spans="2:26" x14ac:dyDescent="0.25">
      <c r="B6" s="19" t="s">
        <v>8</v>
      </c>
      <c r="C6" s="19" t="s">
        <v>378</v>
      </c>
      <c r="D6" s="19" t="s">
        <v>501</v>
      </c>
      <c r="E6" s="20">
        <v>280</v>
      </c>
      <c r="F6" s="20">
        <v>214</v>
      </c>
      <c r="G6" s="20">
        <v>162</v>
      </c>
      <c r="H6" s="20">
        <v>131</v>
      </c>
      <c r="J6" s="19" t="s">
        <v>338</v>
      </c>
      <c r="K6" s="19">
        <v>275</v>
      </c>
      <c r="M6" s="21" t="s">
        <v>8</v>
      </c>
      <c r="N6" s="21" t="s">
        <v>378</v>
      </c>
      <c r="O6" s="19" t="s">
        <v>501</v>
      </c>
      <c r="P6" s="22">
        <v>800</v>
      </c>
      <c r="Q6" s="22">
        <v>0</v>
      </c>
      <c r="R6" s="23">
        <v>140</v>
      </c>
      <c r="S6" s="24">
        <v>0</v>
      </c>
      <c r="U6" s="31">
        <v>2</v>
      </c>
      <c r="V6" s="20">
        <f t="shared" ref="V6:V18" si="0">120*U6</f>
        <v>240</v>
      </c>
      <c r="W6" s="20">
        <f t="shared" ref="W6:W18" si="1">55*U6</f>
        <v>110</v>
      </c>
      <c r="Y6" s="31">
        <v>2</v>
      </c>
      <c r="Z6" s="31">
        <v>2</v>
      </c>
    </row>
    <row r="7" spans="2:26" x14ac:dyDescent="0.25">
      <c r="B7" s="19" t="s">
        <v>10</v>
      </c>
      <c r="C7" s="19" t="s">
        <v>379</v>
      </c>
      <c r="D7" s="19" t="s">
        <v>501</v>
      </c>
      <c r="E7" s="20">
        <v>88</v>
      </c>
      <c r="F7" s="20">
        <v>74</v>
      </c>
      <c r="G7" s="20">
        <v>55</v>
      </c>
      <c r="H7" s="20">
        <v>39</v>
      </c>
      <c r="J7" s="19" t="s">
        <v>339</v>
      </c>
      <c r="K7" s="19">
        <v>360</v>
      </c>
      <c r="M7" s="21" t="s">
        <v>10</v>
      </c>
      <c r="N7" s="21" t="s">
        <v>379</v>
      </c>
      <c r="O7" s="19" t="s">
        <v>501</v>
      </c>
      <c r="P7" s="22">
        <v>750</v>
      </c>
      <c r="Q7" s="22">
        <v>0</v>
      </c>
      <c r="R7" s="23">
        <v>140</v>
      </c>
      <c r="S7" s="24">
        <v>0</v>
      </c>
      <c r="U7" s="31">
        <v>3</v>
      </c>
      <c r="V7" s="20">
        <f t="shared" si="0"/>
        <v>360</v>
      </c>
      <c r="W7" s="20">
        <f t="shared" si="1"/>
        <v>165</v>
      </c>
      <c r="Y7" s="31">
        <v>3</v>
      </c>
      <c r="Z7" s="31">
        <v>3</v>
      </c>
    </row>
    <row r="8" spans="2:26" x14ac:dyDescent="0.25">
      <c r="B8" s="19" t="s">
        <v>58</v>
      </c>
      <c r="C8" s="19" t="s">
        <v>380</v>
      </c>
      <c r="D8" s="19" t="s">
        <v>501</v>
      </c>
      <c r="E8" s="20">
        <v>88</v>
      </c>
      <c r="F8" s="20">
        <v>74</v>
      </c>
      <c r="G8" s="20">
        <v>55</v>
      </c>
      <c r="H8" s="20">
        <v>39</v>
      </c>
      <c r="J8" s="19" t="s">
        <v>342</v>
      </c>
      <c r="K8" s="19">
        <v>530</v>
      </c>
      <c r="M8" s="21" t="s">
        <v>58</v>
      </c>
      <c r="N8" s="21" t="s">
        <v>380</v>
      </c>
      <c r="O8" s="19" t="s">
        <v>501</v>
      </c>
      <c r="P8" s="22">
        <v>800</v>
      </c>
      <c r="Q8" s="22">
        <v>0</v>
      </c>
      <c r="R8" s="23">
        <v>100</v>
      </c>
      <c r="S8" s="24">
        <v>0</v>
      </c>
      <c r="U8" s="31">
        <v>4</v>
      </c>
      <c r="V8" s="20">
        <f t="shared" si="0"/>
        <v>480</v>
      </c>
      <c r="W8" s="20">
        <f t="shared" si="1"/>
        <v>220</v>
      </c>
      <c r="Y8" s="31">
        <v>4</v>
      </c>
      <c r="Z8" s="31">
        <v>4</v>
      </c>
    </row>
    <row r="9" spans="2:26" x14ac:dyDescent="0.25">
      <c r="B9" s="19" t="s">
        <v>9</v>
      </c>
      <c r="C9" s="19" t="s">
        <v>381</v>
      </c>
      <c r="D9" s="19" t="s">
        <v>501</v>
      </c>
      <c r="E9" s="20">
        <v>164</v>
      </c>
      <c r="F9" s="20">
        <v>137</v>
      </c>
      <c r="G9" s="20">
        <v>102</v>
      </c>
      <c r="H9" s="20">
        <v>78</v>
      </c>
      <c r="J9" s="19" t="s">
        <v>343</v>
      </c>
      <c r="K9" s="19">
        <v>820</v>
      </c>
      <c r="M9" s="21" t="s">
        <v>9</v>
      </c>
      <c r="N9" s="21" t="s">
        <v>381</v>
      </c>
      <c r="O9" s="19" t="s">
        <v>501</v>
      </c>
      <c r="P9" s="22">
        <v>800</v>
      </c>
      <c r="Q9" s="22">
        <v>0</v>
      </c>
      <c r="R9" s="23">
        <v>140</v>
      </c>
      <c r="S9" s="24">
        <v>0</v>
      </c>
      <c r="U9" s="31">
        <v>5</v>
      </c>
      <c r="V9" s="20">
        <f t="shared" si="0"/>
        <v>600</v>
      </c>
      <c r="W9" s="20">
        <f t="shared" si="1"/>
        <v>275</v>
      </c>
      <c r="Y9" s="31">
        <v>5</v>
      </c>
      <c r="Z9" s="31">
        <v>5</v>
      </c>
    </row>
    <row r="10" spans="2:26" x14ac:dyDescent="0.25">
      <c r="B10" s="19" t="s">
        <v>52</v>
      </c>
      <c r="C10" s="19" t="s">
        <v>382</v>
      </c>
      <c r="D10" s="19" t="s">
        <v>501</v>
      </c>
      <c r="E10" s="20">
        <v>164</v>
      </c>
      <c r="F10" s="20">
        <v>137</v>
      </c>
      <c r="G10" s="20">
        <v>102</v>
      </c>
      <c r="H10" s="20">
        <v>78</v>
      </c>
      <c r="J10" s="19" t="s">
        <v>340</v>
      </c>
      <c r="K10" s="19">
        <v>1100</v>
      </c>
      <c r="M10" s="21" t="s">
        <v>52</v>
      </c>
      <c r="N10" s="21" t="s">
        <v>382</v>
      </c>
      <c r="O10" s="19" t="s">
        <v>501</v>
      </c>
      <c r="P10" s="22">
        <v>800</v>
      </c>
      <c r="Q10" s="22">
        <v>0</v>
      </c>
      <c r="R10" s="23">
        <v>140</v>
      </c>
      <c r="S10" s="24">
        <v>0</v>
      </c>
      <c r="U10" s="31">
        <v>6</v>
      </c>
      <c r="V10" s="20">
        <f t="shared" si="0"/>
        <v>720</v>
      </c>
      <c r="W10" s="20">
        <f t="shared" si="1"/>
        <v>330</v>
      </c>
      <c r="Y10" s="31">
        <v>6</v>
      </c>
      <c r="Z10" s="31">
        <v>6</v>
      </c>
    </row>
    <row r="11" spans="2:26" x14ac:dyDescent="0.25">
      <c r="B11" s="19" t="s">
        <v>35</v>
      </c>
      <c r="C11" s="19" t="s">
        <v>383</v>
      </c>
      <c r="D11" s="19" t="s">
        <v>501</v>
      </c>
      <c r="E11" s="20">
        <v>294</v>
      </c>
      <c r="F11" s="20">
        <v>241</v>
      </c>
      <c r="G11" s="20">
        <v>190</v>
      </c>
      <c r="H11" s="20">
        <v>157</v>
      </c>
      <c r="M11" s="21" t="s">
        <v>35</v>
      </c>
      <c r="N11" s="21" t="s">
        <v>383</v>
      </c>
      <c r="O11" s="19" t="s">
        <v>501</v>
      </c>
      <c r="P11" s="22">
        <v>850</v>
      </c>
      <c r="Q11" s="22">
        <v>0</v>
      </c>
      <c r="R11" s="23">
        <v>160</v>
      </c>
      <c r="S11" s="24">
        <v>0</v>
      </c>
      <c r="U11" s="31">
        <v>7</v>
      </c>
      <c r="V11" s="20">
        <f t="shared" si="0"/>
        <v>840</v>
      </c>
      <c r="W11" s="20">
        <f t="shared" si="1"/>
        <v>385</v>
      </c>
      <c r="Y11" s="31">
        <v>7</v>
      </c>
      <c r="Z11" s="31">
        <v>7</v>
      </c>
    </row>
    <row r="12" spans="2:26" x14ac:dyDescent="0.25">
      <c r="B12" s="19" t="s">
        <v>59</v>
      </c>
      <c r="C12" s="19" t="s">
        <v>384</v>
      </c>
      <c r="D12" s="19" t="s">
        <v>501</v>
      </c>
      <c r="E12" s="20">
        <v>88</v>
      </c>
      <c r="F12" s="20">
        <v>74</v>
      </c>
      <c r="G12" s="20">
        <v>55</v>
      </c>
      <c r="H12" s="20">
        <v>39</v>
      </c>
      <c r="J12" s="216" t="s">
        <v>345</v>
      </c>
      <c r="K12" s="217"/>
      <c r="M12" s="21" t="s">
        <v>59</v>
      </c>
      <c r="N12" s="21" t="s">
        <v>384</v>
      </c>
      <c r="O12" s="19" t="s">
        <v>501</v>
      </c>
      <c r="P12" s="22">
        <v>750</v>
      </c>
      <c r="Q12" s="22">
        <v>0</v>
      </c>
      <c r="R12" s="23">
        <v>100</v>
      </c>
      <c r="S12" s="24">
        <v>0</v>
      </c>
      <c r="U12" s="31">
        <v>8</v>
      </c>
      <c r="V12" s="20">
        <f t="shared" si="0"/>
        <v>960</v>
      </c>
      <c r="W12" s="20">
        <f t="shared" si="1"/>
        <v>440</v>
      </c>
      <c r="Y12" s="31">
        <v>8</v>
      </c>
      <c r="Z12" s="31">
        <v>8</v>
      </c>
    </row>
    <row r="13" spans="2:26" x14ac:dyDescent="0.25">
      <c r="B13" s="19" t="s">
        <v>46</v>
      </c>
      <c r="C13" s="19" t="s">
        <v>385</v>
      </c>
      <c r="D13" s="19" t="s">
        <v>501</v>
      </c>
      <c r="E13" s="20">
        <v>280</v>
      </c>
      <c r="F13" s="20">
        <v>214</v>
      </c>
      <c r="G13" s="20">
        <v>162</v>
      </c>
      <c r="H13" s="20">
        <v>131</v>
      </c>
      <c r="J13" s="214" t="s">
        <v>367</v>
      </c>
      <c r="K13" s="214"/>
      <c r="M13" s="21" t="s">
        <v>46</v>
      </c>
      <c r="N13" s="21" t="s">
        <v>385</v>
      </c>
      <c r="O13" s="19" t="s">
        <v>501</v>
      </c>
      <c r="P13" s="22">
        <v>850</v>
      </c>
      <c r="Q13" s="22">
        <v>0</v>
      </c>
      <c r="R13" s="23">
        <v>140</v>
      </c>
      <c r="S13" s="24">
        <v>0</v>
      </c>
      <c r="U13" s="31">
        <v>9</v>
      </c>
      <c r="V13" s="20">
        <f t="shared" si="0"/>
        <v>1080</v>
      </c>
      <c r="W13" s="20">
        <f t="shared" si="1"/>
        <v>495</v>
      </c>
      <c r="Y13" s="31">
        <v>9</v>
      </c>
      <c r="Z13" s="31">
        <v>9</v>
      </c>
    </row>
    <row r="14" spans="2:26" x14ac:dyDescent="0.25">
      <c r="B14" s="19" t="s">
        <v>359</v>
      </c>
      <c r="C14" s="19" t="s">
        <v>405</v>
      </c>
      <c r="D14" s="19" t="s">
        <v>501</v>
      </c>
      <c r="E14" s="20">
        <v>88</v>
      </c>
      <c r="F14" s="20">
        <v>74</v>
      </c>
      <c r="G14" s="20">
        <v>55</v>
      </c>
      <c r="H14" s="20">
        <v>39</v>
      </c>
      <c r="J14" s="214" t="s">
        <v>365</v>
      </c>
      <c r="K14" s="214"/>
      <c r="M14" s="21" t="s">
        <v>47</v>
      </c>
      <c r="N14" s="21" t="s">
        <v>386</v>
      </c>
      <c r="O14" s="19" t="s">
        <v>501</v>
      </c>
      <c r="P14" s="22">
        <v>850</v>
      </c>
      <c r="Q14" s="22">
        <v>0</v>
      </c>
      <c r="R14" s="23">
        <v>140</v>
      </c>
      <c r="S14" s="24">
        <v>0</v>
      </c>
      <c r="U14" s="31">
        <v>10</v>
      </c>
      <c r="V14" s="20">
        <f t="shared" si="0"/>
        <v>1200</v>
      </c>
      <c r="W14" s="20">
        <f t="shared" si="1"/>
        <v>550</v>
      </c>
      <c r="Y14" s="31">
        <v>10</v>
      </c>
      <c r="Z14" s="31">
        <v>10</v>
      </c>
    </row>
    <row r="15" spans="2:26" x14ac:dyDescent="0.25">
      <c r="B15" s="19" t="s">
        <v>47</v>
      </c>
      <c r="C15" s="19" t="s">
        <v>386</v>
      </c>
      <c r="D15" s="19" t="s">
        <v>501</v>
      </c>
      <c r="E15" s="20">
        <v>280</v>
      </c>
      <c r="F15" s="20">
        <v>214</v>
      </c>
      <c r="G15" s="20">
        <v>162</v>
      </c>
      <c r="H15" s="20">
        <v>131</v>
      </c>
      <c r="J15" s="214" t="s">
        <v>366</v>
      </c>
      <c r="K15" s="214"/>
      <c r="M15" s="21" t="s">
        <v>48</v>
      </c>
      <c r="N15" s="21" t="s">
        <v>387</v>
      </c>
      <c r="O15" s="19" t="s">
        <v>501</v>
      </c>
      <c r="P15" s="22">
        <v>800</v>
      </c>
      <c r="Q15" s="22">
        <v>0</v>
      </c>
      <c r="R15" s="23">
        <v>120</v>
      </c>
      <c r="S15" s="24">
        <v>0</v>
      </c>
      <c r="U15" s="31">
        <v>11</v>
      </c>
      <c r="V15" s="20">
        <f t="shared" si="0"/>
        <v>1320</v>
      </c>
      <c r="W15" s="20">
        <f t="shared" si="1"/>
        <v>605</v>
      </c>
      <c r="Y15" s="31">
        <v>11</v>
      </c>
      <c r="Z15" s="31">
        <v>11</v>
      </c>
    </row>
    <row r="16" spans="2:26" x14ac:dyDescent="0.25">
      <c r="B16" s="19" t="s">
        <v>48</v>
      </c>
      <c r="C16" s="19" t="s">
        <v>387</v>
      </c>
      <c r="D16" s="19" t="s">
        <v>501</v>
      </c>
      <c r="E16" s="20">
        <v>280</v>
      </c>
      <c r="F16" s="20">
        <v>214</v>
      </c>
      <c r="G16" s="20">
        <v>162</v>
      </c>
      <c r="H16" s="20">
        <v>131</v>
      </c>
      <c r="J16" s="214" t="s">
        <v>369</v>
      </c>
      <c r="K16" s="214"/>
      <c r="M16" s="21" t="s">
        <v>53</v>
      </c>
      <c r="N16" s="21" t="s">
        <v>388</v>
      </c>
      <c r="O16" s="19" t="s">
        <v>501</v>
      </c>
      <c r="P16" s="22">
        <v>800</v>
      </c>
      <c r="Q16" s="22">
        <v>0</v>
      </c>
      <c r="R16" s="23">
        <v>140</v>
      </c>
      <c r="S16" s="24">
        <v>0</v>
      </c>
      <c r="U16" s="31">
        <v>12</v>
      </c>
      <c r="V16" s="20">
        <f t="shared" si="0"/>
        <v>1440</v>
      </c>
      <c r="W16" s="20">
        <f t="shared" si="1"/>
        <v>660</v>
      </c>
      <c r="Y16" s="31">
        <v>12</v>
      </c>
      <c r="Z16" s="31">
        <v>12</v>
      </c>
    </row>
    <row r="17" spans="2:26" x14ac:dyDescent="0.25">
      <c r="B17" s="19" t="s">
        <v>53</v>
      </c>
      <c r="C17" s="19" t="s">
        <v>388</v>
      </c>
      <c r="D17" s="19" t="s">
        <v>501</v>
      </c>
      <c r="E17" s="20">
        <v>164</v>
      </c>
      <c r="F17" s="20">
        <v>137</v>
      </c>
      <c r="G17" s="20">
        <v>102</v>
      </c>
      <c r="H17" s="20">
        <v>78</v>
      </c>
      <c r="J17" s="214" t="s">
        <v>368</v>
      </c>
      <c r="K17" s="214"/>
      <c r="M17" s="21" t="s">
        <v>60</v>
      </c>
      <c r="N17" s="21" t="s">
        <v>389</v>
      </c>
      <c r="O17" s="19" t="s">
        <v>501</v>
      </c>
      <c r="P17" s="22">
        <v>750</v>
      </c>
      <c r="Q17" s="22">
        <v>0</v>
      </c>
      <c r="R17" s="23">
        <v>140</v>
      </c>
      <c r="S17" s="24">
        <v>0</v>
      </c>
      <c r="U17" s="31">
        <v>13</v>
      </c>
      <c r="V17" s="20">
        <f t="shared" si="0"/>
        <v>1560</v>
      </c>
      <c r="W17" s="20">
        <f t="shared" si="1"/>
        <v>715</v>
      </c>
      <c r="Y17" s="31">
        <v>13</v>
      </c>
      <c r="Z17" s="31">
        <v>13</v>
      </c>
    </row>
    <row r="18" spans="2:26" x14ac:dyDescent="0.25">
      <c r="B18" s="19" t="s">
        <v>60</v>
      </c>
      <c r="C18" s="19" t="s">
        <v>389</v>
      </c>
      <c r="D18" s="19" t="s">
        <v>501</v>
      </c>
      <c r="E18" s="20">
        <v>88</v>
      </c>
      <c r="F18" s="20">
        <v>74</v>
      </c>
      <c r="G18" s="20">
        <v>55</v>
      </c>
      <c r="H18" s="20">
        <v>39</v>
      </c>
      <c r="J18" s="29"/>
      <c r="K18" s="34"/>
      <c r="M18" s="21" t="s">
        <v>36</v>
      </c>
      <c r="N18" s="21" t="s">
        <v>390</v>
      </c>
      <c r="O18" s="19" t="s">
        <v>501</v>
      </c>
      <c r="P18" s="22">
        <v>850</v>
      </c>
      <c r="Q18" s="22">
        <v>0</v>
      </c>
      <c r="R18" s="23">
        <v>160</v>
      </c>
      <c r="S18" s="24">
        <v>0</v>
      </c>
      <c r="U18" s="31">
        <v>14</v>
      </c>
      <c r="V18" s="20">
        <f t="shared" si="0"/>
        <v>1680</v>
      </c>
      <c r="W18" s="20">
        <f t="shared" si="1"/>
        <v>770</v>
      </c>
      <c r="Y18" s="31">
        <v>14</v>
      </c>
      <c r="Z18" s="31">
        <v>14</v>
      </c>
    </row>
    <row r="19" spans="2:26" x14ac:dyDescent="0.25">
      <c r="B19" s="19" t="s">
        <v>49</v>
      </c>
      <c r="C19" s="19" t="s">
        <v>406</v>
      </c>
      <c r="D19" s="19" t="s">
        <v>501</v>
      </c>
      <c r="E19" s="20">
        <v>280</v>
      </c>
      <c r="F19" s="20">
        <v>214</v>
      </c>
      <c r="G19" s="20">
        <v>162</v>
      </c>
      <c r="H19" s="20">
        <v>131</v>
      </c>
      <c r="J19" s="29"/>
      <c r="K19" s="29"/>
      <c r="M19" s="21" t="s">
        <v>50</v>
      </c>
      <c r="N19" s="21" t="s">
        <v>391</v>
      </c>
      <c r="O19" s="19" t="s">
        <v>501</v>
      </c>
      <c r="P19" s="22">
        <v>850</v>
      </c>
      <c r="Q19" s="22">
        <v>0</v>
      </c>
      <c r="R19" s="23">
        <v>140</v>
      </c>
      <c r="S19" s="24">
        <v>0</v>
      </c>
      <c r="U19" s="31">
        <v>15</v>
      </c>
      <c r="V19" s="20">
        <f>((U19-$U$18)*70)+$V$18</f>
        <v>1750</v>
      </c>
      <c r="W19" s="20">
        <f t="shared" ref="W19:W64" si="2">((U19-$U$18)*40)+$W$18</f>
        <v>810</v>
      </c>
      <c r="Y19" s="31">
        <v>15</v>
      </c>
      <c r="Z19" s="31">
        <v>15</v>
      </c>
    </row>
    <row r="20" spans="2:26" x14ac:dyDescent="0.25">
      <c r="B20" s="19" t="s">
        <v>36</v>
      </c>
      <c r="C20" s="19" t="s">
        <v>390</v>
      </c>
      <c r="D20" s="19" t="s">
        <v>501</v>
      </c>
      <c r="E20" s="20">
        <v>294</v>
      </c>
      <c r="F20" s="20">
        <v>241</v>
      </c>
      <c r="G20" s="20">
        <v>190</v>
      </c>
      <c r="H20" s="20">
        <v>157</v>
      </c>
      <c r="J20" s="29"/>
      <c r="K20" s="34"/>
      <c r="M20" s="21" t="s">
        <v>61</v>
      </c>
      <c r="N20" s="21" t="s">
        <v>392</v>
      </c>
      <c r="O20" s="19" t="s">
        <v>501</v>
      </c>
      <c r="P20" s="22">
        <v>750</v>
      </c>
      <c r="Q20" s="22">
        <v>0</v>
      </c>
      <c r="R20" s="23">
        <v>120</v>
      </c>
      <c r="S20" s="24">
        <v>0</v>
      </c>
      <c r="U20" s="31">
        <v>16</v>
      </c>
      <c r="V20" s="20">
        <f t="shared" ref="V20:V64" si="3">((U20-$U$18)*70)+$V$18</f>
        <v>1820</v>
      </c>
      <c r="W20" s="20">
        <f t="shared" si="2"/>
        <v>850</v>
      </c>
      <c r="Y20" s="31">
        <v>16</v>
      </c>
      <c r="Z20" s="31">
        <v>16</v>
      </c>
    </row>
    <row r="21" spans="2:26" x14ac:dyDescent="0.25">
      <c r="B21" s="19" t="s">
        <v>50</v>
      </c>
      <c r="C21" s="19" t="s">
        <v>391</v>
      </c>
      <c r="D21" s="19" t="s">
        <v>501</v>
      </c>
      <c r="E21" s="20">
        <v>280</v>
      </c>
      <c r="F21" s="20">
        <v>214</v>
      </c>
      <c r="G21" s="20">
        <v>162</v>
      </c>
      <c r="H21" s="20">
        <v>131</v>
      </c>
      <c r="K21" s="34"/>
      <c r="M21" s="21" t="s">
        <v>62</v>
      </c>
      <c r="N21" s="21" t="s">
        <v>393</v>
      </c>
      <c r="O21" s="19" t="s">
        <v>501</v>
      </c>
      <c r="P21" s="22">
        <v>750</v>
      </c>
      <c r="Q21" s="22">
        <v>0</v>
      </c>
      <c r="R21" s="23">
        <v>100</v>
      </c>
      <c r="S21" s="24">
        <v>0</v>
      </c>
      <c r="U21" s="31">
        <v>17</v>
      </c>
      <c r="V21" s="20">
        <f t="shared" si="3"/>
        <v>1890</v>
      </c>
      <c r="W21" s="20">
        <f t="shared" si="2"/>
        <v>890</v>
      </c>
      <c r="Y21" s="31">
        <v>17</v>
      </c>
      <c r="Z21" s="31">
        <v>17</v>
      </c>
    </row>
    <row r="22" spans="2:26" x14ac:dyDescent="0.25">
      <c r="B22" s="19" t="s">
        <v>61</v>
      </c>
      <c r="C22" s="19" t="s">
        <v>392</v>
      </c>
      <c r="D22" s="19" t="s">
        <v>501</v>
      </c>
      <c r="E22" s="20">
        <v>88</v>
      </c>
      <c r="F22" s="20">
        <v>74</v>
      </c>
      <c r="G22" s="20">
        <v>55</v>
      </c>
      <c r="H22" s="20">
        <v>39</v>
      </c>
      <c r="M22" s="21" t="s">
        <v>304</v>
      </c>
      <c r="N22" s="21" t="s">
        <v>394</v>
      </c>
      <c r="O22" s="19" t="s">
        <v>501</v>
      </c>
      <c r="P22" s="22">
        <v>800</v>
      </c>
      <c r="Q22" s="22">
        <v>0</v>
      </c>
      <c r="R22" s="23">
        <v>140</v>
      </c>
      <c r="S22" s="24">
        <v>0</v>
      </c>
      <c r="U22" s="31">
        <v>18</v>
      </c>
      <c r="V22" s="20">
        <f t="shared" si="3"/>
        <v>1960</v>
      </c>
      <c r="W22" s="20">
        <f t="shared" si="2"/>
        <v>930</v>
      </c>
      <c r="Y22" s="31">
        <v>18</v>
      </c>
      <c r="Z22" s="31">
        <v>18</v>
      </c>
    </row>
    <row r="23" spans="2:26" x14ac:dyDescent="0.25">
      <c r="B23" s="19" t="s">
        <v>42</v>
      </c>
      <c r="C23" s="19" t="s">
        <v>407</v>
      </c>
      <c r="D23" s="19" t="s">
        <v>501</v>
      </c>
      <c r="E23" s="20">
        <v>294</v>
      </c>
      <c r="F23" s="20">
        <v>241</v>
      </c>
      <c r="G23" s="20">
        <v>190</v>
      </c>
      <c r="H23" s="20">
        <v>157</v>
      </c>
      <c r="M23" s="21" t="s">
        <v>54</v>
      </c>
      <c r="N23" s="21" t="s">
        <v>395</v>
      </c>
      <c r="O23" s="19" t="s">
        <v>501</v>
      </c>
      <c r="P23" s="22">
        <v>750</v>
      </c>
      <c r="Q23" s="22">
        <v>0</v>
      </c>
      <c r="R23" s="23">
        <v>120</v>
      </c>
      <c r="S23" s="24">
        <v>0</v>
      </c>
      <c r="U23" s="31">
        <v>19</v>
      </c>
      <c r="V23" s="20">
        <f t="shared" si="3"/>
        <v>2030</v>
      </c>
      <c r="W23" s="20">
        <f t="shared" si="2"/>
        <v>970</v>
      </c>
      <c r="Y23" s="31">
        <v>19</v>
      </c>
      <c r="Z23" s="31">
        <v>19</v>
      </c>
    </row>
    <row r="24" spans="2:26" x14ac:dyDescent="0.25">
      <c r="B24" s="19" t="s">
        <v>62</v>
      </c>
      <c r="C24" s="19" t="s">
        <v>393</v>
      </c>
      <c r="D24" s="19" t="s">
        <v>501</v>
      </c>
      <c r="E24" s="20">
        <v>88</v>
      </c>
      <c r="F24" s="20">
        <v>74</v>
      </c>
      <c r="G24" s="20">
        <v>55</v>
      </c>
      <c r="H24" s="20">
        <v>39</v>
      </c>
      <c r="M24" s="21" t="s">
        <v>43</v>
      </c>
      <c r="N24" s="21" t="s">
        <v>396</v>
      </c>
      <c r="O24" s="19" t="s">
        <v>501</v>
      </c>
      <c r="P24" s="22">
        <v>800</v>
      </c>
      <c r="Q24" s="22">
        <v>0</v>
      </c>
      <c r="R24" s="23">
        <v>160</v>
      </c>
      <c r="S24" s="24">
        <v>0</v>
      </c>
      <c r="U24" s="31">
        <v>20</v>
      </c>
      <c r="V24" s="20">
        <f t="shared" si="3"/>
        <v>2100</v>
      </c>
      <c r="W24" s="20">
        <f t="shared" si="2"/>
        <v>1010</v>
      </c>
      <c r="Y24" s="31">
        <v>20</v>
      </c>
      <c r="Z24" s="31">
        <v>20</v>
      </c>
    </row>
    <row r="25" spans="2:26" x14ac:dyDescent="0.25">
      <c r="B25" s="19" t="s">
        <v>304</v>
      </c>
      <c r="C25" s="19" t="s">
        <v>394</v>
      </c>
      <c r="D25" s="19" t="s">
        <v>501</v>
      </c>
      <c r="E25" s="20">
        <v>294</v>
      </c>
      <c r="F25" s="20">
        <v>241</v>
      </c>
      <c r="G25" s="20">
        <v>190</v>
      </c>
      <c r="H25" s="20">
        <v>157</v>
      </c>
      <c r="M25" s="21" t="s">
        <v>63</v>
      </c>
      <c r="N25" s="21" t="s">
        <v>397</v>
      </c>
      <c r="O25" s="19" t="s">
        <v>501</v>
      </c>
      <c r="P25" s="22">
        <v>750</v>
      </c>
      <c r="Q25" s="22">
        <v>0</v>
      </c>
      <c r="R25" s="23">
        <v>140</v>
      </c>
      <c r="S25" s="24">
        <v>0</v>
      </c>
      <c r="U25" s="31">
        <v>21</v>
      </c>
      <c r="V25" s="20">
        <f t="shared" si="3"/>
        <v>2170</v>
      </c>
      <c r="W25" s="20">
        <f t="shared" si="2"/>
        <v>1050</v>
      </c>
      <c r="Y25" s="31">
        <v>21</v>
      </c>
      <c r="Z25" s="31">
        <v>21</v>
      </c>
    </row>
    <row r="26" spans="2:26" x14ac:dyDescent="0.25">
      <c r="B26" s="19" t="s">
        <v>54</v>
      </c>
      <c r="C26" s="19" t="s">
        <v>395</v>
      </c>
      <c r="D26" s="19" t="s">
        <v>501</v>
      </c>
      <c r="E26" s="20">
        <v>164</v>
      </c>
      <c r="F26" s="20">
        <v>137</v>
      </c>
      <c r="G26" s="20">
        <v>102</v>
      </c>
      <c r="H26" s="20">
        <v>78</v>
      </c>
      <c r="M26" s="21" t="s">
        <v>55</v>
      </c>
      <c r="N26" s="21" t="s">
        <v>398</v>
      </c>
      <c r="O26" s="19" t="s">
        <v>501</v>
      </c>
      <c r="P26" s="22">
        <v>800</v>
      </c>
      <c r="Q26" s="22">
        <v>0</v>
      </c>
      <c r="R26" s="23">
        <v>120</v>
      </c>
      <c r="S26" s="24">
        <v>0</v>
      </c>
      <c r="U26" s="31">
        <v>22</v>
      </c>
      <c r="V26" s="20">
        <f t="shared" si="3"/>
        <v>2240</v>
      </c>
      <c r="W26" s="20">
        <f t="shared" si="2"/>
        <v>1090</v>
      </c>
      <c r="Y26" s="31">
        <v>22</v>
      </c>
      <c r="Z26" s="31">
        <v>22</v>
      </c>
    </row>
    <row r="27" spans="2:26" x14ac:dyDescent="0.25">
      <c r="B27" s="19" t="s">
        <v>43</v>
      </c>
      <c r="C27" s="19" t="s">
        <v>396</v>
      </c>
      <c r="D27" s="19" t="s">
        <v>501</v>
      </c>
      <c r="E27" s="20">
        <v>294</v>
      </c>
      <c r="F27" s="20">
        <v>241</v>
      </c>
      <c r="G27" s="20">
        <v>190</v>
      </c>
      <c r="H27" s="20">
        <v>157</v>
      </c>
      <c r="M27" s="21" t="s">
        <v>64</v>
      </c>
      <c r="N27" s="21" t="s">
        <v>399</v>
      </c>
      <c r="O27" s="19" t="s">
        <v>501</v>
      </c>
      <c r="P27" s="22">
        <v>750</v>
      </c>
      <c r="Q27" s="22">
        <v>0</v>
      </c>
      <c r="R27" s="23">
        <v>140</v>
      </c>
      <c r="S27" s="24">
        <v>0</v>
      </c>
      <c r="U27" s="31">
        <v>23</v>
      </c>
      <c r="V27" s="20">
        <f t="shared" si="3"/>
        <v>2310</v>
      </c>
      <c r="W27" s="20">
        <f t="shared" si="2"/>
        <v>1130</v>
      </c>
      <c r="Y27" s="31">
        <v>23</v>
      </c>
      <c r="Z27" s="31">
        <v>23</v>
      </c>
    </row>
    <row r="28" spans="2:26" x14ac:dyDescent="0.25">
      <c r="B28" s="19" t="s">
        <v>44</v>
      </c>
      <c r="C28" s="19" t="s">
        <v>408</v>
      </c>
      <c r="D28" s="19" t="s">
        <v>501</v>
      </c>
      <c r="E28" s="20">
        <v>294</v>
      </c>
      <c r="F28" s="20">
        <v>241</v>
      </c>
      <c r="G28" s="20">
        <v>190</v>
      </c>
      <c r="H28" s="20">
        <v>157</v>
      </c>
      <c r="M28" s="21" t="s">
        <v>341</v>
      </c>
      <c r="N28" s="21" t="s">
        <v>400</v>
      </c>
      <c r="O28" s="19" t="s">
        <v>501</v>
      </c>
      <c r="P28" s="22">
        <v>750</v>
      </c>
      <c r="Q28" s="22">
        <v>0</v>
      </c>
      <c r="R28" s="23">
        <v>120</v>
      </c>
      <c r="S28" s="24">
        <v>0</v>
      </c>
      <c r="U28" s="31">
        <v>24</v>
      </c>
      <c r="V28" s="20">
        <f t="shared" si="3"/>
        <v>2380</v>
      </c>
      <c r="W28" s="20">
        <f t="shared" si="2"/>
        <v>1170</v>
      </c>
      <c r="Y28" s="31">
        <v>24</v>
      </c>
      <c r="Z28" s="31">
        <v>24</v>
      </c>
    </row>
    <row r="29" spans="2:26" x14ac:dyDescent="0.25">
      <c r="B29" s="19" t="s">
        <v>63</v>
      </c>
      <c r="C29" s="19" t="s">
        <v>397</v>
      </c>
      <c r="D29" s="19" t="s">
        <v>501</v>
      </c>
      <c r="E29" s="20">
        <v>88</v>
      </c>
      <c r="F29" s="20">
        <v>74</v>
      </c>
      <c r="G29" s="20">
        <v>55</v>
      </c>
      <c r="H29" s="20">
        <v>39</v>
      </c>
      <c r="M29" s="21" t="s">
        <v>56</v>
      </c>
      <c r="N29" s="21" t="s">
        <v>401</v>
      </c>
      <c r="O29" s="19" t="s">
        <v>501</v>
      </c>
      <c r="P29" s="22">
        <v>800</v>
      </c>
      <c r="Q29" s="22">
        <v>0</v>
      </c>
      <c r="R29" s="23">
        <v>100</v>
      </c>
      <c r="S29" s="24">
        <v>0</v>
      </c>
      <c r="U29" s="31">
        <v>25</v>
      </c>
      <c r="V29" s="20">
        <f t="shared" si="3"/>
        <v>2450</v>
      </c>
      <c r="W29" s="20">
        <f t="shared" si="2"/>
        <v>1210</v>
      </c>
      <c r="Y29" s="31">
        <v>25</v>
      </c>
      <c r="Z29" s="31">
        <v>25</v>
      </c>
    </row>
    <row r="30" spans="2:26" x14ac:dyDescent="0.25">
      <c r="B30" s="19" t="s">
        <v>55</v>
      </c>
      <c r="C30" s="19" t="s">
        <v>398</v>
      </c>
      <c r="D30" s="19" t="s">
        <v>501</v>
      </c>
      <c r="E30" s="20">
        <v>164</v>
      </c>
      <c r="F30" s="20">
        <v>137</v>
      </c>
      <c r="G30" s="20">
        <v>102</v>
      </c>
      <c r="H30" s="20">
        <v>78</v>
      </c>
      <c r="M30" s="21" t="s">
        <v>57</v>
      </c>
      <c r="N30" s="21" t="s">
        <v>402</v>
      </c>
      <c r="O30" s="19" t="s">
        <v>501</v>
      </c>
      <c r="P30" s="22">
        <v>800</v>
      </c>
      <c r="Q30" s="22">
        <v>0</v>
      </c>
      <c r="R30" s="23">
        <v>120</v>
      </c>
      <c r="S30" s="24">
        <v>0</v>
      </c>
      <c r="U30" s="31">
        <v>26</v>
      </c>
      <c r="V30" s="20">
        <f t="shared" si="3"/>
        <v>2520</v>
      </c>
      <c r="W30" s="20">
        <f t="shared" si="2"/>
        <v>1250</v>
      </c>
      <c r="Y30" s="31">
        <v>26</v>
      </c>
      <c r="Z30" s="31">
        <v>26</v>
      </c>
    </row>
    <row r="31" spans="2:26" x14ac:dyDescent="0.25">
      <c r="B31" s="19" t="s">
        <v>64</v>
      </c>
      <c r="C31" s="19" t="s">
        <v>399</v>
      </c>
      <c r="D31" s="19" t="s">
        <v>501</v>
      </c>
      <c r="E31" s="20">
        <v>88</v>
      </c>
      <c r="F31" s="20">
        <v>74</v>
      </c>
      <c r="G31" s="20">
        <v>55</v>
      </c>
      <c r="H31" s="20">
        <v>39</v>
      </c>
      <c r="M31" s="21" t="s">
        <v>45</v>
      </c>
      <c r="N31" s="21" t="s">
        <v>403</v>
      </c>
      <c r="O31" s="19" t="s">
        <v>501</v>
      </c>
      <c r="P31" s="22">
        <v>850</v>
      </c>
      <c r="Q31" s="22">
        <v>0</v>
      </c>
      <c r="R31" s="23">
        <v>160</v>
      </c>
      <c r="S31" s="24">
        <v>0</v>
      </c>
      <c r="U31" s="31">
        <v>27</v>
      </c>
      <c r="V31" s="20">
        <f t="shared" si="3"/>
        <v>2590</v>
      </c>
      <c r="W31" s="20">
        <f t="shared" si="2"/>
        <v>1290</v>
      </c>
      <c r="Y31" s="31">
        <v>27</v>
      </c>
      <c r="Z31" s="31">
        <v>27</v>
      </c>
    </row>
    <row r="32" spans="2:26" x14ac:dyDescent="0.25">
      <c r="B32" s="19" t="s">
        <v>341</v>
      </c>
      <c r="C32" s="19" t="s">
        <v>400</v>
      </c>
      <c r="D32" s="19" t="s">
        <v>501</v>
      </c>
      <c r="E32" s="20">
        <v>88</v>
      </c>
      <c r="F32" s="20">
        <v>74</v>
      </c>
      <c r="G32" s="20">
        <v>55</v>
      </c>
      <c r="H32" s="20">
        <v>39</v>
      </c>
      <c r="M32" s="21" t="s">
        <v>51</v>
      </c>
      <c r="N32" s="21" t="s">
        <v>404</v>
      </c>
      <c r="O32" s="19" t="s">
        <v>501</v>
      </c>
      <c r="P32" s="22">
        <v>850</v>
      </c>
      <c r="Q32" s="22">
        <v>0</v>
      </c>
      <c r="R32" s="23">
        <v>160</v>
      </c>
      <c r="S32" s="24">
        <v>0</v>
      </c>
      <c r="U32" s="31">
        <v>28</v>
      </c>
      <c r="V32" s="20">
        <f t="shared" si="3"/>
        <v>2660</v>
      </c>
      <c r="W32" s="20">
        <f t="shared" si="2"/>
        <v>1330</v>
      </c>
      <c r="Y32" s="31">
        <v>28</v>
      </c>
      <c r="Z32" s="31">
        <v>28</v>
      </c>
    </row>
    <row r="33" spans="2:26" x14ac:dyDescent="0.25">
      <c r="B33" s="19" t="s">
        <v>56</v>
      </c>
      <c r="C33" s="19" t="s">
        <v>401</v>
      </c>
      <c r="D33" s="19" t="s">
        <v>501</v>
      </c>
      <c r="E33" s="20">
        <v>164</v>
      </c>
      <c r="F33" s="20">
        <v>137</v>
      </c>
      <c r="G33" s="20">
        <v>102</v>
      </c>
      <c r="H33" s="20">
        <v>78</v>
      </c>
      <c r="M33" s="21" t="s">
        <v>359</v>
      </c>
      <c r="N33" s="21" t="s">
        <v>405</v>
      </c>
      <c r="O33" s="19" t="s">
        <v>501</v>
      </c>
      <c r="P33" s="22">
        <v>750</v>
      </c>
      <c r="Q33" s="22">
        <v>0</v>
      </c>
      <c r="R33" s="23">
        <v>120</v>
      </c>
      <c r="S33" s="24">
        <v>0</v>
      </c>
      <c r="U33" s="31">
        <v>29</v>
      </c>
      <c r="V33" s="20">
        <f t="shared" si="3"/>
        <v>2730</v>
      </c>
      <c r="W33" s="20">
        <f t="shared" si="2"/>
        <v>1370</v>
      </c>
      <c r="Y33" s="31">
        <v>29</v>
      </c>
      <c r="Z33" s="31">
        <v>29</v>
      </c>
    </row>
    <row r="34" spans="2:26" x14ac:dyDescent="0.25">
      <c r="B34" s="19" t="s">
        <v>57</v>
      </c>
      <c r="C34" s="19" t="s">
        <v>402</v>
      </c>
      <c r="D34" s="19" t="s">
        <v>501</v>
      </c>
      <c r="E34" s="20">
        <v>164</v>
      </c>
      <c r="F34" s="20">
        <v>137</v>
      </c>
      <c r="G34" s="20">
        <v>102</v>
      </c>
      <c r="H34" s="20">
        <v>78</v>
      </c>
      <c r="M34" s="21" t="s">
        <v>49</v>
      </c>
      <c r="N34" s="21" t="s">
        <v>406</v>
      </c>
      <c r="O34" s="19" t="s">
        <v>501</v>
      </c>
      <c r="P34" s="22">
        <v>800</v>
      </c>
      <c r="Q34" s="22">
        <v>0</v>
      </c>
      <c r="R34" s="23">
        <v>140</v>
      </c>
      <c r="S34" s="24">
        <v>0</v>
      </c>
      <c r="U34" s="31">
        <v>30</v>
      </c>
      <c r="V34" s="20">
        <f t="shared" si="3"/>
        <v>2800</v>
      </c>
      <c r="W34" s="20">
        <f t="shared" si="2"/>
        <v>1410</v>
      </c>
      <c r="Y34" s="31">
        <v>30</v>
      </c>
      <c r="Z34" s="31">
        <v>30</v>
      </c>
    </row>
    <row r="35" spans="2:26" x14ac:dyDescent="0.25">
      <c r="B35" s="19" t="s">
        <v>45</v>
      </c>
      <c r="C35" s="19" t="s">
        <v>403</v>
      </c>
      <c r="D35" s="19" t="s">
        <v>501</v>
      </c>
      <c r="E35" s="20">
        <v>294</v>
      </c>
      <c r="F35" s="20">
        <v>241</v>
      </c>
      <c r="G35" s="20">
        <v>190</v>
      </c>
      <c r="H35" s="20">
        <v>157</v>
      </c>
      <c r="M35" s="21" t="s">
        <v>42</v>
      </c>
      <c r="N35" s="21" t="s">
        <v>407</v>
      </c>
      <c r="O35" s="19" t="s">
        <v>501</v>
      </c>
      <c r="P35" s="22">
        <v>850</v>
      </c>
      <c r="Q35" s="22">
        <v>0</v>
      </c>
      <c r="R35" s="23">
        <v>140</v>
      </c>
      <c r="S35" s="24">
        <v>0</v>
      </c>
      <c r="U35" s="31">
        <v>31</v>
      </c>
      <c r="V35" s="20">
        <f t="shared" si="3"/>
        <v>2870</v>
      </c>
      <c r="W35" s="20">
        <f t="shared" si="2"/>
        <v>1450</v>
      </c>
      <c r="Y35" s="31">
        <v>31</v>
      </c>
      <c r="Z35" s="31">
        <v>31</v>
      </c>
    </row>
    <row r="36" spans="2:26" x14ac:dyDescent="0.25">
      <c r="B36" s="19" t="s">
        <v>51</v>
      </c>
      <c r="C36" s="19" t="s">
        <v>404</v>
      </c>
      <c r="D36" s="19" t="s">
        <v>501</v>
      </c>
      <c r="E36" s="20">
        <v>280</v>
      </c>
      <c r="F36" s="20">
        <v>214</v>
      </c>
      <c r="G36" s="20">
        <v>162</v>
      </c>
      <c r="H36" s="20">
        <v>131</v>
      </c>
      <c r="M36" s="21" t="s">
        <v>44</v>
      </c>
      <c r="N36" s="21" t="s">
        <v>408</v>
      </c>
      <c r="O36" s="19" t="s">
        <v>501</v>
      </c>
      <c r="P36" s="22">
        <v>850</v>
      </c>
      <c r="Q36" s="22">
        <v>0</v>
      </c>
      <c r="R36" s="23">
        <v>140</v>
      </c>
      <c r="S36" s="24">
        <v>0</v>
      </c>
      <c r="U36" s="31">
        <v>32</v>
      </c>
      <c r="V36" s="20">
        <f t="shared" si="3"/>
        <v>2940</v>
      </c>
      <c r="W36" s="20">
        <f t="shared" si="2"/>
        <v>1490</v>
      </c>
      <c r="Y36" s="31">
        <v>32</v>
      </c>
      <c r="Z36" s="31">
        <v>32</v>
      </c>
    </row>
    <row r="37" spans="2:26" x14ac:dyDescent="0.25">
      <c r="B37" s="19" t="s">
        <v>65</v>
      </c>
      <c r="C37" s="19" t="s">
        <v>409</v>
      </c>
      <c r="D37" s="19" t="s">
        <v>501</v>
      </c>
      <c r="E37" s="20">
        <v>88</v>
      </c>
      <c r="F37" s="20">
        <v>74</v>
      </c>
      <c r="G37" s="20">
        <v>55</v>
      </c>
      <c r="H37" s="20">
        <v>39</v>
      </c>
      <c r="M37" s="21" t="s">
        <v>65</v>
      </c>
      <c r="N37" s="21" t="s">
        <v>409</v>
      </c>
      <c r="O37" s="19" t="s">
        <v>501</v>
      </c>
      <c r="P37" s="22">
        <v>800</v>
      </c>
      <c r="Q37" s="22">
        <v>0</v>
      </c>
      <c r="R37" s="23">
        <v>140</v>
      </c>
      <c r="S37" s="24">
        <v>0</v>
      </c>
      <c r="U37" s="31">
        <v>33</v>
      </c>
      <c r="V37" s="20">
        <f t="shared" si="3"/>
        <v>3010</v>
      </c>
      <c r="W37" s="20">
        <f t="shared" si="2"/>
        <v>1530</v>
      </c>
      <c r="Y37" s="31">
        <v>33</v>
      </c>
      <c r="Z37" s="31">
        <v>33</v>
      </c>
    </row>
    <row r="38" spans="2:26" x14ac:dyDescent="0.25">
      <c r="B38" s="19" t="s">
        <v>11</v>
      </c>
      <c r="C38" s="19" t="s">
        <v>410</v>
      </c>
      <c r="D38" s="19" t="s">
        <v>502</v>
      </c>
      <c r="E38" s="20">
        <v>77</v>
      </c>
      <c r="F38" s="20">
        <v>57</v>
      </c>
      <c r="G38" s="20">
        <v>40</v>
      </c>
      <c r="H38" s="20">
        <v>32</v>
      </c>
      <c r="M38" s="21" t="s">
        <v>67</v>
      </c>
      <c r="N38" s="21" t="s">
        <v>411</v>
      </c>
      <c r="O38" s="19" t="s">
        <v>502</v>
      </c>
      <c r="P38" s="22">
        <v>750</v>
      </c>
      <c r="Q38" s="22">
        <v>650</v>
      </c>
      <c r="R38" s="23">
        <v>100</v>
      </c>
      <c r="S38" s="24">
        <v>160</v>
      </c>
      <c r="U38" s="31">
        <v>34</v>
      </c>
      <c r="V38" s="20">
        <f t="shared" si="3"/>
        <v>3080</v>
      </c>
      <c r="W38" s="20">
        <f t="shared" si="2"/>
        <v>1570</v>
      </c>
      <c r="Y38" s="31">
        <v>34</v>
      </c>
      <c r="Z38" s="31">
        <v>34</v>
      </c>
    </row>
    <row r="39" spans="2:26" x14ac:dyDescent="0.25">
      <c r="B39" s="19" t="s">
        <v>67</v>
      </c>
      <c r="C39" s="19" t="s">
        <v>411</v>
      </c>
      <c r="D39" s="19" t="s">
        <v>502</v>
      </c>
      <c r="E39" s="20">
        <v>108</v>
      </c>
      <c r="F39" s="20">
        <v>80</v>
      </c>
      <c r="G39" s="20">
        <v>57</v>
      </c>
      <c r="H39" s="20">
        <v>45</v>
      </c>
      <c r="M39" s="21" t="s">
        <v>68</v>
      </c>
      <c r="N39" s="21" t="s">
        <v>412</v>
      </c>
      <c r="O39" s="19" t="s">
        <v>502</v>
      </c>
      <c r="P39" s="22">
        <v>750</v>
      </c>
      <c r="Q39" s="22">
        <v>650</v>
      </c>
      <c r="R39" s="23">
        <v>100</v>
      </c>
      <c r="S39" s="24">
        <v>160</v>
      </c>
      <c r="U39" s="31">
        <v>35</v>
      </c>
      <c r="V39" s="20">
        <f t="shared" si="3"/>
        <v>3150</v>
      </c>
      <c r="W39" s="20">
        <f t="shared" si="2"/>
        <v>1610</v>
      </c>
      <c r="Y39" s="31">
        <v>35</v>
      </c>
      <c r="Z39" s="31">
        <v>35</v>
      </c>
    </row>
    <row r="40" spans="2:26" x14ac:dyDescent="0.25">
      <c r="B40" s="19" t="s">
        <v>68</v>
      </c>
      <c r="C40" s="19" t="s">
        <v>412</v>
      </c>
      <c r="D40" s="19" t="s">
        <v>502</v>
      </c>
      <c r="E40" s="20">
        <v>47</v>
      </c>
      <c r="F40" s="20">
        <v>33</v>
      </c>
      <c r="G40" s="20">
        <v>22</v>
      </c>
      <c r="H40" s="20">
        <v>17</v>
      </c>
      <c r="M40" s="21" t="s">
        <v>70</v>
      </c>
      <c r="N40" s="21" t="s">
        <v>414</v>
      </c>
      <c r="O40" s="19" t="s">
        <v>502</v>
      </c>
      <c r="P40" s="22">
        <v>750</v>
      </c>
      <c r="Q40" s="22">
        <v>650</v>
      </c>
      <c r="R40" s="23">
        <v>100</v>
      </c>
      <c r="S40" s="24">
        <v>160</v>
      </c>
      <c r="U40" s="31">
        <v>36</v>
      </c>
      <c r="V40" s="20">
        <f t="shared" si="3"/>
        <v>3220</v>
      </c>
      <c r="W40" s="20">
        <f t="shared" si="2"/>
        <v>1650</v>
      </c>
      <c r="Y40" s="31">
        <v>36</v>
      </c>
      <c r="Z40" s="31">
        <v>36</v>
      </c>
    </row>
    <row r="41" spans="2:26" x14ac:dyDescent="0.25">
      <c r="B41" s="19" t="s">
        <v>69</v>
      </c>
      <c r="C41" s="19" t="s">
        <v>413</v>
      </c>
      <c r="D41" s="19" t="s">
        <v>502</v>
      </c>
      <c r="E41" s="20">
        <v>108</v>
      </c>
      <c r="F41" s="20">
        <v>80</v>
      </c>
      <c r="G41" s="20">
        <v>57</v>
      </c>
      <c r="H41" s="20">
        <v>45</v>
      </c>
      <c r="M41" s="21" t="s">
        <v>71</v>
      </c>
      <c r="N41" s="21" t="s">
        <v>415</v>
      </c>
      <c r="O41" s="19" t="s">
        <v>502</v>
      </c>
      <c r="P41" s="22">
        <v>750</v>
      </c>
      <c r="Q41" s="22">
        <v>650</v>
      </c>
      <c r="R41" s="23">
        <v>100</v>
      </c>
      <c r="S41" s="24">
        <v>160</v>
      </c>
      <c r="U41" s="31">
        <v>37</v>
      </c>
      <c r="V41" s="20">
        <f t="shared" si="3"/>
        <v>3290</v>
      </c>
      <c r="W41" s="20">
        <f t="shared" si="2"/>
        <v>1690</v>
      </c>
      <c r="Y41" s="31">
        <v>37</v>
      </c>
      <c r="Z41" s="31">
        <v>37</v>
      </c>
    </row>
    <row r="42" spans="2:26" x14ac:dyDescent="0.25">
      <c r="B42" s="19" t="s">
        <v>70</v>
      </c>
      <c r="C42" s="19" t="s">
        <v>414</v>
      </c>
      <c r="D42" s="19" t="s">
        <v>502</v>
      </c>
      <c r="E42" s="20">
        <v>47</v>
      </c>
      <c r="F42" s="20">
        <v>33</v>
      </c>
      <c r="G42" s="20">
        <v>22</v>
      </c>
      <c r="H42" s="20">
        <v>17</v>
      </c>
      <c r="M42" s="21" t="s">
        <v>74</v>
      </c>
      <c r="N42" s="21" t="s">
        <v>417</v>
      </c>
      <c r="O42" s="19" t="s">
        <v>502</v>
      </c>
      <c r="P42" s="22">
        <v>750</v>
      </c>
      <c r="Q42" s="22">
        <v>650</v>
      </c>
      <c r="R42" s="23">
        <v>100</v>
      </c>
      <c r="S42" s="24">
        <v>160</v>
      </c>
      <c r="U42" s="31">
        <v>38</v>
      </c>
      <c r="V42" s="20">
        <f t="shared" si="3"/>
        <v>3360</v>
      </c>
      <c r="W42" s="20">
        <f t="shared" si="2"/>
        <v>1730</v>
      </c>
      <c r="Y42" s="31">
        <v>38</v>
      </c>
      <c r="Z42" s="31">
        <v>38</v>
      </c>
    </row>
    <row r="43" spans="2:26" x14ac:dyDescent="0.25">
      <c r="B43" s="19" t="s">
        <v>71</v>
      </c>
      <c r="C43" s="19" t="s">
        <v>415</v>
      </c>
      <c r="D43" s="19" t="s">
        <v>502</v>
      </c>
      <c r="E43" s="20">
        <v>77</v>
      </c>
      <c r="F43" s="20">
        <v>57</v>
      </c>
      <c r="G43" s="20">
        <v>40</v>
      </c>
      <c r="H43" s="20">
        <v>32</v>
      </c>
      <c r="M43" s="21" t="s">
        <v>77</v>
      </c>
      <c r="N43" s="21" t="s">
        <v>420</v>
      </c>
      <c r="O43" s="19" t="s">
        <v>502</v>
      </c>
      <c r="P43" s="22">
        <v>750</v>
      </c>
      <c r="Q43" s="22">
        <v>650</v>
      </c>
      <c r="R43" s="23">
        <v>100</v>
      </c>
      <c r="S43" s="24">
        <v>160</v>
      </c>
      <c r="U43" s="31">
        <v>39</v>
      </c>
      <c r="V43" s="20">
        <f t="shared" si="3"/>
        <v>3430</v>
      </c>
      <c r="W43" s="20">
        <f t="shared" si="2"/>
        <v>1770</v>
      </c>
      <c r="Y43" s="31">
        <v>39</v>
      </c>
      <c r="Z43" s="31">
        <v>39</v>
      </c>
    </row>
    <row r="44" spans="2:26" x14ac:dyDescent="0.25">
      <c r="B44" s="19" t="s">
        <v>72</v>
      </c>
      <c r="C44" s="19" t="s">
        <v>416</v>
      </c>
      <c r="D44" s="19" t="s">
        <v>502</v>
      </c>
      <c r="E44" s="20">
        <v>47</v>
      </c>
      <c r="F44" s="20">
        <v>33</v>
      </c>
      <c r="G44" s="20">
        <v>22</v>
      </c>
      <c r="H44" s="20">
        <v>17</v>
      </c>
      <c r="M44" s="21" t="s">
        <v>85</v>
      </c>
      <c r="N44" s="21" t="s">
        <v>429</v>
      </c>
      <c r="O44" s="19" t="s">
        <v>502</v>
      </c>
      <c r="P44" s="22">
        <v>750</v>
      </c>
      <c r="Q44" s="22">
        <v>650</v>
      </c>
      <c r="R44" s="23">
        <v>100</v>
      </c>
      <c r="S44" s="24">
        <v>160</v>
      </c>
      <c r="U44" s="31">
        <v>40</v>
      </c>
      <c r="V44" s="20">
        <f t="shared" si="3"/>
        <v>3500</v>
      </c>
      <c r="W44" s="20">
        <f t="shared" si="2"/>
        <v>1810</v>
      </c>
      <c r="Y44" s="31">
        <v>40</v>
      </c>
      <c r="Z44" s="31">
        <v>40</v>
      </c>
    </row>
    <row r="45" spans="2:26" x14ac:dyDescent="0.25">
      <c r="B45" s="19" t="s">
        <v>74</v>
      </c>
      <c r="C45" s="19" t="s">
        <v>417</v>
      </c>
      <c r="D45" s="19" t="s">
        <v>502</v>
      </c>
      <c r="E45" s="20">
        <v>47</v>
      </c>
      <c r="F45" s="20">
        <v>33</v>
      </c>
      <c r="G45" s="20">
        <v>22</v>
      </c>
      <c r="H45" s="20">
        <v>17</v>
      </c>
      <c r="M45" s="21" t="s">
        <v>87</v>
      </c>
      <c r="N45" s="21" t="s">
        <v>431</v>
      </c>
      <c r="O45" s="19" t="s">
        <v>502</v>
      </c>
      <c r="P45" s="22">
        <v>750</v>
      </c>
      <c r="Q45" s="22">
        <v>650</v>
      </c>
      <c r="R45" s="23">
        <v>100</v>
      </c>
      <c r="S45" s="24">
        <v>160</v>
      </c>
      <c r="U45" s="31">
        <v>41</v>
      </c>
      <c r="V45" s="20">
        <f t="shared" si="3"/>
        <v>3570</v>
      </c>
      <c r="W45" s="20">
        <f t="shared" si="2"/>
        <v>1850</v>
      </c>
      <c r="Y45" s="31">
        <v>41</v>
      </c>
      <c r="Z45" s="31">
        <v>41</v>
      </c>
    </row>
    <row r="46" spans="2:26" x14ac:dyDescent="0.25">
      <c r="B46" s="19" t="s">
        <v>75</v>
      </c>
      <c r="C46" s="19" t="s">
        <v>418</v>
      </c>
      <c r="D46" s="19" t="s">
        <v>502</v>
      </c>
      <c r="E46" s="20">
        <v>47</v>
      </c>
      <c r="F46" s="20">
        <v>33</v>
      </c>
      <c r="G46" s="20">
        <v>22</v>
      </c>
      <c r="H46" s="20">
        <v>17</v>
      </c>
      <c r="M46" s="21" t="s">
        <v>66</v>
      </c>
      <c r="N46" s="21" t="s">
        <v>438</v>
      </c>
      <c r="O46" s="19" t="s">
        <v>502</v>
      </c>
      <c r="P46" s="22">
        <v>750</v>
      </c>
      <c r="Q46" s="22">
        <v>650</v>
      </c>
      <c r="R46" s="23">
        <v>100</v>
      </c>
      <c r="S46" s="24">
        <v>160</v>
      </c>
      <c r="U46" s="31">
        <v>42</v>
      </c>
      <c r="V46" s="20">
        <f t="shared" si="3"/>
        <v>3640</v>
      </c>
      <c r="W46" s="20">
        <f t="shared" si="2"/>
        <v>1890</v>
      </c>
      <c r="Y46" s="31">
        <v>42</v>
      </c>
      <c r="Z46" s="31">
        <v>42</v>
      </c>
    </row>
    <row r="47" spans="2:26" x14ac:dyDescent="0.25">
      <c r="B47" s="19" t="s">
        <v>76</v>
      </c>
      <c r="C47" s="19" t="s">
        <v>419</v>
      </c>
      <c r="D47" s="19" t="s">
        <v>502</v>
      </c>
      <c r="E47" s="20">
        <v>77</v>
      </c>
      <c r="F47" s="20">
        <v>57</v>
      </c>
      <c r="G47" s="20">
        <v>40</v>
      </c>
      <c r="H47" s="20">
        <v>32</v>
      </c>
      <c r="M47" s="21" t="s">
        <v>94</v>
      </c>
      <c r="N47" s="21" t="s">
        <v>439</v>
      </c>
      <c r="O47" s="19" t="s">
        <v>502</v>
      </c>
      <c r="P47" s="22">
        <v>750</v>
      </c>
      <c r="Q47" s="22">
        <v>650</v>
      </c>
      <c r="R47" s="23">
        <v>100</v>
      </c>
      <c r="S47" s="24">
        <v>160</v>
      </c>
      <c r="U47" s="31">
        <v>43</v>
      </c>
      <c r="V47" s="20">
        <f t="shared" si="3"/>
        <v>3710</v>
      </c>
      <c r="W47" s="20">
        <f t="shared" si="2"/>
        <v>1930</v>
      </c>
      <c r="Y47" s="31">
        <v>43</v>
      </c>
      <c r="Z47" s="31">
        <v>43</v>
      </c>
    </row>
    <row r="48" spans="2:26" x14ac:dyDescent="0.25">
      <c r="B48" s="19" t="s">
        <v>77</v>
      </c>
      <c r="C48" s="19" t="s">
        <v>420</v>
      </c>
      <c r="D48" s="19" t="s">
        <v>502</v>
      </c>
      <c r="E48" s="20">
        <v>108</v>
      </c>
      <c r="F48" s="20">
        <v>80</v>
      </c>
      <c r="G48" s="20">
        <v>57</v>
      </c>
      <c r="H48" s="20">
        <v>45</v>
      </c>
      <c r="M48" s="21" t="s">
        <v>360</v>
      </c>
      <c r="N48" s="21" t="s">
        <v>442</v>
      </c>
      <c r="O48" s="19" t="s">
        <v>502</v>
      </c>
      <c r="P48" s="22">
        <v>750</v>
      </c>
      <c r="Q48" s="22">
        <v>650</v>
      </c>
      <c r="R48" s="23">
        <v>100</v>
      </c>
      <c r="S48" s="24">
        <v>160</v>
      </c>
      <c r="U48" s="31">
        <v>44</v>
      </c>
      <c r="V48" s="20">
        <f t="shared" si="3"/>
        <v>3780</v>
      </c>
      <c r="W48" s="20">
        <f t="shared" si="2"/>
        <v>1970</v>
      </c>
      <c r="Y48" s="31">
        <v>44</v>
      </c>
      <c r="Z48" s="31">
        <v>44</v>
      </c>
    </row>
    <row r="49" spans="2:26" x14ac:dyDescent="0.25">
      <c r="B49" s="19" t="s">
        <v>78</v>
      </c>
      <c r="C49" s="19" t="s">
        <v>421</v>
      </c>
      <c r="D49" s="19" t="s">
        <v>502</v>
      </c>
      <c r="E49" s="20">
        <v>108</v>
      </c>
      <c r="F49" s="20">
        <v>80</v>
      </c>
      <c r="G49" s="20">
        <v>57</v>
      </c>
      <c r="H49" s="20">
        <v>45</v>
      </c>
      <c r="M49" s="21" t="s">
        <v>98</v>
      </c>
      <c r="N49" s="21" t="s">
        <v>445</v>
      </c>
      <c r="O49" s="19" t="s">
        <v>502</v>
      </c>
      <c r="P49" s="22">
        <v>750</v>
      </c>
      <c r="Q49" s="22">
        <v>650</v>
      </c>
      <c r="R49" s="23">
        <v>100</v>
      </c>
      <c r="S49" s="24">
        <v>160</v>
      </c>
      <c r="U49" s="31">
        <v>45</v>
      </c>
      <c r="V49" s="20">
        <f t="shared" si="3"/>
        <v>3850</v>
      </c>
      <c r="W49" s="20">
        <f t="shared" si="2"/>
        <v>2010</v>
      </c>
      <c r="Y49" s="31">
        <v>45</v>
      </c>
      <c r="Z49" s="31">
        <v>45</v>
      </c>
    </row>
    <row r="50" spans="2:26" x14ac:dyDescent="0.25">
      <c r="B50" s="19" t="s">
        <v>79</v>
      </c>
      <c r="C50" s="19" t="s">
        <v>422</v>
      </c>
      <c r="D50" s="19" t="s">
        <v>502</v>
      </c>
      <c r="E50" s="20">
        <v>47</v>
      </c>
      <c r="F50" s="20">
        <v>33</v>
      </c>
      <c r="G50" s="20">
        <v>22</v>
      </c>
      <c r="H50" s="20">
        <v>17</v>
      </c>
      <c r="M50" s="21" t="s">
        <v>99</v>
      </c>
      <c r="N50" s="21" t="s">
        <v>446</v>
      </c>
      <c r="O50" s="19" t="s">
        <v>502</v>
      </c>
      <c r="P50" s="22">
        <v>750</v>
      </c>
      <c r="Q50" s="22">
        <v>650</v>
      </c>
      <c r="R50" s="23">
        <v>100</v>
      </c>
      <c r="S50" s="24">
        <v>160</v>
      </c>
      <c r="U50" s="31">
        <v>46</v>
      </c>
      <c r="V50" s="20">
        <f t="shared" si="3"/>
        <v>3920</v>
      </c>
      <c r="W50" s="20">
        <f t="shared" si="2"/>
        <v>2050</v>
      </c>
      <c r="Y50" s="31">
        <v>46</v>
      </c>
      <c r="Z50" s="31">
        <v>46</v>
      </c>
    </row>
    <row r="51" spans="2:26" x14ac:dyDescent="0.25">
      <c r="B51" s="19" t="s">
        <v>73</v>
      </c>
      <c r="C51" s="19" t="s">
        <v>423</v>
      </c>
      <c r="D51" s="19" t="s">
        <v>502</v>
      </c>
      <c r="E51" s="20">
        <v>108</v>
      </c>
      <c r="F51" s="20">
        <v>80</v>
      </c>
      <c r="G51" s="20">
        <v>57</v>
      </c>
      <c r="H51" s="20">
        <v>45</v>
      </c>
      <c r="M51" s="21" t="s">
        <v>103</v>
      </c>
      <c r="N51" s="21" t="s">
        <v>450</v>
      </c>
      <c r="O51" s="19" t="s">
        <v>502</v>
      </c>
      <c r="P51" s="22">
        <v>750</v>
      </c>
      <c r="Q51" s="22">
        <v>650</v>
      </c>
      <c r="R51" s="23">
        <v>100</v>
      </c>
      <c r="S51" s="24">
        <v>160</v>
      </c>
      <c r="U51" s="31">
        <v>47</v>
      </c>
      <c r="V51" s="20">
        <f t="shared" si="3"/>
        <v>3990</v>
      </c>
      <c r="W51" s="20">
        <f t="shared" si="2"/>
        <v>2090</v>
      </c>
      <c r="Y51" s="31">
        <v>47</v>
      </c>
      <c r="Z51" s="31">
        <v>47</v>
      </c>
    </row>
    <row r="52" spans="2:26" x14ac:dyDescent="0.25">
      <c r="B52" s="19" t="s">
        <v>80</v>
      </c>
      <c r="C52" s="19" t="s">
        <v>424</v>
      </c>
      <c r="D52" s="19" t="s">
        <v>502</v>
      </c>
      <c r="E52" s="20">
        <v>77</v>
      </c>
      <c r="F52" s="20">
        <v>57</v>
      </c>
      <c r="G52" s="20">
        <v>40</v>
      </c>
      <c r="H52" s="20">
        <v>32</v>
      </c>
      <c r="M52" s="21" t="s">
        <v>105</v>
      </c>
      <c r="N52" s="21" t="s">
        <v>452</v>
      </c>
      <c r="O52" s="19" t="s">
        <v>502</v>
      </c>
      <c r="P52" s="22">
        <v>750</v>
      </c>
      <c r="Q52" s="22">
        <v>650</v>
      </c>
      <c r="R52" s="23">
        <v>100</v>
      </c>
      <c r="S52" s="24">
        <v>160</v>
      </c>
      <c r="U52" s="31">
        <v>48</v>
      </c>
      <c r="V52" s="20">
        <f t="shared" si="3"/>
        <v>4060</v>
      </c>
      <c r="W52" s="20">
        <f t="shared" si="2"/>
        <v>2130</v>
      </c>
      <c r="Y52" s="31">
        <v>48</v>
      </c>
      <c r="Z52" s="31">
        <v>48</v>
      </c>
    </row>
    <row r="53" spans="2:26" x14ac:dyDescent="0.25">
      <c r="B53" s="19" t="s">
        <v>81</v>
      </c>
      <c r="C53" s="19" t="s">
        <v>425</v>
      </c>
      <c r="D53" s="19" t="s">
        <v>502</v>
      </c>
      <c r="E53" s="20">
        <v>108</v>
      </c>
      <c r="F53" s="20">
        <v>80</v>
      </c>
      <c r="G53" s="20">
        <v>57</v>
      </c>
      <c r="H53" s="20">
        <v>45</v>
      </c>
      <c r="M53" s="21" t="s">
        <v>106</v>
      </c>
      <c r="N53" s="21" t="s">
        <v>453</v>
      </c>
      <c r="O53" s="19" t="s">
        <v>502</v>
      </c>
      <c r="P53" s="22">
        <v>750</v>
      </c>
      <c r="Q53" s="22">
        <v>650</v>
      </c>
      <c r="R53" s="23">
        <v>100</v>
      </c>
      <c r="S53" s="24">
        <v>160</v>
      </c>
      <c r="U53" s="31">
        <v>49</v>
      </c>
      <c r="V53" s="20">
        <f t="shared" si="3"/>
        <v>4130</v>
      </c>
      <c r="W53" s="20">
        <f t="shared" si="2"/>
        <v>2170</v>
      </c>
      <c r="Y53" s="31">
        <v>49</v>
      </c>
      <c r="Z53" s="31">
        <v>49</v>
      </c>
    </row>
    <row r="54" spans="2:26" x14ac:dyDescent="0.25">
      <c r="B54" s="19" t="s">
        <v>82</v>
      </c>
      <c r="C54" s="19" t="s">
        <v>426</v>
      </c>
      <c r="D54" s="19" t="s">
        <v>502</v>
      </c>
      <c r="E54" s="20">
        <v>77</v>
      </c>
      <c r="F54" s="20">
        <v>57</v>
      </c>
      <c r="G54" s="20">
        <v>40</v>
      </c>
      <c r="H54" s="20">
        <v>32</v>
      </c>
      <c r="M54" s="21" t="s">
        <v>358</v>
      </c>
      <c r="N54" s="21" t="s">
        <v>458</v>
      </c>
      <c r="O54" s="19" t="s">
        <v>502</v>
      </c>
      <c r="P54" s="22">
        <v>750</v>
      </c>
      <c r="Q54" s="22">
        <v>650</v>
      </c>
      <c r="R54" s="23">
        <v>100</v>
      </c>
      <c r="S54" s="24">
        <v>160</v>
      </c>
      <c r="U54" s="31">
        <v>50</v>
      </c>
      <c r="V54" s="20">
        <f t="shared" si="3"/>
        <v>4200</v>
      </c>
      <c r="W54" s="20">
        <f t="shared" si="2"/>
        <v>2210</v>
      </c>
      <c r="Y54" s="31">
        <v>50</v>
      </c>
      <c r="Z54" s="31">
        <v>50</v>
      </c>
    </row>
    <row r="55" spans="2:26" x14ac:dyDescent="0.25">
      <c r="B55" s="19" t="s">
        <v>83</v>
      </c>
      <c r="C55" s="19" t="s">
        <v>427</v>
      </c>
      <c r="D55" s="19" t="s">
        <v>502</v>
      </c>
      <c r="E55" s="20">
        <v>47</v>
      </c>
      <c r="F55" s="20">
        <v>33</v>
      </c>
      <c r="G55" s="20">
        <v>22</v>
      </c>
      <c r="H55" s="20">
        <v>17</v>
      </c>
      <c r="M55" s="21" t="s">
        <v>113</v>
      </c>
      <c r="N55" s="21" t="s">
        <v>463</v>
      </c>
      <c r="O55" s="19" t="s">
        <v>502</v>
      </c>
      <c r="P55" s="22">
        <v>750</v>
      </c>
      <c r="Q55" s="22">
        <v>650</v>
      </c>
      <c r="R55" s="23">
        <v>100</v>
      </c>
      <c r="S55" s="24">
        <v>160</v>
      </c>
      <c r="U55" s="31">
        <v>51</v>
      </c>
      <c r="V55" s="20">
        <f t="shared" si="3"/>
        <v>4270</v>
      </c>
      <c r="W55" s="20">
        <f t="shared" si="2"/>
        <v>2250</v>
      </c>
      <c r="Y55" s="31">
        <v>51</v>
      </c>
      <c r="Z55" s="31">
        <v>51</v>
      </c>
    </row>
    <row r="56" spans="2:26" x14ac:dyDescent="0.25">
      <c r="B56" s="19" t="s">
        <v>84</v>
      </c>
      <c r="C56" s="19" t="s">
        <v>428</v>
      </c>
      <c r="D56" s="19" t="s">
        <v>502</v>
      </c>
      <c r="E56" s="20">
        <v>77</v>
      </c>
      <c r="F56" s="20">
        <v>57</v>
      </c>
      <c r="G56" s="20">
        <v>40</v>
      </c>
      <c r="H56" s="20">
        <v>32</v>
      </c>
      <c r="M56" s="21" t="s">
        <v>116</v>
      </c>
      <c r="N56" s="21" t="s">
        <v>466</v>
      </c>
      <c r="O56" s="19" t="s">
        <v>502</v>
      </c>
      <c r="P56" s="22">
        <v>750</v>
      </c>
      <c r="Q56" s="22">
        <v>650</v>
      </c>
      <c r="R56" s="23">
        <v>100</v>
      </c>
      <c r="S56" s="24">
        <v>160</v>
      </c>
      <c r="U56" s="31">
        <v>52</v>
      </c>
      <c r="V56" s="20">
        <f t="shared" si="3"/>
        <v>4340</v>
      </c>
      <c r="W56" s="20">
        <f t="shared" si="2"/>
        <v>2290</v>
      </c>
      <c r="Y56" s="31">
        <v>52</v>
      </c>
      <c r="Z56" s="31">
        <v>52</v>
      </c>
    </row>
    <row r="57" spans="2:26" x14ac:dyDescent="0.25">
      <c r="B57" s="19" t="s">
        <v>85</v>
      </c>
      <c r="C57" s="19" t="s">
        <v>429</v>
      </c>
      <c r="D57" s="19" t="s">
        <v>502</v>
      </c>
      <c r="E57" s="20">
        <v>47</v>
      </c>
      <c r="F57" s="20">
        <v>33</v>
      </c>
      <c r="G57" s="20">
        <v>22</v>
      </c>
      <c r="H57" s="20">
        <v>17</v>
      </c>
      <c r="M57" s="21" t="s">
        <v>119</v>
      </c>
      <c r="N57" s="21" t="s">
        <v>469</v>
      </c>
      <c r="O57" s="19" t="s">
        <v>502</v>
      </c>
      <c r="P57" s="22">
        <v>750</v>
      </c>
      <c r="Q57" s="22">
        <v>650</v>
      </c>
      <c r="R57" s="23">
        <v>100</v>
      </c>
      <c r="S57" s="24">
        <v>160</v>
      </c>
      <c r="U57" s="31">
        <v>53</v>
      </c>
      <c r="V57" s="20">
        <f t="shared" si="3"/>
        <v>4410</v>
      </c>
      <c r="W57" s="20">
        <f t="shared" si="2"/>
        <v>2330</v>
      </c>
      <c r="Y57" s="31">
        <v>53</v>
      </c>
      <c r="Z57" s="31">
        <v>53</v>
      </c>
    </row>
    <row r="58" spans="2:26" x14ac:dyDescent="0.25">
      <c r="B58" s="19" t="s">
        <v>86</v>
      </c>
      <c r="C58" s="19" t="s">
        <v>430</v>
      </c>
      <c r="D58" s="19" t="s">
        <v>502</v>
      </c>
      <c r="E58" s="20">
        <v>77</v>
      </c>
      <c r="F58" s="20">
        <v>57</v>
      </c>
      <c r="G58" s="20">
        <v>40</v>
      </c>
      <c r="H58" s="20">
        <v>32</v>
      </c>
      <c r="M58" s="21" t="s">
        <v>472</v>
      </c>
      <c r="N58" s="21" t="s">
        <v>471</v>
      </c>
      <c r="O58" s="19" t="s">
        <v>502</v>
      </c>
      <c r="P58" s="22">
        <v>750</v>
      </c>
      <c r="Q58" s="22">
        <v>650</v>
      </c>
      <c r="R58" s="23">
        <v>100</v>
      </c>
      <c r="S58" s="24">
        <v>160</v>
      </c>
      <c r="U58" s="31">
        <v>54</v>
      </c>
      <c r="V58" s="20">
        <f t="shared" si="3"/>
        <v>4480</v>
      </c>
      <c r="W58" s="20">
        <f t="shared" si="2"/>
        <v>2370</v>
      </c>
      <c r="Y58" s="31">
        <v>54</v>
      </c>
      <c r="Z58" s="31">
        <v>54</v>
      </c>
    </row>
    <row r="59" spans="2:26" x14ac:dyDescent="0.25">
      <c r="B59" s="19" t="s">
        <v>87</v>
      </c>
      <c r="C59" s="19" t="s">
        <v>431</v>
      </c>
      <c r="D59" s="19" t="s">
        <v>502</v>
      </c>
      <c r="E59" s="20">
        <v>77</v>
      </c>
      <c r="F59" s="20">
        <v>57</v>
      </c>
      <c r="G59" s="20">
        <v>40</v>
      </c>
      <c r="H59" s="20">
        <v>32</v>
      </c>
      <c r="U59" s="31">
        <v>55</v>
      </c>
      <c r="V59" s="20">
        <f t="shared" si="3"/>
        <v>4550</v>
      </c>
      <c r="W59" s="20">
        <f t="shared" si="2"/>
        <v>2410</v>
      </c>
      <c r="Y59" s="31">
        <v>55</v>
      </c>
      <c r="Z59" s="31">
        <v>55</v>
      </c>
    </row>
    <row r="60" spans="2:26" x14ac:dyDescent="0.25">
      <c r="B60" s="19" t="s">
        <v>88</v>
      </c>
      <c r="C60" s="19" t="s">
        <v>432</v>
      </c>
      <c r="D60" s="19" t="s">
        <v>502</v>
      </c>
      <c r="E60" s="20">
        <v>77</v>
      </c>
      <c r="F60" s="20">
        <v>57</v>
      </c>
      <c r="G60" s="20">
        <v>40</v>
      </c>
      <c r="H60" s="20">
        <v>32</v>
      </c>
      <c r="U60" s="31">
        <v>56</v>
      </c>
      <c r="V60" s="20">
        <f t="shared" si="3"/>
        <v>4620</v>
      </c>
      <c r="W60" s="20">
        <f t="shared" si="2"/>
        <v>2450</v>
      </c>
      <c r="Y60" s="31">
        <v>56</v>
      </c>
      <c r="Z60" s="31">
        <v>56</v>
      </c>
    </row>
    <row r="61" spans="2:26" x14ac:dyDescent="0.25">
      <c r="B61" s="19" t="s">
        <v>89</v>
      </c>
      <c r="C61" s="19" t="s">
        <v>433</v>
      </c>
      <c r="D61" s="19" t="s">
        <v>502</v>
      </c>
      <c r="E61" s="20">
        <v>47</v>
      </c>
      <c r="F61" s="20">
        <v>33</v>
      </c>
      <c r="G61" s="20">
        <v>22</v>
      </c>
      <c r="H61" s="20">
        <v>17</v>
      </c>
      <c r="U61" s="31">
        <v>57</v>
      </c>
      <c r="V61" s="20">
        <f t="shared" si="3"/>
        <v>4690</v>
      </c>
      <c r="W61" s="20">
        <f t="shared" si="2"/>
        <v>2490</v>
      </c>
      <c r="Y61" s="31">
        <v>57</v>
      </c>
      <c r="Z61" s="31">
        <v>57</v>
      </c>
    </row>
    <row r="62" spans="2:26" x14ac:dyDescent="0.25">
      <c r="B62" s="19" t="s">
        <v>90</v>
      </c>
      <c r="C62" s="19" t="s">
        <v>434</v>
      </c>
      <c r="D62" s="19" t="s">
        <v>502</v>
      </c>
      <c r="E62" s="20">
        <v>47</v>
      </c>
      <c r="F62" s="20">
        <v>33</v>
      </c>
      <c r="G62" s="20">
        <v>22</v>
      </c>
      <c r="H62" s="20">
        <v>17</v>
      </c>
      <c r="U62" s="31">
        <v>58</v>
      </c>
      <c r="V62" s="20">
        <f t="shared" si="3"/>
        <v>4760</v>
      </c>
      <c r="W62" s="20">
        <f t="shared" si="2"/>
        <v>2530</v>
      </c>
      <c r="Y62" s="31">
        <v>58</v>
      </c>
      <c r="Z62" s="31">
        <v>58</v>
      </c>
    </row>
    <row r="63" spans="2:26" x14ac:dyDescent="0.25">
      <c r="B63" s="19" t="s">
        <v>91</v>
      </c>
      <c r="C63" s="19" t="s">
        <v>435</v>
      </c>
      <c r="D63" s="19" t="s">
        <v>502</v>
      </c>
      <c r="E63" s="20">
        <v>47</v>
      </c>
      <c r="F63" s="20">
        <v>33</v>
      </c>
      <c r="G63" s="20">
        <v>22</v>
      </c>
      <c r="H63" s="20">
        <v>17</v>
      </c>
      <c r="U63" s="31">
        <v>59</v>
      </c>
      <c r="V63" s="20">
        <f t="shared" si="3"/>
        <v>4830</v>
      </c>
      <c r="W63" s="20">
        <f t="shared" si="2"/>
        <v>2570</v>
      </c>
      <c r="Y63" s="31">
        <v>59</v>
      </c>
      <c r="Z63" s="31">
        <v>59</v>
      </c>
    </row>
    <row r="64" spans="2:26" x14ac:dyDescent="0.25">
      <c r="B64" s="19" t="s">
        <v>92</v>
      </c>
      <c r="C64" s="19" t="s">
        <v>436</v>
      </c>
      <c r="D64" s="19" t="s">
        <v>502</v>
      </c>
      <c r="E64" s="20">
        <v>77</v>
      </c>
      <c r="F64" s="20">
        <v>57</v>
      </c>
      <c r="G64" s="20">
        <v>40</v>
      </c>
      <c r="H64" s="20">
        <v>32</v>
      </c>
      <c r="U64" s="31">
        <v>60</v>
      </c>
      <c r="V64" s="20">
        <f t="shared" si="3"/>
        <v>4900</v>
      </c>
      <c r="W64" s="20">
        <f t="shared" si="2"/>
        <v>2610</v>
      </c>
      <c r="Y64" s="31">
        <v>60</v>
      </c>
      <c r="Z64" s="31">
        <v>60</v>
      </c>
    </row>
    <row r="65" spans="2:26" x14ac:dyDescent="0.25">
      <c r="B65" s="19" t="s">
        <v>93</v>
      </c>
      <c r="C65" s="19" t="s">
        <v>437</v>
      </c>
      <c r="D65" s="19" t="s">
        <v>502</v>
      </c>
      <c r="E65" s="20">
        <v>77</v>
      </c>
      <c r="F65" s="20">
        <v>57</v>
      </c>
      <c r="G65" s="20">
        <v>40</v>
      </c>
      <c r="H65" s="20">
        <v>32</v>
      </c>
      <c r="U65" s="31">
        <v>61</v>
      </c>
      <c r="V65" s="20">
        <f>((U65-$U$64)*50)+$V$64</f>
        <v>4950</v>
      </c>
      <c r="Y65" s="31">
        <v>61</v>
      </c>
      <c r="Z65" s="33"/>
    </row>
    <row r="66" spans="2:26" x14ac:dyDescent="0.25">
      <c r="B66" s="19" t="s">
        <v>66</v>
      </c>
      <c r="C66" s="19" t="s">
        <v>438</v>
      </c>
      <c r="D66" s="19" t="s">
        <v>502</v>
      </c>
      <c r="E66" s="20">
        <v>166</v>
      </c>
      <c r="F66" s="20">
        <v>132</v>
      </c>
      <c r="G66" s="20">
        <v>102</v>
      </c>
      <c r="H66" s="20">
        <v>92</v>
      </c>
      <c r="U66" s="31">
        <v>62</v>
      </c>
      <c r="V66" s="20">
        <f t="shared" ref="V66:V129" si="4">((U66-$U$64)*50)+$V$64</f>
        <v>5000</v>
      </c>
      <c r="Y66" s="31">
        <v>62</v>
      </c>
      <c r="Z66" s="33"/>
    </row>
    <row r="67" spans="2:26" x14ac:dyDescent="0.25">
      <c r="B67" s="19" t="s">
        <v>94</v>
      </c>
      <c r="C67" s="19" t="s">
        <v>439</v>
      </c>
      <c r="D67" s="19" t="s">
        <v>502</v>
      </c>
      <c r="E67" s="20">
        <v>77</v>
      </c>
      <c r="F67" s="20">
        <v>57</v>
      </c>
      <c r="G67" s="20">
        <v>40</v>
      </c>
      <c r="H67" s="20">
        <v>32</v>
      </c>
      <c r="U67" s="31">
        <v>63</v>
      </c>
      <c r="V67" s="20">
        <f t="shared" si="4"/>
        <v>5050</v>
      </c>
      <c r="Y67" s="31">
        <v>63</v>
      </c>
      <c r="Z67" s="33"/>
    </row>
    <row r="68" spans="2:26" x14ac:dyDescent="0.25">
      <c r="B68" s="19" t="s">
        <v>95</v>
      </c>
      <c r="C68" s="19" t="s">
        <v>440</v>
      </c>
      <c r="D68" s="19" t="s">
        <v>502</v>
      </c>
      <c r="E68" s="20">
        <v>77</v>
      </c>
      <c r="F68" s="20">
        <v>57</v>
      </c>
      <c r="G68" s="20">
        <v>40</v>
      </c>
      <c r="H68" s="20">
        <v>32</v>
      </c>
      <c r="U68" s="31">
        <v>64</v>
      </c>
      <c r="V68" s="20">
        <f t="shared" si="4"/>
        <v>5100</v>
      </c>
      <c r="Y68" s="31">
        <v>64</v>
      </c>
      <c r="Z68" s="33"/>
    </row>
    <row r="69" spans="2:26" x14ac:dyDescent="0.25">
      <c r="B69" s="19" t="s">
        <v>530</v>
      </c>
      <c r="C69" s="19" t="s">
        <v>441</v>
      </c>
      <c r="D69" s="19" t="s">
        <v>502</v>
      </c>
      <c r="E69" s="20">
        <v>47</v>
      </c>
      <c r="F69" s="20">
        <v>33</v>
      </c>
      <c r="G69" s="20">
        <v>22</v>
      </c>
      <c r="H69" s="20">
        <v>17</v>
      </c>
      <c r="U69" s="31">
        <v>65</v>
      </c>
      <c r="V69" s="20">
        <f t="shared" si="4"/>
        <v>5150</v>
      </c>
      <c r="Y69" s="31">
        <v>65</v>
      </c>
      <c r="Z69" s="33"/>
    </row>
    <row r="70" spans="2:26" x14ac:dyDescent="0.25">
      <c r="B70" s="19" t="s">
        <v>360</v>
      </c>
      <c r="C70" s="19" t="s">
        <v>442</v>
      </c>
      <c r="D70" s="19" t="s">
        <v>502</v>
      </c>
      <c r="E70" s="20">
        <v>108</v>
      </c>
      <c r="F70" s="20">
        <v>80</v>
      </c>
      <c r="G70" s="20">
        <v>57</v>
      </c>
      <c r="H70" s="20">
        <v>45</v>
      </c>
      <c r="U70" s="31">
        <v>66</v>
      </c>
      <c r="V70" s="20">
        <f t="shared" si="4"/>
        <v>5200</v>
      </c>
      <c r="Y70" s="31">
        <v>66</v>
      </c>
      <c r="Z70" s="33"/>
    </row>
    <row r="71" spans="2:26" x14ac:dyDescent="0.25">
      <c r="B71" s="19" t="s">
        <v>96</v>
      </c>
      <c r="C71" s="19" t="s">
        <v>443</v>
      </c>
      <c r="D71" s="19" t="s">
        <v>502</v>
      </c>
      <c r="E71" s="20">
        <v>47</v>
      </c>
      <c r="F71" s="20">
        <v>33</v>
      </c>
      <c r="G71" s="20">
        <v>22</v>
      </c>
      <c r="H71" s="20">
        <v>17</v>
      </c>
      <c r="U71" s="31">
        <v>67</v>
      </c>
      <c r="V71" s="20">
        <f t="shared" si="4"/>
        <v>5250</v>
      </c>
      <c r="Y71" s="31">
        <v>67</v>
      </c>
      <c r="Z71" s="33"/>
    </row>
    <row r="72" spans="2:26" x14ac:dyDescent="0.25">
      <c r="B72" s="19" t="s">
        <v>97</v>
      </c>
      <c r="C72" s="19" t="s">
        <v>444</v>
      </c>
      <c r="D72" s="19" t="s">
        <v>502</v>
      </c>
      <c r="E72" s="20">
        <v>47</v>
      </c>
      <c r="F72" s="20">
        <v>33</v>
      </c>
      <c r="G72" s="20">
        <v>22</v>
      </c>
      <c r="H72" s="20">
        <v>17</v>
      </c>
      <c r="U72" s="31">
        <v>68</v>
      </c>
      <c r="V72" s="20">
        <f t="shared" si="4"/>
        <v>5300</v>
      </c>
      <c r="Y72" s="31">
        <v>68</v>
      </c>
      <c r="Z72" s="33"/>
    </row>
    <row r="73" spans="2:26" x14ac:dyDescent="0.25">
      <c r="B73" s="19" t="s">
        <v>98</v>
      </c>
      <c r="C73" s="19" t="s">
        <v>445</v>
      </c>
      <c r="D73" s="19" t="s">
        <v>502</v>
      </c>
      <c r="E73" s="20">
        <v>108</v>
      </c>
      <c r="F73" s="20">
        <v>80</v>
      </c>
      <c r="G73" s="20">
        <v>57</v>
      </c>
      <c r="H73" s="20">
        <v>45</v>
      </c>
      <c r="U73" s="31">
        <v>69</v>
      </c>
      <c r="V73" s="20">
        <f t="shared" si="4"/>
        <v>5350</v>
      </c>
      <c r="Y73" s="31">
        <v>69</v>
      </c>
      <c r="Z73" s="33"/>
    </row>
    <row r="74" spans="2:26" x14ac:dyDescent="0.25">
      <c r="B74" s="19" t="s">
        <v>99</v>
      </c>
      <c r="C74" s="19" t="s">
        <v>446</v>
      </c>
      <c r="D74" s="19" t="s">
        <v>502</v>
      </c>
      <c r="E74" s="20">
        <v>108</v>
      </c>
      <c r="F74" s="20">
        <v>80</v>
      </c>
      <c r="G74" s="20">
        <v>57</v>
      </c>
      <c r="H74" s="20">
        <v>45</v>
      </c>
      <c r="U74" s="31">
        <v>70</v>
      </c>
      <c r="V74" s="20">
        <f t="shared" si="4"/>
        <v>5400</v>
      </c>
      <c r="Y74" s="31">
        <v>70</v>
      </c>
      <c r="Z74" s="33"/>
    </row>
    <row r="75" spans="2:26" x14ac:dyDescent="0.25">
      <c r="B75" s="19" t="s">
        <v>100</v>
      </c>
      <c r="C75" s="19" t="s">
        <v>447</v>
      </c>
      <c r="D75" s="19" t="s">
        <v>502</v>
      </c>
      <c r="E75" s="20">
        <v>47</v>
      </c>
      <c r="F75" s="20">
        <v>33</v>
      </c>
      <c r="G75" s="20">
        <v>22</v>
      </c>
      <c r="H75" s="20">
        <v>17</v>
      </c>
      <c r="U75" s="31">
        <v>71</v>
      </c>
      <c r="V75" s="20">
        <f t="shared" si="4"/>
        <v>5450</v>
      </c>
      <c r="Y75" s="31">
        <v>71</v>
      </c>
      <c r="Z75" s="33"/>
    </row>
    <row r="76" spans="2:26" x14ac:dyDescent="0.25">
      <c r="B76" s="19" t="s">
        <v>101</v>
      </c>
      <c r="C76" s="19" t="s">
        <v>448</v>
      </c>
      <c r="D76" s="19" t="s">
        <v>502</v>
      </c>
      <c r="E76" s="20">
        <v>47</v>
      </c>
      <c r="F76" s="20">
        <v>33</v>
      </c>
      <c r="G76" s="20">
        <v>22</v>
      </c>
      <c r="H76" s="20">
        <v>17</v>
      </c>
      <c r="U76" s="31">
        <v>72</v>
      </c>
      <c r="V76" s="20">
        <f t="shared" si="4"/>
        <v>5500</v>
      </c>
      <c r="Y76" s="31">
        <v>72</v>
      </c>
      <c r="Z76" s="33"/>
    </row>
    <row r="77" spans="2:26" x14ac:dyDescent="0.25">
      <c r="B77" s="19" t="s">
        <v>102</v>
      </c>
      <c r="C77" s="19" t="s">
        <v>449</v>
      </c>
      <c r="D77" s="19" t="s">
        <v>502</v>
      </c>
      <c r="E77" s="20">
        <v>108</v>
      </c>
      <c r="F77" s="20">
        <v>80</v>
      </c>
      <c r="G77" s="20">
        <v>57</v>
      </c>
      <c r="H77" s="20">
        <v>45</v>
      </c>
      <c r="U77" s="31">
        <v>73</v>
      </c>
      <c r="V77" s="20">
        <f t="shared" si="4"/>
        <v>5550</v>
      </c>
      <c r="Y77" s="31">
        <v>73</v>
      </c>
      <c r="Z77" s="33"/>
    </row>
    <row r="78" spans="2:26" x14ac:dyDescent="0.25">
      <c r="B78" s="19" t="s">
        <v>103</v>
      </c>
      <c r="C78" s="19" t="s">
        <v>450</v>
      </c>
      <c r="D78" s="19" t="s">
        <v>502</v>
      </c>
      <c r="E78" s="20">
        <v>47</v>
      </c>
      <c r="F78" s="20">
        <v>33</v>
      </c>
      <c r="G78" s="20">
        <v>22</v>
      </c>
      <c r="H78" s="20">
        <v>17</v>
      </c>
      <c r="U78" s="31">
        <v>74</v>
      </c>
      <c r="V78" s="20">
        <f t="shared" si="4"/>
        <v>5600</v>
      </c>
      <c r="Y78" s="31">
        <v>74</v>
      </c>
      <c r="Z78" s="33"/>
    </row>
    <row r="79" spans="2:26" x14ac:dyDescent="0.25">
      <c r="B79" s="19" t="s">
        <v>104</v>
      </c>
      <c r="C79" s="19" t="s">
        <v>451</v>
      </c>
      <c r="D79" s="19" t="s">
        <v>502</v>
      </c>
      <c r="E79" s="20">
        <v>47</v>
      </c>
      <c r="F79" s="20">
        <v>33</v>
      </c>
      <c r="G79" s="20">
        <v>22</v>
      </c>
      <c r="H79" s="20">
        <v>17</v>
      </c>
      <c r="U79" s="31">
        <v>75</v>
      </c>
      <c r="V79" s="20">
        <f t="shared" si="4"/>
        <v>5650</v>
      </c>
      <c r="Y79" s="31">
        <v>75</v>
      </c>
      <c r="Z79" s="33"/>
    </row>
    <row r="80" spans="2:26" x14ac:dyDescent="0.25">
      <c r="B80" s="19" t="s">
        <v>105</v>
      </c>
      <c r="C80" s="19" t="s">
        <v>452</v>
      </c>
      <c r="D80" s="19" t="s">
        <v>502</v>
      </c>
      <c r="E80" s="20">
        <v>108</v>
      </c>
      <c r="F80" s="20">
        <v>80</v>
      </c>
      <c r="G80" s="20">
        <v>57</v>
      </c>
      <c r="H80" s="20">
        <v>45</v>
      </c>
      <c r="U80" s="31">
        <v>76</v>
      </c>
      <c r="V80" s="20">
        <f t="shared" si="4"/>
        <v>5700</v>
      </c>
      <c r="Y80" s="31">
        <v>76</v>
      </c>
      <c r="Z80" s="33"/>
    </row>
    <row r="81" spans="2:26" x14ac:dyDescent="0.25">
      <c r="B81" s="19" t="s">
        <v>106</v>
      </c>
      <c r="C81" s="19" t="s">
        <v>453</v>
      </c>
      <c r="D81" s="19" t="s">
        <v>502</v>
      </c>
      <c r="E81" s="20">
        <v>77</v>
      </c>
      <c r="F81" s="20">
        <v>57</v>
      </c>
      <c r="G81" s="20">
        <v>40</v>
      </c>
      <c r="H81" s="20">
        <v>32</v>
      </c>
      <c r="U81" s="31">
        <v>77</v>
      </c>
      <c r="V81" s="20">
        <f t="shared" si="4"/>
        <v>5750</v>
      </c>
      <c r="Y81" s="31">
        <v>77</v>
      </c>
      <c r="Z81" s="33"/>
    </row>
    <row r="82" spans="2:26" x14ac:dyDescent="0.25">
      <c r="B82" s="19" t="s">
        <v>306</v>
      </c>
      <c r="C82" s="19" t="s">
        <v>454</v>
      </c>
      <c r="D82" s="19" t="s">
        <v>502</v>
      </c>
      <c r="E82" s="20">
        <v>47</v>
      </c>
      <c r="F82" s="20">
        <v>33</v>
      </c>
      <c r="G82" s="20">
        <v>22</v>
      </c>
      <c r="H82" s="20">
        <v>17</v>
      </c>
      <c r="U82" s="31">
        <v>78</v>
      </c>
      <c r="V82" s="20">
        <f t="shared" si="4"/>
        <v>5800</v>
      </c>
      <c r="Y82" s="31">
        <v>78</v>
      </c>
      <c r="Z82" s="33"/>
    </row>
    <row r="83" spans="2:26" x14ac:dyDescent="0.25">
      <c r="B83" s="19" t="s">
        <v>107</v>
      </c>
      <c r="C83" s="19" t="s">
        <v>455</v>
      </c>
      <c r="D83" s="19" t="s">
        <v>502</v>
      </c>
      <c r="E83" s="20">
        <v>47</v>
      </c>
      <c r="F83" s="20">
        <v>33</v>
      </c>
      <c r="G83" s="20">
        <v>22</v>
      </c>
      <c r="H83" s="20">
        <v>17</v>
      </c>
      <c r="U83" s="31">
        <v>79</v>
      </c>
      <c r="V83" s="20">
        <f t="shared" si="4"/>
        <v>5850</v>
      </c>
      <c r="Y83" s="31">
        <v>79</v>
      </c>
      <c r="Z83" s="33"/>
    </row>
    <row r="84" spans="2:26" x14ac:dyDescent="0.25">
      <c r="B84" s="19" t="s">
        <v>108</v>
      </c>
      <c r="C84" s="19" t="s">
        <v>456</v>
      </c>
      <c r="D84" s="19" t="s">
        <v>502</v>
      </c>
      <c r="E84" s="20">
        <v>47</v>
      </c>
      <c r="F84" s="20">
        <v>33</v>
      </c>
      <c r="G84" s="20">
        <v>22</v>
      </c>
      <c r="H84" s="20">
        <v>17</v>
      </c>
      <c r="U84" s="31">
        <v>80</v>
      </c>
      <c r="V84" s="20">
        <f t="shared" si="4"/>
        <v>5900</v>
      </c>
      <c r="Y84" s="31">
        <v>80</v>
      </c>
      <c r="Z84" s="33"/>
    </row>
    <row r="85" spans="2:26" x14ac:dyDescent="0.25">
      <c r="B85" s="19" t="s">
        <v>109</v>
      </c>
      <c r="C85" s="19" t="s">
        <v>457</v>
      </c>
      <c r="D85" s="19" t="s">
        <v>502</v>
      </c>
      <c r="E85" s="20">
        <v>47</v>
      </c>
      <c r="F85" s="20">
        <v>33</v>
      </c>
      <c r="G85" s="20">
        <v>22</v>
      </c>
      <c r="H85" s="20">
        <v>17</v>
      </c>
      <c r="U85" s="31">
        <v>81</v>
      </c>
      <c r="V85" s="20">
        <f t="shared" si="4"/>
        <v>5950</v>
      </c>
      <c r="Y85" s="31">
        <v>81</v>
      </c>
      <c r="Z85" s="33"/>
    </row>
    <row r="86" spans="2:26" x14ac:dyDescent="0.25">
      <c r="B86" s="19" t="s">
        <v>358</v>
      </c>
      <c r="C86" s="19" t="s">
        <v>458</v>
      </c>
      <c r="D86" s="19" t="s">
        <v>502</v>
      </c>
      <c r="E86" s="20">
        <v>77</v>
      </c>
      <c r="F86" s="20">
        <v>57</v>
      </c>
      <c r="G86" s="20">
        <v>40</v>
      </c>
      <c r="H86" s="20">
        <v>32</v>
      </c>
      <c r="U86" s="31">
        <v>82</v>
      </c>
      <c r="V86" s="20">
        <f t="shared" si="4"/>
        <v>6000</v>
      </c>
      <c r="Y86" s="31">
        <v>82</v>
      </c>
      <c r="Z86" s="33"/>
    </row>
    <row r="87" spans="2:26" x14ac:dyDescent="0.25">
      <c r="B87" s="19" t="s">
        <v>110</v>
      </c>
      <c r="C87" s="19" t="s">
        <v>372</v>
      </c>
      <c r="D87" s="19" t="s">
        <v>502</v>
      </c>
      <c r="E87" s="20">
        <v>77</v>
      </c>
      <c r="F87" s="20">
        <v>57</v>
      </c>
      <c r="G87" s="20">
        <v>40</v>
      </c>
      <c r="H87" s="20">
        <v>32</v>
      </c>
      <c r="U87" s="31">
        <v>83</v>
      </c>
      <c r="V87" s="20">
        <f t="shared" si="4"/>
        <v>6050</v>
      </c>
      <c r="Y87" s="31">
        <v>83</v>
      </c>
      <c r="Z87" s="33"/>
    </row>
    <row r="88" spans="2:26" x14ac:dyDescent="0.25">
      <c r="B88" s="19" t="s">
        <v>111</v>
      </c>
      <c r="C88" s="19" t="s">
        <v>459</v>
      </c>
      <c r="D88" s="19" t="s">
        <v>502</v>
      </c>
      <c r="E88" s="20">
        <v>77</v>
      </c>
      <c r="F88" s="20">
        <v>57</v>
      </c>
      <c r="G88" s="20">
        <v>40</v>
      </c>
      <c r="H88" s="20">
        <v>32</v>
      </c>
      <c r="U88" s="31">
        <v>84</v>
      </c>
      <c r="V88" s="20">
        <f t="shared" si="4"/>
        <v>6100</v>
      </c>
      <c r="Y88" s="31">
        <v>84</v>
      </c>
      <c r="Z88" s="33"/>
    </row>
    <row r="89" spans="2:26" x14ac:dyDescent="0.25">
      <c r="B89" s="19" t="s">
        <v>305</v>
      </c>
      <c r="C89" s="19" t="s">
        <v>460</v>
      </c>
      <c r="D89" s="19" t="s">
        <v>502</v>
      </c>
      <c r="E89" s="20">
        <v>108</v>
      </c>
      <c r="F89" s="20">
        <v>80</v>
      </c>
      <c r="G89" s="20">
        <v>57</v>
      </c>
      <c r="H89" s="20">
        <v>45</v>
      </c>
      <c r="U89" s="31">
        <v>85</v>
      </c>
      <c r="V89" s="20">
        <f t="shared" si="4"/>
        <v>6150</v>
      </c>
      <c r="Y89" s="31">
        <v>85</v>
      </c>
      <c r="Z89" s="33"/>
    </row>
    <row r="90" spans="2:26" x14ac:dyDescent="0.25">
      <c r="B90" s="19" t="s">
        <v>112</v>
      </c>
      <c r="C90" s="19" t="s">
        <v>461</v>
      </c>
      <c r="D90" s="19" t="s">
        <v>502</v>
      </c>
      <c r="E90" s="20">
        <v>47</v>
      </c>
      <c r="F90" s="20">
        <v>33</v>
      </c>
      <c r="G90" s="20">
        <v>22</v>
      </c>
      <c r="H90" s="20">
        <v>17</v>
      </c>
      <c r="U90" s="31">
        <v>86</v>
      </c>
      <c r="V90" s="20">
        <f t="shared" si="4"/>
        <v>6200</v>
      </c>
      <c r="Y90" s="31">
        <v>86</v>
      </c>
      <c r="Z90" s="33"/>
    </row>
    <row r="91" spans="2:26" x14ac:dyDescent="0.25">
      <c r="B91" s="19" t="s">
        <v>478</v>
      </c>
      <c r="C91" s="19" t="s">
        <v>462</v>
      </c>
      <c r="D91" s="19" t="s">
        <v>502</v>
      </c>
      <c r="E91" s="20">
        <v>77</v>
      </c>
      <c r="F91" s="20">
        <v>57</v>
      </c>
      <c r="G91" s="20">
        <v>40</v>
      </c>
      <c r="H91" s="20">
        <v>32</v>
      </c>
      <c r="U91" s="31">
        <v>87</v>
      </c>
      <c r="V91" s="20">
        <f t="shared" si="4"/>
        <v>6250</v>
      </c>
      <c r="Y91" s="31">
        <v>87</v>
      </c>
      <c r="Z91" s="33"/>
    </row>
    <row r="92" spans="2:26" x14ac:dyDescent="0.25">
      <c r="B92" s="19" t="s">
        <v>113</v>
      </c>
      <c r="C92" s="19" t="s">
        <v>463</v>
      </c>
      <c r="D92" s="19" t="s">
        <v>502</v>
      </c>
      <c r="E92" s="20">
        <v>108</v>
      </c>
      <c r="F92" s="20">
        <v>80</v>
      </c>
      <c r="G92" s="20">
        <v>57</v>
      </c>
      <c r="H92" s="20">
        <v>45</v>
      </c>
      <c r="U92" s="31">
        <v>88</v>
      </c>
      <c r="V92" s="20">
        <f t="shared" si="4"/>
        <v>6300</v>
      </c>
      <c r="Y92" s="31">
        <v>88</v>
      </c>
      <c r="Z92" s="33"/>
    </row>
    <row r="93" spans="2:26" x14ac:dyDescent="0.25">
      <c r="B93" s="19" t="s">
        <v>114</v>
      </c>
      <c r="C93" s="19" t="s">
        <v>464</v>
      </c>
      <c r="D93" s="19" t="s">
        <v>502</v>
      </c>
      <c r="E93" s="20">
        <v>77</v>
      </c>
      <c r="F93" s="20">
        <v>57</v>
      </c>
      <c r="G93" s="20">
        <v>40</v>
      </c>
      <c r="H93" s="20">
        <v>32</v>
      </c>
      <c r="U93" s="31">
        <v>89</v>
      </c>
      <c r="V93" s="20">
        <f t="shared" si="4"/>
        <v>6350</v>
      </c>
      <c r="Y93" s="31">
        <v>89</v>
      </c>
      <c r="Z93" s="33"/>
    </row>
    <row r="94" spans="2:26" x14ac:dyDescent="0.25">
      <c r="B94" s="19" t="s">
        <v>115</v>
      </c>
      <c r="C94" s="19" t="s">
        <v>465</v>
      </c>
      <c r="D94" s="19" t="s">
        <v>502</v>
      </c>
      <c r="E94" s="20">
        <v>47</v>
      </c>
      <c r="F94" s="20">
        <v>33</v>
      </c>
      <c r="G94" s="20">
        <v>22</v>
      </c>
      <c r="H94" s="20">
        <v>17</v>
      </c>
      <c r="U94" s="31">
        <v>90</v>
      </c>
      <c r="V94" s="20">
        <f t="shared" si="4"/>
        <v>6400</v>
      </c>
      <c r="Y94" s="31">
        <v>90</v>
      </c>
      <c r="Z94" s="33"/>
    </row>
    <row r="95" spans="2:26" x14ac:dyDescent="0.25">
      <c r="B95" s="19" t="s">
        <v>116</v>
      </c>
      <c r="C95" s="19" t="s">
        <v>466</v>
      </c>
      <c r="D95" s="19" t="s">
        <v>502</v>
      </c>
      <c r="E95" s="20">
        <v>47</v>
      </c>
      <c r="F95" s="20">
        <v>33</v>
      </c>
      <c r="G95" s="20">
        <v>22</v>
      </c>
      <c r="H95" s="20">
        <v>17</v>
      </c>
      <c r="U95" s="31">
        <v>91</v>
      </c>
      <c r="V95" s="20">
        <f t="shared" si="4"/>
        <v>6450</v>
      </c>
      <c r="Y95" s="31">
        <v>91</v>
      </c>
      <c r="Z95" s="33"/>
    </row>
    <row r="96" spans="2:26" x14ac:dyDescent="0.25">
      <c r="B96" s="19" t="s">
        <v>117</v>
      </c>
      <c r="C96" s="19" t="s">
        <v>467</v>
      </c>
      <c r="D96" s="19" t="s">
        <v>502</v>
      </c>
      <c r="E96" s="20">
        <v>47</v>
      </c>
      <c r="F96" s="20">
        <v>33</v>
      </c>
      <c r="G96" s="20">
        <v>22</v>
      </c>
      <c r="H96" s="20">
        <v>17</v>
      </c>
      <c r="U96" s="31">
        <v>92</v>
      </c>
      <c r="V96" s="20">
        <f t="shared" si="4"/>
        <v>6500</v>
      </c>
      <c r="Y96" s="31">
        <v>92</v>
      </c>
      <c r="Z96" s="33"/>
    </row>
    <row r="97" spans="2:26" x14ac:dyDescent="0.25">
      <c r="B97" s="19" t="s">
        <v>118</v>
      </c>
      <c r="C97" s="19" t="s">
        <v>468</v>
      </c>
      <c r="D97" s="19" t="s">
        <v>502</v>
      </c>
      <c r="E97" s="20">
        <v>108</v>
      </c>
      <c r="F97" s="20">
        <v>80</v>
      </c>
      <c r="G97" s="20">
        <v>57</v>
      </c>
      <c r="H97" s="20">
        <v>45</v>
      </c>
      <c r="U97" s="31">
        <v>93</v>
      </c>
      <c r="V97" s="20">
        <f t="shared" si="4"/>
        <v>6550</v>
      </c>
      <c r="Y97" s="31">
        <v>93</v>
      </c>
      <c r="Z97" s="33"/>
    </row>
    <row r="98" spans="2:26" x14ac:dyDescent="0.25">
      <c r="B98" s="19" t="s">
        <v>119</v>
      </c>
      <c r="C98" s="19" t="s">
        <v>469</v>
      </c>
      <c r="D98" s="19" t="s">
        <v>502</v>
      </c>
      <c r="E98" s="20">
        <v>47</v>
      </c>
      <c r="F98" s="20">
        <v>33</v>
      </c>
      <c r="G98" s="20">
        <v>22</v>
      </c>
      <c r="H98" s="20">
        <v>17</v>
      </c>
      <c r="U98" s="31">
        <v>94</v>
      </c>
      <c r="V98" s="20">
        <f t="shared" si="4"/>
        <v>6600</v>
      </c>
      <c r="Y98" s="31">
        <v>94</v>
      </c>
      <c r="Z98" s="33"/>
    </row>
    <row r="99" spans="2:26" x14ac:dyDescent="0.25">
      <c r="B99" s="19" t="s">
        <v>120</v>
      </c>
      <c r="C99" s="19" t="s">
        <v>470</v>
      </c>
      <c r="D99" s="19" t="s">
        <v>502</v>
      </c>
      <c r="E99" s="20">
        <v>47</v>
      </c>
      <c r="F99" s="20">
        <v>33</v>
      </c>
      <c r="G99" s="20">
        <v>22</v>
      </c>
      <c r="H99" s="20">
        <v>17</v>
      </c>
      <c r="U99" s="31">
        <v>95</v>
      </c>
      <c r="V99" s="20">
        <f t="shared" si="4"/>
        <v>6650</v>
      </c>
      <c r="Y99" s="31">
        <v>95</v>
      </c>
      <c r="Z99" s="33"/>
    </row>
    <row r="100" spans="2:26" x14ac:dyDescent="0.25">
      <c r="B100" s="19" t="s">
        <v>472</v>
      </c>
      <c r="C100" s="19" t="s">
        <v>471</v>
      </c>
      <c r="D100" s="19" t="s">
        <v>502</v>
      </c>
      <c r="E100" s="20">
        <v>108</v>
      </c>
      <c r="F100" s="20">
        <v>80</v>
      </c>
      <c r="G100" s="20">
        <v>57</v>
      </c>
      <c r="H100" s="20">
        <v>45</v>
      </c>
      <c r="U100" s="31">
        <v>96</v>
      </c>
      <c r="V100" s="20">
        <f t="shared" si="4"/>
        <v>6700</v>
      </c>
      <c r="Y100" s="31">
        <v>96</v>
      </c>
      <c r="Z100" s="33"/>
    </row>
    <row r="101" spans="2:26" x14ac:dyDescent="0.25">
      <c r="B101" s="19" t="s">
        <v>121</v>
      </c>
      <c r="C101" s="19" t="s">
        <v>473</v>
      </c>
      <c r="D101" s="19" t="s">
        <v>502</v>
      </c>
      <c r="E101" s="20">
        <v>108</v>
      </c>
      <c r="F101" s="20">
        <v>80</v>
      </c>
      <c r="G101" s="20">
        <v>57</v>
      </c>
      <c r="H101" s="20">
        <v>45</v>
      </c>
      <c r="U101" s="31">
        <v>97</v>
      </c>
      <c r="V101" s="20">
        <f t="shared" si="4"/>
        <v>6750</v>
      </c>
      <c r="Y101" s="31">
        <v>97</v>
      </c>
      <c r="Z101" s="33"/>
    </row>
    <row r="102" spans="2:26" x14ac:dyDescent="0.25">
      <c r="B102" s="19" t="s">
        <v>122</v>
      </c>
      <c r="C102" s="19" t="s">
        <v>474</v>
      </c>
      <c r="D102" s="19" t="s">
        <v>502</v>
      </c>
      <c r="E102" s="20">
        <v>47</v>
      </c>
      <c r="F102" s="20">
        <v>33</v>
      </c>
      <c r="G102" s="20">
        <v>22</v>
      </c>
      <c r="H102" s="20">
        <v>17</v>
      </c>
      <c r="U102" s="31">
        <v>98</v>
      </c>
      <c r="V102" s="20">
        <f t="shared" si="4"/>
        <v>6800</v>
      </c>
      <c r="Y102" s="31">
        <v>98</v>
      </c>
      <c r="Z102" s="33"/>
    </row>
    <row r="103" spans="2:26" x14ac:dyDescent="0.25">
      <c r="B103" s="19" t="s">
        <v>123</v>
      </c>
      <c r="C103" s="19" t="s">
        <v>475</v>
      </c>
      <c r="D103" s="19" t="s">
        <v>502</v>
      </c>
      <c r="E103" s="20">
        <v>108</v>
      </c>
      <c r="F103" s="20">
        <v>80</v>
      </c>
      <c r="G103" s="20">
        <v>57</v>
      </c>
      <c r="H103" s="20">
        <v>45</v>
      </c>
      <c r="U103" s="31">
        <v>99</v>
      </c>
      <c r="V103" s="20">
        <f t="shared" si="4"/>
        <v>6850</v>
      </c>
      <c r="Y103" s="31">
        <v>99</v>
      </c>
      <c r="Z103" s="33"/>
    </row>
    <row r="104" spans="2:26" x14ac:dyDescent="0.25">
      <c r="B104" s="19" t="s">
        <v>124</v>
      </c>
      <c r="C104" s="19" t="s">
        <v>476</v>
      </c>
      <c r="D104" s="19" t="s">
        <v>502</v>
      </c>
      <c r="E104" s="20">
        <v>47</v>
      </c>
      <c r="F104" s="20">
        <v>33</v>
      </c>
      <c r="G104" s="20">
        <v>22</v>
      </c>
      <c r="H104" s="20">
        <v>17</v>
      </c>
      <c r="U104" s="31">
        <v>100</v>
      </c>
      <c r="V104" s="20">
        <f t="shared" si="4"/>
        <v>6900</v>
      </c>
      <c r="Y104" s="31">
        <v>100</v>
      </c>
      <c r="Z104" s="33"/>
    </row>
    <row r="105" spans="2:26" x14ac:dyDescent="0.25">
      <c r="B105" s="19" t="s">
        <v>125</v>
      </c>
      <c r="C105" s="19" t="s">
        <v>477</v>
      </c>
      <c r="D105" s="19" t="s">
        <v>502</v>
      </c>
      <c r="E105" s="20">
        <v>47</v>
      </c>
      <c r="F105" s="20">
        <v>33</v>
      </c>
      <c r="G105" s="20">
        <v>22</v>
      </c>
      <c r="H105" s="20">
        <v>17</v>
      </c>
      <c r="U105" s="31">
        <v>101</v>
      </c>
      <c r="V105" s="20">
        <f t="shared" si="4"/>
        <v>6950</v>
      </c>
      <c r="Y105" s="31">
        <v>101</v>
      </c>
      <c r="Z105" s="33"/>
    </row>
    <row r="106" spans="2:26" x14ac:dyDescent="0.25">
      <c r="U106" s="31">
        <v>102</v>
      </c>
      <c r="V106" s="20">
        <f t="shared" si="4"/>
        <v>7000</v>
      </c>
      <c r="Y106" s="31">
        <v>102</v>
      </c>
      <c r="Z106" s="33"/>
    </row>
    <row r="107" spans="2:26" x14ac:dyDescent="0.25">
      <c r="U107" s="31">
        <v>103</v>
      </c>
      <c r="V107" s="20">
        <f t="shared" si="4"/>
        <v>7050</v>
      </c>
      <c r="Y107" s="31">
        <v>103</v>
      </c>
      <c r="Z107" s="33"/>
    </row>
    <row r="108" spans="2:26" x14ac:dyDescent="0.25">
      <c r="U108" s="31">
        <v>104</v>
      </c>
      <c r="V108" s="20">
        <f t="shared" si="4"/>
        <v>7100</v>
      </c>
      <c r="Y108" s="31">
        <v>104</v>
      </c>
      <c r="Z108" s="33"/>
    </row>
    <row r="109" spans="2:26" x14ac:dyDescent="0.25">
      <c r="U109" s="31">
        <v>105</v>
      </c>
      <c r="V109" s="20">
        <f t="shared" si="4"/>
        <v>7150</v>
      </c>
      <c r="Y109" s="31">
        <v>105</v>
      </c>
      <c r="Z109" s="33"/>
    </row>
    <row r="110" spans="2:26" x14ac:dyDescent="0.25">
      <c r="U110" s="31">
        <v>106</v>
      </c>
      <c r="V110" s="20">
        <f t="shared" si="4"/>
        <v>7200</v>
      </c>
      <c r="Y110" s="31">
        <v>106</v>
      </c>
      <c r="Z110" s="33"/>
    </row>
    <row r="111" spans="2:26" x14ac:dyDescent="0.25">
      <c r="U111" s="31">
        <v>107</v>
      </c>
      <c r="V111" s="20">
        <f t="shared" si="4"/>
        <v>7250</v>
      </c>
      <c r="Y111" s="31">
        <v>107</v>
      </c>
      <c r="Z111" s="33"/>
    </row>
    <row r="112" spans="2:26" x14ac:dyDescent="0.25">
      <c r="U112" s="31">
        <v>108</v>
      </c>
      <c r="V112" s="20">
        <f t="shared" si="4"/>
        <v>7300</v>
      </c>
      <c r="Y112" s="31">
        <v>108</v>
      </c>
      <c r="Z112" s="33"/>
    </row>
    <row r="113" spans="21:26" x14ac:dyDescent="0.25">
      <c r="U113" s="31">
        <v>109</v>
      </c>
      <c r="V113" s="20">
        <f t="shared" si="4"/>
        <v>7350</v>
      </c>
      <c r="Y113" s="31">
        <v>109</v>
      </c>
      <c r="Z113" s="33"/>
    </row>
    <row r="114" spans="21:26" x14ac:dyDescent="0.25">
      <c r="U114" s="31">
        <v>110</v>
      </c>
      <c r="V114" s="20">
        <f t="shared" si="4"/>
        <v>7400</v>
      </c>
      <c r="Y114" s="31">
        <v>110</v>
      </c>
      <c r="Z114" s="33"/>
    </row>
    <row r="115" spans="21:26" x14ac:dyDescent="0.25">
      <c r="U115" s="31">
        <v>111</v>
      </c>
      <c r="V115" s="20">
        <f t="shared" si="4"/>
        <v>7450</v>
      </c>
      <c r="Y115" s="31">
        <v>111</v>
      </c>
      <c r="Z115" s="33"/>
    </row>
    <row r="116" spans="21:26" x14ac:dyDescent="0.25">
      <c r="U116" s="31">
        <v>112</v>
      </c>
      <c r="V116" s="20">
        <f t="shared" si="4"/>
        <v>7500</v>
      </c>
      <c r="Y116" s="31">
        <v>112</v>
      </c>
      <c r="Z116" s="33"/>
    </row>
    <row r="117" spans="21:26" x14ac:dyDescent="0.25">
      <c r="U117" s="31">
        <v>113</v>
      </c>
      <c r="V117" s="20">
        <f t="shared" si="4"/>
        <v>7550</v>
      </c>
      <c r="Y117" s="31">
        <v>113</v>
      </c>
      <c r="Z117" s="33"/>
    </row>
    <row r="118" spans="21:26" x14ac:dyDescent="0.25">
      <c r="U118" s="31">
        <v>114</v>
      </c>
      <c r="V118" s="20">
        <f t="shared" si="4"/>
        <v>7600</v>
      </c>
      <c r="Y118" s="31">
        <v>114</v>
      </c>
      <c r="Z118" s="33"/>
    </row>
    <row r="119" spans="21:26" x14ac:dyDescent="0.25">
      <c r="U119" s="31">
        <v>115</v>
      </c>
      <c r="V119" s="20">
        <f t="shared" si="4"/>
        <v>7650</v>
      </c>
      <c r="Y119" s="31">
        <v>115</v>
      </c>
      <c r="Z119" s="33"/>
    </row>
    <row r="120" spans="21:26" x14ac:dyDescent="0.25">
      <c r="U120" s="31">
        <v>116</v>
      </c>
      <c r="V120" s="20">
        <f t="shared" si="4"/>
        <v>7700</v>
      </c>
      <c r="Y120" s="31">
        <v>116</v>
      </c>
      <c r="Z120" s="33"/>
    </row>
    <row r="121" spans="21:26" x14ac:dyDescent="0.25">
      <c r="U121" s="31">
        <v>117</v>
      </c>
      <c r="V121" s="20">
        <f t="shared" si="4"/>
        <v>7750</v>
      </c>
      <c r="Y121" s="31">
        <v>117</v>
      </c>
      <c r="Z121" s="33"/>
    </row>
    <row r="122" spans="21:26" x14ac:dyDescent="0.25">
      <c r="U122" s="31">
        <v>118</v>
      </c>
      <c r="V122" s="20">
        <f t="shared" si="4"/>
        <v>7800</v>
      </c>
      <c r="Y122" s="31">
        <v>118</v>
      </c>
      <c r="Z122" s="33"/>
    </row>
    <row r="123" spans="21:26" x14ac:dyDescent="0.25">
      <c r="U123" s="31">
        <v>119</v>
      </c>
      <c r="V123" s="20">
        <f t="shared" si="4"/>
        <v>7850</v>
      </c>
      <c r="Y123" s="31">
        <v>119</v>
      </c>
      <c r="Z123" s="33"/>
    </row>
    <row r="124" spans="21:26" x14ac:dyDescent="0.25">
      <c r="U124" s="31">
        <v>120</v>
      </c>
      <c r="V124" s="20">
        <f t="shared" si="4"/>
        <v>7900</v>
      </c>
      <c r="Y124" s="31">
        <v>120</v>
      </c>
      <c r="Z124" s="33"/>
    </row>
    <row r="125" spans="21:26" x14ac:dyDescent="0.25">
      <c r="U125" s="31">
        <v>121</v>
      </c>
      <c r="V125" s="20">
        <f t="shared" si="4"/>
        <v>7950</v>
      </c>
      <c r="Y125" s="31">
        <v>121</v>
      </c>
      <c r="Z125" s="33"/>
    </row>
    <row r="126" spans="21:26" x14ac:dyDescent="0.25">
      <c r="U126" s="31">
        <v>122</v>
      </c>
      <c r="V126" s="20">
        <f t="shared" si="4"/>
        <v>8000</v>
      </c>
      <c r="Y126" s="31">
        <v>122</v>
      </c>
      <c r="Z126" s="33"/>
    </row>
    <row r="127" spans="21:26" x14ac:dyDescent="0.25">
      <c r="U127" s="31">
        <v>123</v>
      </c>
      <c r="V127" s="20">
        <f t="shared" si="4"/>
        <v>8050</v>
      </c>
      <c r="Y127" s="31">
        <v>123</v>
      </c>
      <c r="Z127" s="33"/>
    </row>
    <row r="128" spans="21:26" x14ac:dyDescent="0.25">
      <c r="U128" s="31">
        <v>124</v>
      </c>
      <c r="V128" s="20">
        <f t="shared" si="4"/>
        <v>8100</v>
      </c>
      <c r="Y128" s="31">
        <v>124</v>
      </c>
      <c r="Z128" s="33"/>
    </row>
    <row r="129" spans="21:26" x14ac:dyDescent="0.25">
      <c r="U129" s="31">
        <v>125</v>
      </c>
      <c r="V129" s="20">
        <f t="shared" si="4"/>
        <v>8150</v>
      </c>
      <c r="Y129" s="31">
        <v>125</v>
      </c>
      <c r="Z129" s="33"/>
    </row>
    <row r="130" spans="21:26" x14ac:dyDescent="0.25">
      <c r="U130" s="31">
        <v>126</v>
      </c>
      <c r="V130" s="20">
        <f t="shared" ref="V130:V193" si="5">((U130-$U$64)*50)+$V$64</f>
        <v>8200</v>
      </c>
      <c r="Y130" s="31">
        <v>126</v>
      </c>
      <c r="Z130" s="33"/>
    </row>
    <row r="131" spans="21:26" x14ac:dyDescent="0.25">
      <c r="U131" s="31">
        <v>127</v>
      </c>
      <c r="V131" s="20">
        <f t="shared" si="5"/>
        <v>8250</v>
      </c>
      <c r="Y131" s="31">
        <v>127</v>
      </c>
      <c r="Z131" s="33"/>
    </row>
    <row r="132" spans="21:26" x14ac:dyDescent="0.25">
      <c r="U132" s="31">
        <v>128</v>
      </c>
      <c r="V132" s="20">
        <f t="shared" si="5"/>
        <v>8300</v>
      </c>
      <c r="Y132" s="31">
        <v>128</v>
      </c>
      <c r="Z132" s="33"/>
    </row>
    <row r="133" spans="21:26" x14ac:dyDescent="0.25">
      <c r="U133" s="31">
        <v>129</v>
      </c>
      <c r="V133" s="20">
        <f t="shared" si="5"/>
        <v>8350</v>
      </c>
      <c r="Y133" s="31">
        <v>129</v>
      </c>
      <c r="Z133" s="33"/>
    </row>
    <row r="134" spans="21:26" x14ac:dyDescent="0.25">
      <c r="U134" s="31">
        <v>130</v>
      </c>
      <c r="V134" s="20">
        <f t="shared" si="5"/>
        <v>8400</v>
      </c>
      <c r="Y134" s="31">
        <v>130</v>
      </c>
      <c r="Z134" s="33"/>
    </row>
    <row r="135" spans="21:26" x14ac:dyDescent="0.25">
      <c r="U135" s="31">
        <v>131</v>
      </c>
      <c r="V135" s="20">
        <f t="shared" si="5"/>
        <v>8450</v>
      </c>
      <c r="Y135" s="31">
        <v>131</v>
      </c>
      <c r="Z135" s="33"/>
    </row>
    <row r="136" spans="21:26" x14ac:dyDescent="0.25">
      <c r="U136" s="31">
        <v>132</v>
      </c>
      <c r="V136" s="20">
        <f t="shared" si="5"/>
        <v>8500</v>
      </c>
      <c r="Y136" s="31">
        <v>132</v>
      </c>
      <c r="Z136" s="33"/>
    </row>
    <row r="137" spans="21:26" x14ac:dyDescent="0.25">
      <c r="U137" s="31">
        <v>133</v>
      </c>
      <c r="V137" s="20">
        <f t="shared" si="5"/>
        <v>8550</v>
      </c>
      <c r="Y137" s="31">
        <v>133</v>
      </c>
      <c r="Z137" s="33"/>
    </row>
    <row r="138" spans="21:26" x14ac:dyDescent="0.25">
      <c r="U138" s="31">
        <v>134</v>
      </c>
      <c r="V138" s="20">
        <f t="shared" si="5"/>
        <v>8600</v>
      </c>
      <c r="Y138" s="31">
        <v>134</v>
      </c>
      <c r="Z138" s="33"/>
    </row>
    <row r="139" spans="21:26" x14ac:dyDescent="0.25">
      <c r="U139" s="31">
        <v>135</v>
      </c>
      <c r="V139" s="20">
        <f t="shared" si="5"/>
        <v>8650</v>
      </c>
      <c r="Y139" s="31">
        <v>135</v>
      </c>
      <c r="Z139" s="33"/>
    </row>
    <row r="140" spans="21:26" x14ac:dyDescent="0.25">
      <c r="U140" s="31">
        <v>136</v>
      </c>
      <c r="V140" s="20">
        <f t="shared" si="5"/>
        <v>8700</v>
      </c>
      <c r="Y140" s="31">
        <v>136</v>
      </c>
      <c r="Z140" s="33"/>
    </row>
    <row r="141" spans="21:26" x14ac:dyDescent="0.25">
      <c r="U141" s="31">
        <v>137</v>
      </c>
      <c r="V141" s="20">
        <f t="shared" si="5"/>
        <v>8750</v>
      </c>
      <c r="Y141" s="31">
        <v>137</v>
      </c>
      <c r="Z141" s="33"/>
    </row>
    <row r="142" spans="21:26" x14ac:dyDescent="0.25">
      <c r="U142" s="31">
        <v>138</v>
      </c>
      <c r="V142" s="20">
        <f t="shared" si="5"/>
        <v>8800</v>
      </c>
      <c r="Y142" s="31">
        <v>138</v>
      </c>
      <c r="Z142" s="33"/>
    </row>
    <row r="143" spans="21:26" x14ac:dyDescent="0.25">
      <c r="U143" s="31">
        <v>139</v>
      </c>
      <c r="V143" s="20">
        <f t="shared" si="5"/>
        <v>8850</v>
      </c>
      <c r="Y143" s="31">
        <v>139</v>
      </c>
      <c r="Z143" s="33"/>
    </row>
    <row r="144" spans="21:26" x14ac:dyDescent="0.25">
      <c r="U144" s="31">
        <v>140</v>
      </c>
      <c r="V144" s="20">
        <f t="shared" si="5"/>
        <v>8900</v>
      </c>
      <c r="Y144" s="31">
        <v>140</v>
      </c>
      <c r="Z144" s="33"/>
    </row>
    <row r="145" spans="21:26" x14ac:dyDescent="0.25">
      <c r="U145" s="31">
        <v>141</v>
      </c>
      <c r="V145" s="20">
        <f t="shared" si="5"/>
        <v>8950</v>
      </c>
      <c r="Y145" s="31">
        <v>141</v>
      </c>
      <c r="Z145" s="33"/>
    </row>
    <row r="146" spans="21:26" x14ac:dyDescent="0.25">
      <c r="U146" s="31">
        <v>142</v>
      </c>
      <c r="V146" s="20">
        <f t="shared" si="5"/>
        <v>9000</v>
      </c>
      <c r="Y146" s="31">
        <v>142</v>
      </c>
      <c r="Z146" s="33"/>
    </row>
    <row r="147" spans="21:26" x14ac:dyDescent="0.25">
      <c r="U147" s="31">
        <v>143</v>
      </c>
      <c r="V147" s="20">
        <f t="shared" si="5"/>
        <v>9050</v>
      </c>
      <c r="Y147" s="31">
        <v>143</v>
      </c>
      <c r="Z147" s="33"/>
    </row>
    <row r="148" spans="21:26" x14ac:dyDescent="0.25">
      <c r="U148" s="31">
        <v>144</v>
      </c>
      <c r="V148" s="20">
        <f t="shared" si="5"/>
        <v>9100</v>
      </c>
      <c r="Y148" s="31">
        <v>144</v>
      </c>
      <c r="Z148" s="33"/>
    </row>
    <row r="149" spans="21:26" x14ac:dyDescent="0.25">
      <c r="U149" s="31">
        <v>145</v>
      </c>
      <c r="V149" s="20">
        <f t="shared" si="5"/>
        <v>9150</v>
      </c>
      <c r="Y149" s="31">
        <v>145</v>
      </c>
      <c r="Z149" s="33"/>
    </row>
    <row r="150" spans="21:26" x14ac:dyDescent="0.25">
      <c r="U150" s="31">
        <v>146</v>
      </c>
      <c r="V150" s="20">
        <f t="shared" si="5"/>
        <v>9200</v>
      </c>
      <c r="Y150" s="31">
        <v>146</v>
      </c>
      <c r="Z150" s="33"/>
    </row>
    <row r="151" spans="21:26" x14ac:dyDescent="0.25">
      <c r="U151" s="31">
        <v>147</v>
      </c>
      <c r="V151" s="20">
        <f t="shared" si="5"/>
        <v>9250</v>
      </c>
      <c r="Y151" s="31">
        <v>147</v>
      </c>
      <c r="Z151" s="33"/>
    </row>
    <row r="152" spans="21:26" x14ac:dyDescent="0.25">
      <c r="U152" s="31">
        <v>148</v>
      </c>
      <c r="V152" s="20">
        <f t="shared" si="5"/>
        <v>9300</v>
      </c>
      <c r="Y152" s="31">
        <v>148</v>
      </c>
      <c r="Z152" s="33"/>
    </row>
    <row r="153" spans="21:26" x14ac:dyDescent="0.25">
      <c r="U153" s="31">
        <v>149</v>
      </c>
      <c r="V153" s="20">
        <f t="shared" si="5"/>
        <v>9350</v>
      </c>
      <c r="Y153" s="31">
        <v>149</v>
      </c>
      <c r="Z153" s="33"/>
    </row>
    <row r="154" spans="21:26" x14ac:dyDescent="0.25">
      <c r="U154" s="31">
        <v>150</v>
      </c>
      <c r="V154" s="20">
        <f t="shared" si="5"/>
        <v>9400</v>
      </c>
      <c r="Y154" s="31">
        <v>150</v>
      </c>
      <c r="Z154" s="33"/>
    </row>
    <row r="155" spans="21:26" x14ac:dyDescent="0.25">
      <c r="U155" s="31">
        <v>151</v>
      </c>
      <c r="V155" s="20">
        <f t="shared" si="5"/>
        <v>9450</v>
      </c>
      <c r="Y155" s="31">
        <v>151</v>
      </c>
      <c r="Z155" s="33"/>
    </row>
    <row r="156" spans="21:26" x14ac:dyDescent="0.25">
      <c r="U156" s="31">
        <v>152</v>
      </c>
      <c r="V156" s="20">
        <f t="shared" si="5"/>
        <v>9500</v>
      </c>
      <c r="Y156" s="31">
        <v>152</v>
      </c>
      <c r="Z156" s="33"/>
    </row>
    <row r="157" spans="21:26" x14ac:dyDescent="0.25">
      <c r="U157" s="31">
        <v>153</v>
      </c>
      <c r="V157" s="20">
        <f t="shared" si="5"/>
        <v>9550</v>
      </c>
      <c r="Y157" s="31">
        <v>153</v>
      </c>
      <c r="Z157" s="33"/>
    </row>
    <row r="158" spans="21:26" x14ac:dyDescent="0.25">
      <c r="U158" s="31">
        <v>154</v>
      </c>
      <c r="V158" s="20">
        <f t="shared" si="5"/>
        <v>9600</v>
      </c>
      <c r="Y158" s="31">
        <v>154</v>
      </c>
      <c r="Z158" s="33"/>
    </row>
    <row r="159" spans="21:26" x14ac:dyDescent="0.25">
      <c r="U159" s="31">
        <v>155</v>
      </c>
      <c r="V159" s="20">
        <f t="shared" si="5"/>
        <v>9650</v>
      </c>
      <c r="Y159" s="31">
        <v>155</v>
      </c>
      <c r="Z159" s="33"/>
    </row>
    <row r="160" spans="21:26" x14ac:dyDescent="0.25">
      <c r="U160" s="31">
        <v>156</v>
      </c>
      <c r="V160" s="20">
        <f t="shared" si="5"/>
        <v>9700</v>
      </c>
      <c r="Y160" s="31">
        <v>156</v>
      </c>
      <c r="Z160" s="33"/>
    </row>
    <row r="161" spans="21:26" x14ac:dyDescent="0.25">
      <c r="U161" s="31">
        <v>157</v>
      </c>
      <c r="V161" s="20">
        <f t="shared" si="5"/>
        <v>9750</v>
      </c>
      <c r="Y161" s="31">
        <v>157</v>
      </c>
      <c r="Z161" s="33"/>
    </row>
    <row r="162" spans="21:26" x14ac:dyDescent="0.25">
      <c r="U162" s="31">
        <v>158</v>
      </c>
      <c r="V162" s="20">
        <f t="shared" si="5"/>
        <v>9800</v>
      </c>
      <c r="Y162" s="31">
        <v>158</v>
      </c>
      <c r="Z162" s="33"/>
    </row>
    <row r="163" spans="21:26" x14ac:dyDescent="0.25">
      <c r="U163" s="31">
        <v>159</v>
      </c>
      <c r="V163" s="20">
        <f t="shared" si="5"/>
        <v>9850</v>
      </c>
      <c r="Y163" s="31">
        <v>159</v>
      </c>
      <c r="Z163" s="33"/>
    </row>
    <row r="164" spans="21:26" x14ac:dyDescent="0.25">
      <c r="U164" s="31">
        <v>160</v>
      </c>
      <c r="V164" s="20">
        <f t="shared" si="5"/>
        <v>9900</v>
      </c>
      <c r="Y164" s="31">
        <v>160</v>
      </c>
      <c r="Z164" s="33"/>
    </row>
    <row r="165" spans="21:26" x14ac:dyDescent="0.25">
      <c r="U165" s="31">
        <v>161</v>
      </c>
      <c r="V165" s="20">
        <f t="shared" si="5"/>
        <v>9950</v>
      </c>
      <c r="Y165" s="31">
        <v>161</v>
      </c>
      <c r="Z165" s="33"/>
    </row>
    <row r="166" spans="21:26" x14ac:dyDescent="0.25">
      <c r="U166" s="31">
        <v>162</v>
      </c>
      <c r="V166" s="20">
        <f t="shared" si="5"/>
        <v>10000</v>
      </c>
      <c r="Y166" s="31">
        <v>162</v>
      </c>
      <c r="Z166" s="33"/>
    </row>
    <row r="167" spans="21:26" x14ac:dyDescent="0.25">
      <c r="U167" s="31">
        <v>163</v>
      </c>
      <c r="V167" s="20">
        <f t="shared" si="5"/>
        <v>10050</v>
      </c>
      <c r="Y167" s="31">
        <v>163</v>
      </c>
      <c r="Z167" s="33"/>
    </row>
    <row r="168" spans="21:26" x14ac:dyDescent="0.25">
      <c r="U168" s="31">
        <v>164</v>
      </c>
      <c r="V168" s="20">
        <f t="shared" si="5"/>
        <v>10100</v>
      </c>
      <c r="Y168" s="31">
        <v>164</v>
      </c>
      <c r="Z168" s="33"/>
    </row>
    <row r="169" spans="21:26" x14ac:dyDescent="0.25">
      <c r="U169" s="31">
        <v>165</v>
      </c>
      <c r="V169" s="20">
        <f t="shared" si="5"/>
        <v>10150</v>
      </c>
      <c r="Y169" s="31">
        <v>165</v>
      </c>
      <c r="Z169" s="33"/>
    </row>
    <row r="170" spans="21:26" x14ac:dyDescent="0.25">
      <c r="U170" s="31">
        <v>166</v>
      </c>
      <c r="V170" s="20">
        <f t="shared" si="5"/>
        <v>10200</v>
      </c>
      <c r="Y170" s="31">
        <v>166</v>
      </c>
      <c r="Z170" s="33"/>
    </row>
    <row r="171" spans="21:26" x14ac:dyDescent="0.25">
      <c r="U171" s="31">
        <v>167</v>
      </c>
      <c r="V171" s="20">
        <f t="shared" si="5"/>
        <v>10250</v>
      </c>
      <c r="Y171" s="31">
        <v>167</v>
      </c>
      <c r="Z171" s="33"/>
    </row>
    <row r="172" spans="21:26" x14ac:dyDescent="0.25">
      <c r="U172" s="31">
        <v>168</v>
      </c>
      <c r="V172" s="20">
        <f t="shared" si="5"/>
        <v>10300</v>
      </c>
      <c r="Y172" s="31">
        <v>168</v>
      </c>
      <c r="Z172" s="33"/>
    </row>
    <row r="173" spans="21:26" x14ac:dyDescent="0.25">
      <c r="U173" s="31">
        <v>169</v>
      </c>
      <c r="V173" s="20">
        <f t="shared" si="5"/>
        <v>10350</v>
      </c>
      <c r="Y173" s="31">
        <v>169</v>
      </c>
      <c r="Z173" s="33"/>
    </row>
    <row r="174" spans="21:26" x14ac:dyDescent="0.25">
      <c r="U174" s="31">
        <v>170</v>
      </c>
      <c r="V174" s="20">
        <f t="shared" si="5"/>
        <v>10400</v>
      </c>
      <c r="Y174" s="31">
        <v>170</v>
      </c>
      <c r="Z174" s="33"/>
    </row>
    <row r="175" spans="21:26" x14ac:dyDescent="0.25">
      <c r="U175" s="31">
        <v>171</v>
      </c>
      <c r="V175" s="20">
        <f t="shared" si="5"/>
        <v>10450</v>
      </c>
      <c r="Y175" s="31">
        <v>171</v>
      </c>
      <c r="Z175" s="33"/>
    </row>
    <row r="176" spans="21:26" x14ac:dyDescent="0.25">
      <c r="U176" s="31">
        <v>172</v>
      </c>
      <c r="V176" s="20">
        <f t="shared" si="5"/>
        <v>10500</v>
      </c>
      <c r="Y176" s="31">
        <v>172</v>
      </c>
      <c r="Z176" s="33"/>
    </row>
    <row r="177" spans="21:26" x14ac:dyDescent="0.25">
      <c r="U177" s="31">
        <v>173</v>
      </c>
      <c r="V177" s="20">
        <f t="shared" si="5"/>
        <v>10550</v>
      </c>
      <c r="Y177" s="31">
        <v>173</v>
      </c>
      <c r="Z177" s="33"/>
    </row>
    <row r="178" spans="21:26" x14ac:dyDescent="0.25">
      <c r="U178" s="31">
        <v>174</v>
      </c>
      <c r="V178" s="20">
        <f t="shared" si="5"/>
        <v>10600</v>
      </c>
      <c r="Y178" s="31">
        <v>174</v>
      </c>
      <c r="Z178" s="33"/>
    </row>
    <row r="179" spans="21:26" x14ac:dyDescent="0.25">
      <c r="U179" s="31">
        <v>175</v>
      </c>
      <c r="V179" s="20">
        <f t="shared" si="5"/>
        <v>10650</v>
      </c>
      <c r="Y179" s="31">
        <v>175</v>
      </c>
      <c r="Z179" s="33"/>
    </row>
    <row r="180" spans="21:26" x14ac:dyDescent="0.25">
      <c r="U180" s="31">
        <v>176</v>
      </c>
      <c r="V180" s="20">
        <f t="shared" si="5"/>
        <v>10700</v>
      </c>
      <c r="Y180" s="31">
        <v>176</v>
      </c>
      <c r="Z180" s="33"/>
    </row>
    <row r="181" spans="21:26" x14ac:dyDescent="0.25">
      <c r="U181" s="31">
        <v>177</v>
      </c>
      <c r="V181" s="20">
        <f t="shared" si="5"/>
        <v>10750</v>
      </c>
      <c r="Y181" s="31">
        <v>177</v>
      </c>
      <c r="Z181" s="33"/>
    </row>
    <row r="182" spans="21:26" x14ac:dyDescent="0.25">
      <c r="U182" s="31">
        <v>178</v>
      </c>
      <c r="V182" s="20">
        <f t="shared" si="5"/>
        <v>10800</v>
      </c>
      <c r="Y182" s="31">
        <v>178</v>
      </c>
      <c r="Z182" s="33"/>
    </row>
    <row r="183" spans="21:26" x14ac:dyDescent="0.25">
      <c r="U183" s="31">
        <v>179</v>
      </c>
      <c r="V183" s="20">
        <f t="shared" si="5"/>
        <v>10850</v>
      </c>
      <c r="Y183" s="31">
        <v>179</v>
      </c>
      <c r="Z183" s="33"/>
    </row>
    <row r="184" spans="21:26" x14ac:dyDescent="0.25">
      <c r="U184" s="31">
        <v>180</v>
      </c>
      <c r="V184" s="20">
        <f t="shared" si="5"/>
        <v>10900</v>
      </c>
      <c r="Y184" s="31">
        <v>180</v>
      </c>
      <c r="Z184" s="33"/>
    </row>
    <row r="185" spans="21:26" x14ac:dyDescent="0.25">
      <c r="U185" s="31">
        <v>181</v>
      </c>
      <c r="V185" s="20">
        <f t="shared" si="5"/>
        <v>10950</v>
      </c>
      <c r="Y185" s="31">
        <v>181</v>
      </c>
      <c r="Z185" s="33"/>
    </row>
    <row r="186" spans="21:26" x14ac:dyDescent="0.25">
      <c r="U186" s="31">
        <v>182</v>
      </c>
      <c r="V186" s="20">
        <f t="shared" si="5"/>
        <v>11000</v>
      </c>
      <c r="Y186" s="31">
        <v>182</v>
      </c>
      <c r="Z186" s="33"/>
    </row>
    <row r="187" spans="21:26" x14ac:dyDescent="0.25">
      <c r="U187" s="31">
        <v>183</v>
      </c>
      <c r="V187" s="20">
        <f t="shared" si="5"/>
        <v>11050</v>
      </c>
      <c r="Y187" s="31">
        <v>183</v>
      </c>
      <c r="Z187" s="33"/>
    </row>
    <row r="188" spans="21:26" x14ac:dyDescent="0.25">
      <c r="U188" s="31">
        <v>184</v>
      </c>
      <c r="V188" s="20">
        <f t="shared" si="5"/>
        <v>11100</v>
      </c>
      <c r="Y188" s="31">
        <v>184</v>
      </c>
      <c r="Z188" s="33"/>
    </row>
    <row r="189" spans="21:26" x14ac:dyDescent="0.25">
      <c r="U189" s="31">
        <v>185</v>
      </c>
      <c r="V189" s="20">
        <f t="shared" si="5"/>
        <v>11150</v>
      </c>
      <c r="Y189" s="31">
        <v>185</v>
      </c>
      <c r="Z189" s="33"/>
    </row>
    <row r="190" spans="21:26" x14ac:dyDescent="0.25">
      <c r="U190" s="31">
        <v>186</v>
      </c>
      <c r="V190" s="20">
        <f t="shared" si="5"/>
        <v>11200</v>
      </c>
      <c r="Y190" s="31">
        <v>186</v>
      </c>
      <c r="Z190" s="33"/>
    </row>
    <row r="191" spans="21:26" x14ac:dyDescent="0.25">
      <c r="U191" s="31">
        <v>187</v>
      </c>
      <c r="V191" s="20">
        <f t="shared" si="5"/>
        <v>11250</v>
      </c>
      <c r="Y191" s="31">
        <v>187</v>
      </c>
      <c r="Z191" s="33"/>
    </row>
    <row r="192" spans="21:26" x14ac:dyDescent="0.25">
      <c r="U192" s="31">
        <v>188</v>
      </c>
      <c r="V192" s="20">
        <f t="shared" si="5"/>
        <v>11300</v>
      </c>
      <c r="Y192" s="31">
        <v>188</v>
      </c>
      <c r="Z192" s="33"/>
    </row>
    <row r="193" spans="21:26" x14ac:dyDescent="0.25">
      <c r="U193" s="31">
        <v>189</v>
      </c>
      <c r="V193" s="20">
        <f t="shared" si="5"/>
        <v>11350</v>
      </c>
      <c r="Y193" s="31">
        <v>189</v>
      </c>
      <c r="Z193" s="33"/>
    </row>
    <row r="194" spans="21:26" x14ac:dyDescent="0.25">
      <c r="U194" s="31">
        <v>190</v>
      </c>
      <c r="V194" s="20">
        <f t="shared" ref="V194:V257" si="6">((U194-$U$64)*50)+$V$64</f>
        <v>11400</v>
      </c>
      <c r="Y194" s="31">
        <v>190</v>
      </c>
      <c r="Z194" s="33"/>
    </row>
    <row r="195" spans="21:26" x14ac:dyDescent="0.25">
      <c r="U195" s="31">
        <v>191</v>
      </c>
      <c r="V195" s="20">
        <f t="shared" si="6"/>
        <v>11450</v>
      </c>
      <c r="Y195" s="31">
        <v>191</v>
      </c>
      <c r="Z195" s="33"/>
    </row>
    <row r="196" spans="21:26" x14ac:dyDescent="0.25">
      <c r="U196" s="31">
        <v>192</v>
      </c>
      <c r="V196" s="20">
        <f t="shared" si="6"/>
        <v>11500</v>
      </c>
      <c r="Y196" s="31">
        <v>192</v>
      </c>
      <c r="Z196" s="33"/>
    </row>
    <row r="197" spans="21:26" x14ac:dyDescent="0.25">
      <c r="U197" s="31">
        <v>193</v>
      </c>
      <c r="V197" s="20">
        <f t="shared" si="6"/>
        <v>11550</v>
      </c>
      <c r="Y197" s="31">
        <v>193</v>
      </c>
      <c r="Z197" s="33"/>
    </row>
    <row r="198" spans="21:26" x14ac:dyDescent="0.25">
      <c r="U198" s="31">
        <v>194</v>
      </c>
      <c r="V198" s="20">
        <f t="shared" si="6"/>
        <v>11600</v>
      </c>
      <c r="Y198" s="31">
        <v>194</v>
      </c>
      <c r="Z198" s="33"/>
    </row>
    <row r="199" spans="21:26" x14ac:dyDescent="0.25">
      <c r="U199" s="31">
        <v>195</v>
      </c>
      <c r="V199" s="20">
        <f t="shared" si="6"/>
        <v>11650</v>
      </c>
      <c r="Y199" s="31">
        <v>195</v>
      </c>
      <c r="Z199" s="33"/>
    </row>
    <row r="200" spans="21:26" x14ac:dyDescent="0.25">
      <c r="U200" s="31">
        <v>196</v>
      </c>
      <c r="V200" s="20">
        <f t="shared" si="6"/>
        <v>11700</v>
      </c>
      <c r="Y200" s="31">
        <v>196</v>
      </c>
      <c r="Z200" s="33"/>
    </row>
    <row r="201" spans="21:26" x14ac:dyDescent="0.25">
      <c r="U201" s="31">
        <v>197</v>
      </c>
      <c r="V201" s="20">
        <f t="shared" si="6"/>
        <v>11750</v>
      </c>
      <c r="Y201" s="31">
        <v>197</v>
      </c>
      <c r="Z201" s="33"/>
    </row>
    <row r="202" spans="21:26" x14ac:dyDescent="0.25">
      <c r="U202" s="31">
        <v>198</v>
      </c>
      <c r="V202" s="20">
        <f t="shared" si="6"/>
        <v>11800</v>
      </c>
      <c r="Y202" s="31">
        <v>198</v>
      </c>
      <c r="Z202" s="33"/>
    </row>
    <row r="203" spans="21:26" x14ac:dyDescent="0.25">
      <c r="U203" s="31">
        <v>199</v>
      </c>
      <c r="V203" s="20">
        <f t="shared" si="6"/>
        <v>11850</v>
      </c>
      <c r="Y203" s="31">
        <v>199</v>
      </c>
      <c r="Z203" s="33"/>
    </row>
    <row r="204" spans="21:26" x14ac:dyDescent="0.25">
      <c r="U204" s="31">
        <v>200</v>
      </c>
      <c r="V204" s="20">
        <f t="shared" si="6"/>
        <v>11900</v>
      </c>
      <c r="Y204" s="31">
        <v>200</v>
      </c>
      <c r="Z204" s="33"/>
    </row>
    <row r="205" spans="21:26" x14ac:dyDescent="0.25">
      <c r="U205" s="31">
        <v>201</v>
      </c>
      <c r="V205" s="20">
        <f t="shared" si="6"/>
        <v>11950</v>
      </c>
      <c r="Y205" s="31">
        <v>201</v>
      </c>
      <c r="Z205" s="33"/>
    </row>
    <row r="206" spans="21:26" x14ac:dyDescent="0.25">
      <c r="U206" s="31">
        <v>202</v>
      </c>
      <c r="V206" s="20">
        <f t="shared" si="6"/>
        <v>12000</v>
      </c>
      <c r="Y206" s="31">
        <v>202</v>
      </c>
      <c r="Z206" s="33"/>
    </row>
    <row r="207" spans="21:26" x14ac:dyDescent="0.25">
      <c r="U207" s="31">
        <v>203</v>
      </c>
      <c r="V207" s="20">
        <f t="shared" si="6"/>
        <v>12050</v>
      </c>
      <c r="Y207" s="31">
        <v>203</v>
      </c>
      <c r="Z207" s="33"/>
    </row>
    <row r="208" spans="21:26" x14ac:dyDescent="0.25">
      <c r="U208" s="31">
        <v>204</v>
      </c>
      <c r="V208" s="20">
        <f t="shared" si="6"/>
        <v>12100</v>
      </c>
      <c r="Y208" s="31">
        <v>204</v>
      </c>
      <c r="Z208" s="33"/>
    </row>
    <row r="209" spans="21:26" x14ac:dyDescent="0.25">
      <c r="U209" s="31">
        <v>205</v>
      </c>
      <c r="V209" s="20">
        <f t="shared" si="6"/>
        <v>12150</v>
      </c>
      <c r="Y209" s="31">
        <v>205</v>
      </c>
      <c r="Z209" s="33"/>
    </row>
    <row r="210" spans="21:26" x14ac:dyDescent="0.25">
      <c r="U210" s="31">
        <v>206</v>
      </c>
      <c r="V210" s="20">
        <f t="shared" si="6"/>
        <v>12200</v>
      </c>
      <c r="Y210" s="31">
        <v>206</v>
      </c>
      <c r="Z210" s="33"/>
    </row>
    <row r="211" spans="21:26" x14ac:dyDescent="0.25">
      <c r="U211" s="31">
        <v>207</v>
      </c>
      <c r="V211" s="20">
        <f t="shared" si="6"/>
        <v>12250</v>
      </c>
      <c r="Y211" s="31">
        <v>207</v>
      </c>
      <c r="Z211" s="33"/>
    </row>
    <row r="212" spans="21:26" x14ac:dyDescent="0.25">
      <c r="U212" s="31">
        <v>208</v>
      </c>
      <c r="V212" s="20">
        <f t="shared" si="6"/>
        <v>12300</v>
      </c>
      <c r="Y212" s="31">
        <v>208</v>
      </c>
      <c r="Z212" s="33"/>
    </row>
    <row r="213" spans="21:26" x14ac:dyDescent="0.25">
      <c r="U213" s="31">
        <v>209</v>
      </c>
      <c r="V213" s="20">
        <f t="shared" si="6"/>
        <v>12350</v>
      </c>
      <c r="Y213" s="31">
        <v>209</v>
      </c>
      <c r="Z213" s="33"/>
    </row>
    <row r="214" spans="21:26" x14ac:dyDescent="0.25">
      <c r="U214" s="31">
        <v>210</v>
      </c>
      <c r="V214" s="20">
        <f t="shared" si="6"/>
        <v>12400</v>
      </c>
      <c r="Y214" s="31">
        <v>210</v>
      </c>
      <c r="Z214" s="33"/>
    </row>
    <row r="215" spans="21:26" x14ac:dyDescent="0.25">
      <c r="U215" s="31">
        <v>211</v>
      </c>
      <c r="V215" s="20">
        <f t="shared" si="6"/>
        <v>12450</v>
      </c>
      <c r="Y215" s="31">
        <v>211</v>
      </c>
      <c r="Z215" s="33"/>
    </row>
    <row r="216" spans="21:26" x14ac:dyDescent="0.25">
      <c r="U216" s="31">
        <v>212</v>
      </c>
      <c r="V216" s="20">
        <f t="shared" si="6"/>
        <v>12500</v>
      </c>
      <c r="Y216" s="31">
        <v>212</v>
      </c>
      <c r="Z216" s="33"/>
    </row>
    <row r="217" spans="21:26" x14ac:dyDescent="0.25">
      <c r="U217" s="31">
        <v>213</v>
      </c>
      <c r="V217" s="20">
        <f t="shared" si="6"/>
        <v>12550</v>
      </c>
      <c r="Y217" s="31">
        <v>213</v>
      </c>
      <c r="Z217" s="33"/>
    </row>
    <row r="218" spans="21:26" x14ac:dyDescent="0.25">
      <c r="U218" s="31">
        <v>214</v>
      </c>
      <c r="V218" s="20">
        <f t="shared" si="6"/>
        <v>12600</v>
      </c>
      <c r="Y218" s="31">
        <v>214</v>
      </c>
      <c r="Z218" s="33"/>
    </row>
    <row r="219" spans="21:26" x14ac:dyDescent="0.25">
      <c r="U219" s="31">
        <v>215</v>
      </c>
      <c r="V219" s="20">
        <f t="shared" si="6"/>
        <v>12650</v>
      </c>
      <c r="Y219" s="31">
        <v>215</v>
      </c>
      <c r="Z219" s="33"/>
    </row>
    <row r="220" spans="21:26" x14ac:dyDescent="0.25">
      <c r="U220" s="31">
        <v>216</v>
      </c>
      <c r="V220" s="20">
        <f t="shared" si="6"/>
        <v>12700</v>
      </c>
      <c r="Y220" s="31">
        <v>216</v>
      </c>
      <c r="Z220" s="33"/>
    </row>
    <row r="221" spans="21:26" x14ac:dyDescent="0.25">
      <c r="U221" s="31">
        <v>217</v>
      </c>
      <c r="V221" s="20">
        <f t="shared" si="6"/>
        <v>12750</v>
      </c>
      <c r="Y221" s="31">
        <v>217</v>
      </c>
      <c r="Z221" s="33"/>
    </row>
    <row r="222" spans="21:26" x14ac:dyDescent="0.25">
      <c r="U222" s="31">
        <v>218</v>
      </c>
      <c r="V222" s="20">
        <f t="shared" si="6"/>
        <v>12800</v>
      </c>
      <c r="Y222" s="31">
        <v>218</v>
      </c>
      <c r="Z222" s="33"/>
    </row>
    <row r="223" spans="21:26" x14ac:dyDescent="0.25">
      <c r="U223" s="31">
        <v>219</v>
      </c>
      <c r="V223" s="20">
        <f t="shared" si="6"/>
        <v>12850</v>
      </c>
      <c r="Y223" s="31">
        <v>219</v>
      </c>
      <c r="Z223" s="33"/>
    </row>
    <row r="224" spans="21:26" x14ac:dyDescent="0.25">
      <c r="U224" s="31">
        <v>220</v>
      </c>
      <c r="V224" s="20">
        <f t="shared" si="6"/>
        <v>12900</v>
      </c>
      <c r="Y224" s="31">
        <v>220</v>
      </c>
      <c r="Z224" s="33"/>
    </row>
    <row r="225" spans="21:26" x14ac:dyDescent="0.25">
      <c r="U225" s="31">
        <v>221</v>
      </c>
      <c r="V225" s="20">
        <f t="shared" si="6"/>
        <v>12950</v>
      </c>
      <c r="Y225" s="31">
        <v>221</v>
      </c>
      <c r="Z225" s="33"/>
    </row>
    <row r="226" spans="21:26" x14ac:dyDescent="0.25">
      <c r="U226" s="31">
        <v>222</v>
      </c>
      <c r="V226" s="20">
        <f t="shared" si="6"/>
        <v>13000</v>
      </c>
      <c r="Y226" s="31">
        <v>222</v>
      </c>
      <c r="Z226" s="33"/>
    </row>
    <row r="227" spans="21:26" x14ac:dyDescent="0.25">
      <c r="U227" s="31">
        <v>223</v>
      </c>
      <c r="V227" s="20">
        <f t="shared" si="6"/>
        <v>13050</v>
      </c>
      <c r="Y227" s="31">
        <v>223</v>
      </c>
      <c r="Z227" s="33"/>
    </row>
    <row r="228" spans="21:26" x14ac:dyDescent="0.25">
      <c r="U228" s="31">
        <v>224</v>
      </c>
      <c r="V228" s="20">
        <f t="shared" si="6"/>
        <v>13100</v>
      </c>
      <c r="Y228" s="31">
        <v>224</v>
      </c>
      <c r="Z228" s="33"/>
    </row>
    <row r="229" spans="21:26" x14ac:dyDescent="0.25">
      <c r="U229" s="31">
        <v>225</v>
      </c>
      <c r="V229" s="20">
        <f t="shared" si="6"/>
        <v>13150</v>
      </c>
      <c r="Y229" s="31">
        <v>225</v>
      </c>
      <c r="Z229" s="33"/>
    </row>
    <row r="230" spans="21:26" x14ac:dyDescent="0.25">
      <c r="U230" s="31">
        <v>226</v>
      </c>
      <c r="V230" s="20">
        <f t="shared" si="6"/>
        <v>13200</v>
      </c>
      <c r="Y230" s="31">
        <v>226</v>
      </c>
      <c r="Z230" s="33"/>
    </row>
    <row r="231" spans="21:26" x14ac:dyDescent="0.25">
      <c r="U231" s="31">
        <v>227</v>
      </c>
      <c r="V231" s="20">
        <f t="shared" si="6"/>
        <v>13250</v>
      </c>
      <c r="Y231" s="31">
        <v>227</v>
      </c>
      <c r="Z231" s="33"/>
    </row>
    <row r="232" spans="21:26" x14ac:dyDescent="0.25">
      <c r="U232" s="31">
        <v>228</v>
      </c>
      <c r="V232" s="20">
        <f t="shared" si="6"/>
        <v>13300</v>
      </c>
      <c r="Y232" s="31">
        <v>228</v>
      </c>
      <c r="Z232" s="33"/>
    </row>
    <row r="233" spans="21:26" x14ac:dyDescent="0.25">
      <c r="U233" s="31">
        <v>229</v>
      </c>
      <c r="V233" s="20">
        <f t="shared" si="6"/>
        <v>13350</v>
      </c>
      <c r="Y233" s="31">
        <v>229</v>
      </c>
      <c r="Z233" s="33"/>
    </row>
    <row r="234" spans="21:26" x14ac:dyDescent="0.25">
      <c r="U234" s="31">
        <v>230</v>
      </c>
      <c r="V234" s="20">
        <f t="shared" si="6"/>
        <v>13400</v>
      </c>
      <c r="Y234" s="31">
        <v>230</v>
      </c>
      <c r="Z234" s="33"/>
    </row>
    <row r="235" spans="21:26" x14ac:dyDescent="0.25">
      <c r="U235" s="31">
        <v>231</v>
      </c>
      <c r="V235" s="20">
        <f t="shared" si="6"/>
        <v>13450</v>
      </c>
      <c r="Y235" s="31">
        <v>231</v>
      </c>
      <c r="Z235" s="33"/>
    </row>
    <row r="236" spans="21:26" x14ac:dyDescent="0.25">
      <c r="U236" s="31">
        <v>232</v>
      </c>
      <c r="V236" s="20">
        <f t="shared" si="6"/>
        <v>13500</v>
      </c>
      <c r="Y236" s="31">
        <v>232</v>
      </c>
      <c r="Z236" s="33"/>
    </row>
    <row r="237" spans="21:26" x14ac:dyDescent="0.25">
      <c r="U237" s="31">
        <v>233</v>
      </c>
      <c r="V237" s="20">
        <f t="shared" si="6"/>
        <v>13550</v>
      </c>
      <c r="Y237" s="31">
        <v>233</v>
      </c>
      <c r="Z237" s="33"/>
    </row>
    <row r="238" spans="21:26" x14ac:dyDescent="0.25">
      <c r="U238" s="31">
        <v>234</v>
      </c>
      <c r="V238" s="20">
        <f t="shared" si="6"/>
        <v>13600</v>
      </c>
      <c r="Y238" s="31">
        <v>234</v>
      </c>
      <c r="Z238" s="33"/>
    </row>
    <row r="239" spans="21:26" x14ac:dyDescent="0.25">
      <c r="U239" s="31">
        <v>235</v>
      </c>
      <c r="V239" s="20">
        <f t="shared" si="6"/>
        <v>13650</v>
      </c>
      <c r="Y239" s="31">
        <v>235</v>
      </c>
      <c r="Z239" s="33"/>
    </row>
    <row r="240" spans="21:26" x14ac:dyDescent="0.25">
      <c r="U240" s="31">
        <v>236</v>
      </c>
      <c r="V240" s="20">
        <f t="shared" si="6"/>
        <v>13700</v>
      </c>
      <c r="Y240" s="31">
        <v>236</v>
      </c>
      <c r="Z240" s="33"/>
    </row>
    <row r="241" spans="21:26" x14ac:dyDescent="0.25">
      <c r="U241" s="31">
        <v>237</v>
      </c>
      <c r="V241" s="20">
        <f t="shared" si="6"/>
        <v>13750</v>
      </c>
      <c r="Y241" s="31">
        <v>237</v>
      </c>
      <c r="Z241" s="33"/>
    </row>
    <row r="242" spans="21:26" x14ac:dyDescent="0.25">
      <c r="U242" s="31">
        <v>238</v>
      </c>
      <c r="V242" s="20">
        <f t="shared" si="6"/>
        <v>13800</v>
      </c>
      <c r="Y242" s="31">
        <v>238</v>
      </c>
      <c r="Z242" s="33"/>
    </row>
    <row r="243" spans="21:26" x14ac:dyDescent="0.25">
      <c r="U243" s="31">
        <v>239</v>
      </c>
      <c r="V243" s="20">
        <f t="shared" si="6"/>
        <v>13850</v>
      </c>
      <c r="Y243" s="31">
        <v>239</v>
      </c>
      <c r="Z243" s="33"/>
    </row>
    <row r="244" spans="21:26" x14ac:dyDescent="0.25">
      <c r="U244" s="31">
        <v>240</v>
      </c>
      <c r="V244" s="20">
        <f t="shared" si="6"/>
        <v>13900</v>
      </c>
      <c r="Y244" s="31">
        <v>240</v>
      </c>
      <c r="Z244" s="33"/>
    </row>
    <row r="245" spans="21:26" x14ac:dyDescent="0.25">
      <c r="U245" s="31">
        <v>241</v>
      </c>
      <c r="V245" s="20">
        <f t="shared" si="6"/>
        <v>13950</v>
      </c>
      <c r="Y245" s="31">
        <v>241</v>
      </c>
      <c r="Z245" s="33"/>
    </row>
    <row r="246" spans="21:26" x14ac:dyDescent="0.25">
      <c r="U246" s="31">
        <v>242</v>
      </c>
      <c r="V246" s="20">
        <f t="shared" si="6"/>
        <v>14000</v>
      </c>
      <c r="Y246" s="31">
        <v>242</v>
      </c>
      <c r="Z246" s="33"/>
    </row>
    <row r="247" spans="21:26" x14ac:dyDescent="0.25">
      <c r="U247" s="31">
        <v>243</v>
      </c>
      <c r="V247" s="20">
        <f t="shared" si="6"/>
        <v>14050</v>
      </c>
      <c r="Y247" s="31">
        <v>243</v>
      </c>
      <c r="Z247" s="33"/>
    </row>
    <row r="248" spans="21:26" x14ac:dyDescent="0.25">
      <c r="U248" s="31">
        <v>244</v>
      </c>
      <c r="V248" s="20">
        <f t="shared" si="6"/>
        <v>14100</v>
      </c>
      <c r="Y248" s="31">
        <v>244</v>
      </c>
      <c r="Z248" s="33"/>
    </row>
    <row r="249" spans="21:26" x14ac:dyDescent="0.25">
      <c r="U249" s="31">
        <v>245</v>
      </c>
      <c r="V249" s="20">
        <f t="shared" si="6"/>
        <v>14150</v>
      </c>
      <c r="Y249" s="31">
        <v>245</v>
      </c>
      <c r="Z249" s="33"/>
    </row>
    <row r="250" spans="21:26" x14ac:dyDescent="0.25">
      <c r="U250" s="31">
        <v>246</v>
      </c>
      <c r="V250" s="20">
        <f t="shared" si="6"/>
        <v>14200</v>
      </c>
      <c r="Y250" s="31">
        <v>246</v>
      </c>
      <c r="Z250" s="33"/>
    </row>
    <row r="251" spans="21:26" x14ac:dyDescent="0.25">
      <c r="U251" s="31">
        <v>247</v>
      </c>
      <c r="V251" s="20">
        <f t="shared" si="6"/>
        <v>14250</v>
      </c>
      <c r="Y251" s="31">
        <v>247</v>
      </c>
      <c r="Z251" s="33"/>
    </row>
    <row r="252" spans="21:26" x14ac:dyDescent="0.25">
      <c r="U252" s="31">
        <v>248</v>
      </c>
      <c r="V252" s="20">
        <f t="shared" si="6"/>
        <v>14300</v>
      </c>
      <c r="Y252" s="31">
        <v>248</v>
      </c>
      <c r="Z252" s="33"/>
    </row>
    <row r="253" spans="21:26" x14ac:dyDescent="0.25">
      <c r="U253" s="31">
        <v>249</v>
      </c>
      <c r="V253" s="20">
        <f t="shared" si="6"/>
        <v>14350</v>
      </c>
      <c r="Y253" s="31">
        <v>249</v>
      </c>
      <c r="Z253" s="33"/>
    </row>
    <row r="254" spans="21:26" x14ac:dyDescent="0.25">
      <c r="U254" s="31">
        <v>250</v>
      </c>
      <c r="V254" s="20">
        <f t="shared" si="6"/>
        <v>14400</v>
      </c>
      <c r="Y254" s="31">
        <v>250</v>
      </c>
      <c r="Z254" s="33"/>
    </row>
    <row r="255" spans="21:26" x14ac:dyDescent="0.25">
      <c r="U255" s="31">
        <v>251</v>
      </c>
      <c r="V255" s="20">
        <f t="shared" si="6"/>
        <v>14450</v>
      </c>
      <c r="Y255" s="31">
        <v>251</v>
      </c>
      <c r="Z255" s="33"/>
    </row>
    <row r="256" spans="21:26" x14ac:dyDescent="0.25">
      <c r="U256" s="31">
        <v>252</v>
      </c>
      <c r="V256" s="20">
        <f t="shared" si="6"/>
        <v>14500</v>
      </c>
      <c r="Y256" s="31">
        <v>252</v>
      </c>
      <c r="Z256" s="33"/>
    </row>
    <row r="257" spans="21:26" x14ac:dyDescent="0.25">
      <c r="U257" s="31">
        <v>253</v>
      </c>
      <c r="V257" s="20">
        <f t="shared" si="6"/>
        <v>14550</v>
      </c>
      <c r="Y257" s="31">
        <v>253</v>
      </c>
      <c r="Z257" s="33"/>
    </row>
    <row r="258" spans="21:26" x14ac:dyDescent="0.25">
      <c r="U258" s="31">
        <v>254</v>
      </c>
      <c r="V258" s="20">
        <f t="shared" ref="V258:V321" si="7">((U258-$U$64)*50)+$V$64</f>
        <v>14600</v>
      </c>
      <c r="Y258" s="31">
        <v>254</v>
      </c>
      <c r="Z258" s="33"/>
    </row>
    <row r="259" spans="21:26" x14ac:dyDescent="0.25">
      <c r="U259" s="31">
        <v>255</v>
      </c>
      <c r="V259" s="20">
        <f t="shared" si="7"/>
        <v>14650</v>
      </c>
      <c r="Y259" s="31">
        <v>255</v>
      </c>
      <c r="Z259" s="33"/>
    </row>
    <row r="260" spans="21:26" x14ac:dyDescent="0.25">
      <c r="U260" s="31">
        <v>256</v>
      </c>
      <c r="V260" s="20">
        <f t="shared" si="7"/>
        <v>14700</v>
      </c>
      <c r="Y260" s="31">
        <v>256</v>
      </c>
      <c r="Z260" s="33"/>
    </row>
    <row r="261" spans="21:26" x14ac:dyDescent="0.25">
      <c r="U261" s="31">
        <v>257</v>
      </c>
      <c r="V261" s="20">
        <f t="shared" si="7"/>
        <v>14750</v>
      </c>
      <c r="Y261" s="31">
        <v>257</v>
      </c>
      <c r="Z261" s="33"/>
    </row>
    <row r="262" spans="21:26" x14ac:dyDescent="0.25">
      <c r="U262" s="31">
        <v>258</v>
      </c>
      <c r="V262" s="20">
        <f t="shared" si="7"/>
        <v>14800</v>
      </c>
      <c r="Y262" s="31">
        <v>258</v>
      </c>
      <c r="Z262" s="33"/>
    </row>
    <row r="263" spans="21:26" x14ac:dyDescent="0.25">
      <c r="U263" s="31">
        <v>259</v>
      </c>
      <c r="V263" s="20">
        <f t="shared" si="7"/>
        <v>14850</v>
      </c>
      <c r="Y263" s="31">
        <v>259</v>
      </c>
      <c r="Z263" s="33"/>
    </row>
    <row r="264" spans="21:26" x14ac:dyDescent="0.25">
      <c r="U264" s="31">
        <v>260</v>
      </c>
      <c r="V264" s="20">
        <f t="shared" si="7"/>
        <v>14900</v>
      </c>
      <c r="Y264" s="31">
        <v>260</v>
      </c>
      <c r="Z264" s="33"/>
    </row>
    <row r="265" spans="21:26" x14ac:dyDescent="0.25">
      <c r="U265" s="31">
        <v>261</v>
      </c>
      <c r="V265" s="20">
        <f t="shared" si="7"/>
        <v>14950</v>
      </c>
      <c r="Y265" s="31">
        <v>261</v>
      </c>
      <c r="Z265" s="33"/>
    </row>
    <row r="266" spans="21:26" x14ac:dyDescent="0.25">
      <c r="U266" s="31">
        <v>262</v>
      </c>
      <c r="V266" s="20">
        <f t="shared" si="7"/>
        <v>15000</v>
      </c>
      <c r="Y266" s="31">
        <v>262</v>
      </c>
      <c r="Z266" s="33"/>
    </row>
    <row r="267" spans="21:26" x14ac:dyDescent="0.25">
      <c r="U267" s="31">
        <v>263</v>
      </c>
      <c r="V267" s="20">
        <f t="shared" si="7"/>
        <v>15050</v>
      </c>
      <c r="Y267" s="31">
        <v>263</v>
      </c>
      <c r="Z267" s="33"/>
    </row>
    <row r="268" spans="21:26" x14ac:dyDescent="0.25">
      <c r="U268" s="31">
        <v>264</v>
      </c>
      <c r="V268" s="20">
        <f t="shared" si="7"/>
        <v>15100</v>
      </c>
      <c r="Y268" s="31">
        <v>264</v>
      </c>
      <c r="Z268" s="33"/>
    </row>
    <row r="269" spans="21:26" x14ac:dyDescent="0.25">
      <c r="U269" s="31">
        <v>265</v>
      </c>
      <c r="V269" s="20">
        <f t="shared" si="7"/>
        <v>15150</v>
      </c>
      <c r="Y269" s="31">
        <v>265</v>
      </c>
      <c r="Z269" s="33"/>
    </row>
    <row r="270" spans="21:26" x14ac:dyDescent="0.25">
      <c r="U270" s="31">
        <v>266</v>
      </c>
      <c r="V270" s="20">
        <f t="shared" si="7"/>
        <v>15200</v>
      </c>
      <c r="Y270" s="31">
        <v>266</v>
      </c>
      <c r="Z270" s="33"/>
    </row>
    <row r="271" spans="21:26" x14ac:dyDescent="0.25">
      <c r="U271" s="31">
        <v>267</v>
      </c>
      <c r="V271" s="20">
        <f t="shared" si="7"/>
        <v>15250</v>
      </c>
      <c r="Y271" s="31">
        <v>267</v>
      </c>
      <c r="Z271" s="33"/>
    </row>
    <row r="272" spans="21:26" x14ac:dyDescent="0.25">
      <c r="U272" s="31">
        <v>268</v>
      </c>
      <c r="V272" s="20">
        <f t="shared" si="7"/>
        <v>15300</v>
      </c>
      <c r="Y272" s="31">
        <v>268</v>
      </c>
      <c r="Z272" s="33"/>
    </row>
    <row r="273" spans="21:26" x14ac:dyDescent="0.25">
      <c r="U273" s="31">
        <v>269</v>
      </c>
      <c r="V273" s="20">
        <f t="shared" si="7"/>
        <v>15350</v>
      </c>
      <c r="Y273" s="31">
        <v>269</v>
      </c>
      <c r="Z273" s="33"/>
    </row>
    <row r="274" spans="21:26" x14ac:dyDescent="0.25">
      <c r="U274" s="31">
        <v>270</v>
      </c>
      <c r="V274" s="20">
        <f t="shared" si="7"/>
        <v>15400</v>
      </c>
      <c r="Y274" s="31">
        <v>270</v>
      </c>
      <c r="Z274" s="33"/>
    </row>
    <row r="275" spans="21:26" x14ac:dyDescent="0.25">
      <c r="U275" s="31">
        <v>271</v>
      </c>
      <c r="V275" s="20">
        <f t="shared" si="7"/>
        <v>15450</v>
      </c>
      <c r="Y275" s="31">
        <v>271</v>
      </c>
      <c r="Z275" s="33"/>
    </row>
    <row r="276" spans="21:26" x14ac:dyDescent="0.25">
      <c r="U276" s="31">
        <v>272</v>
      </c>
      <c r="V276" s="20">
        <f t="shared" si="7"/>
        <v>15500</v>
      </c>
      <c r="Y276" s="31">
        <v>272</v>
      </c>
      <c r="Z276" s="33"/>
    </row>
    <row r="277" spans="21:26" x14ac:dyDescent="0.25">
      <c r="U277" s="31">
        <v>273</v>
      </c>
      <c r="V277" s="20">
        <f t="shared" si="7"/>
        <v>15550</v>
      </c>
      <c r="Y277" s="31">
        <v>273</v>
      </c>
      <c r="Z277" s="33"/>
    </row>
    <row r="278" spans="21:26" x14ac:dyDescent="0.25">
      <c r="U278" s="31">
        <v>274</v>
      </c>
      <c r="V278" s="20">
        <f t="shared" si="7"/>
        <v>15600</v>
      </c>
      <c r="Y278" s="31">
        <v>274</v>
      </c>
      <c r="Z278" s="33"/>
    </row>
    <row r="279" spans="21:26" x14ac:dyDescent="0.25">
      <c r="U279" s="31">
        <v>275</v>
      </c>
      <c r="V279" s="20">
        <f t="shared" si="7"/>
        <v>15650</v>
      </c>
      <c r="Y279" s="31">
        <v>275</v>
      </c>
      <c r="Z279" s="33"/>
    </row>
    <row r="280" spans="21:26" x14ac:dyDescent="0.25">
      <c r="U280" s="31">
        <v>276</v>
      </c>
      <c r="V280" s="20">
        <f t="shared" si="7"/>
        <v>15700</v>
      </c>
      <c r="Y280" s="31">
        <v>276</v>
      </c>
      <c r="Z280" s="33"/>
    </row>
    <row r="281" spans="21:26" x14ac:dyDescent="0.25">
      <c r="U281" s="31">
        <v>277</v>
      </c>
      <c r="V281" s="20">
        <f t="shared" si="7"/>
        <v>15750</v>
      </c>
      <c r="Y281" s="31">
        <v>277</v>
      </c>
      <c r="Z281" s="33"/>
    </row>
    <row r="282" spans="21:26" x14ac:dyDescent="0.25">
      <c r="U282" s="31">
        <v>278</v>
      </c>
      <c r="V282" s="20">
        <f t="shared" si="7"/>
        <v>15800</v>
      </c>
      <c r="Y282" s="31">
        <v>278</v>
      </c>
      <c r="Z282" s="33"/>
    </row>
    <row r="283" spans="21:26" x14ac:dyDescent="0.25">
      <c r="U283" s="31">
        <v>279</v>
      </c>
      <c r="V283" s="20">
        <f t="shared" si="7"/>
        <v>15850</v>
      </c>
      <c r="Y283" s="31">
        <v>279</v>
      </c>
      <c r="Z283" s="33"/>
    </row>
    <row r="284" spans="21:26" x14ac:dyDescent="0.25">
      <c r="U284" s="31">
        <v>280</v>
      </c>
      <c r="V284" s="20">
        <f t="shared" si="7"/>
        <v>15900</v>
      </c>
      <c r="Y284" s="31">
        <v>280</v>
      </c>
      <c r="Z284" s="33"/>
    </row>
    <row r="285" spans="21:26" x14ac:dyDescent="0.25">
      <c r="U285" s="31">
        <v>281</v>
      </c>
      <c r="V285" s="20">
        <f t="shared" si="7"/>
        <v>15950</v>
      </c>
      <c r="Y285" s="31">
        <v>281</v>
      </c>
      <c r="Z285" s="33"/>
    </row>
    <row r="286" spans="21:26" x14ac:dyDescent="0.25">
      <c r="U286" s="31">
        <v>282</v>
      </c>
      <c r="V286" s="20">
        <f t="shared" si="7"/>
        <v>16000</v>
      </c>
      <c r="Y286" s="31">
        <v>282</v>
      </c>
      <c r="Z286" s="33"/>
    </row>
    <row r="287" spans="21:26" x14ac:dyDescent="0.25">
      <c r="U287" s="31">
        <v>283</v>
      </c>
      <c r="V287" s="20">
        <f t="shared" si="7"/>
        <v>16050</v>
      </c>
      <c r="Y287" s="31">
        <v>283</v>
      </c>
      <c r="Z287" s="33"/>
    </row>
    <row r="288" spans="21:26" x14ac:dyDescent="0.25">
      <c r="U288" s="31">
        <v>284</v>
      </c>
      <c r="V288" s="20">
        <f t="shared" si="7"/>
        <v>16100</v>
      </c>
      <c r="Y288" s="31">
        <v>284</v>
      </c>
      <c r="Z288" s="33"/>
    </row>
    <row r="289" spans="21:26" x14ac:dyDescent="0.25">
      <c r="U289" s="31">
        <v>285</v>
      </c>
      <c r="V289" s="20">
        <f t="shared" si="7"/>
        <v>16150</v>
      </c>
      <c r="Y289" s="31">
        <v>285</v>
      </c>
      <c r="Z289" s="33"/>
    </row>
    <row r="290" spans="21:26" x14ac:dyDescent="0.25">
      <c r="U290" s="31">
        <v>286</v>
      </c>
      <c r="V290" s="20">
        <f t="shared" si="7"/>
        <v>16200</v>
      </c>
      <c r="Y290" s="31">
        <v>286</v>
      </c>
      <c r="Z290" s="33"/>
    </row>
    <row r="291" spans="21:26" x14ac:dyDescent="0.25">
      <c r="U291" s="31">
        <v>287</v>
      </c>
      <c r="V291" s="20">
        <f t="shared" si="7"/>
        <v>16250</v>
      </c>
      <c r="Y291" s="31">
        <v>287</v>
      </c>
      <c r="Z291" s="33"/>
    </row>
    <row r="292" spans="21:26" x14ac:dyDescent="0.25">
      <c r="U292" s="31">
        <v>288</v>
      </c>
      <c r="V292" s="20">
        <f t="shared" si="7"/>
        <v>16300</v>
      </c>
      <c r="Y292" s="31">
        <v>288</v>
      </c>
      <c r="Z292" s="33"/>
    </row>
    <row r="293" spans="21:26" x14ac:dyDescent="0.25">
      <c r="U293" s="31">
        <v>289</v>
      </c>
      <c r="V293" s="20">
        <f t="shared" si="7"/>
        <v>16350</v>
      </c>
      <c r="Y293" s="31">
        <v>289</v>
      </c>
      <c r="Z293" s="33"/>
    </row>
    <row r="294" spans="21:26" x14ac:dyDescent="0.25">
      <c r="U294" s="31">
        <v>290</v>
      </c>
      <c r="V294" s="20">
        <f t="shared" si="7"/>
        <v>16400</v>
      </c>
      <c r="Y294" s="31">
        <v>290</v>
      </c>
      <c r="Z294" s="33"/>
    </row>
    <row r="295" spans="21:26" x14ac:dyDescent="0.25">
      <c r="U295" s="31">
        <v>291</v>
      </c>
      <c r="V295" s="20">
        <f t="shared" si="7"/>
        <v>16450</v>
      </c>
      <c r="Y295" s="31">
        <v>291</v>
      </c>
      <c r="Z295" s="33"/>
    </row>
    <row r="296" spans="21:26" x14ac:dyDescent="0.25">
      <c r="U296" s="31">
        <v>292</v>
      </c>
      <c r="V296" s="20">
        <f t="shared" si="7"/>
        <v>16500</v>
      </c>
      <c r="Y296" s="31">
        <v>292</v>
      </c>
      <c r="Z296" s="33"/>
    </row>
    <row r="297" spans="21:26" x14ac:dyDescent="0.25">
      <c r="U297" s="31">
        <v>293</v>
      </c>
      <c r="V297" s="20">
        <f t="shared" si="7"/>
        <v>16550</v>
      </c>
      <c r="Y297" s="31">
        <v>293</v>
      </c>
      <c r="Z297" s="33"/>
    </row>
    <row r="298" spans="21:26" x14ac:dyDescent="0.25">
      <c r="U298" s="31">
        <v>294</v>
      </c>
      <c r="V298" s="20">
        <f t="shared" si="7"/>
        <v>16600</v>
      </c>
      <c r="Y298" s="31">
        <v>294</v>
      </c>
      <c r="Z298" s="33"/>
    </row>
    <row r="299" spans="21:26" x14ac:dyDescent="0.25">
      <c r="U299" s="31">
        <v>295</v>
      </c>
      <c r="V299" s="20">
        <f t="shared" si="7"/>
        <v>16650</v>
      </c>
      <c r="Y299" s="31">
        <v>295</v>
      </c>
      <c r="Z299" s="33"/>
    </row>
    <row r="300" spans="21:26" x14ac:dyDescent="0.25">
      <c r="U300" s="31">
        <v>296</v>
      </c>
      <c r="V300" s="20">
        <f t="shared" si="7"/>
        <v>16700</v>
      </c>
      <c r="Y300" s="31">
        <v>296</v>
      </c>
      <c r="Z300" s="33"/>
    </row>
    <row r="301" spans="21:26" x14ac:dyDescent="0.25">
      <c r="U301" s="31">
        <v>297</v>
      </c>
      <c r="V301" s="20">
        <f t="shared" si="7"/>
        <v>16750</v>
      </c>
      <c r="Y301" s="31">
        <v>297</v>
      </c>
      <c r="Z301" s="33"/>
    </row>
    <row r="302" spans="21:26" x14ac:dyDescent="0.25">
      <c r="U302" s="31">
        <v>298</v>
      </c>
      <c r="V302" s="20">
        <f t="shared" si="7"/>
        <v>16800</v>
      </c>
      <c r="Y302" s="31">
        <v>298</v>
      </c>
      <c r="Z302" s="33"/>
    </row>
    <row r="303" spans="21:26" x14ac:dyDescent="0.25">
      <c r="U303" s="31">
        <v>299</v>
      </c>
      <c r="V303" s="20">
        <f t="shared" si="7"/>
        <v>16850</v>
      </c>
      <c r="Y303" s="31">
        <v>299</v>
      </c>
      <c r="Z303" s="33"/>
    </row>
    <row r="304" spans="21:26" x14ac:dyDescent="0.25">
      <c r="U304" s="31">
        <v>300</v>
      </c>
      <c r="V304" s="20">
        <f t="shared" si="7"/>
        <v>16900</v>
      </c>
      <c r="Y304" s="31">
        <v>300</v>
      </c>
      <c r="Z304" s="33"/>
    </row>
    <row r="305" spans="21:26" x14ac:dyDescent="0.25">
      <c r="U305" s="31">
        <v>301</v>
      </c>
      <c r="V305" s="20">
        <f t="shared" si="7"/>
        <v>16950</v>
      </c>
      <c r="Y305" s="31">
        <v>301</v>
      </c>
      <c r="Z305" s="33"/>
    </row>
    <row r="306" spans="21:26" x14ac:dyDescent="0.25">
      <c r="U306" s="31">
        <v>302</v>
      </c>
      <c r="V306" s="20">
        <f t="shared" si="7"/>
        <v>17000</v>
      </c>
      <c r="Y306" s="31">
        <v>302</v>
      </c>
      <c r="Z306" s="33"/>
    </row>
    <row r="307" spans="21:26" x14ac:dyDescent="0.25">
      <c r="U307" s="31">
        <v>303</v>
      </c>
      <c r="V307" s="20">
        <f t="shared" si="7"/>
        <v>17050</v>
      </c>
      <c r="Y307" s="31">
        <v>303</v>
      </c>
      <c r="Z307" s="33"/>
    </row>
    <row r="308" spans="21:26" x14ac:dyDescent="0.25">
      <c r="U308" s="31">
        <v>304</v>
      </c>
      <c r="V308" s="20">
        <f t="shared" si="7"/>
        <v>17100</v>
      </c>
      <c r="Y308" s="31">
        <v>304</v>
      </c>
      <c r="Z308" s="33"/>
    </row>
    <row r="309" spans="21:26" x14ac:dyDescent="0.25">
      <c r="U309" s="31">
        <v>305</v>
      </c>
      <c r="V309" s="20">
        <f t="shared" si="7"/>
        <v>17150</v>
      </c>
      <c r="Y309" s="31">
        <v>305</v>
      </c>
      <c r="Z309" s="33"/>
    </row>
    <row r="310" spans="21:26" x14ac:dyDescent="0.25">
      <c r="U310" s="31">
        <v>306</v>
      </c>
      <c r="V310" s="20">
        <f t="shared" si="7"/>
        <v>17200</v>
      </c>
      <c r="Y310" s="31">
        <v>306</v>
      </c>
      <c r="Z310" s="33"/>
    </row>
    <row r="311" spans="21:26" x14ac:dyDescent="0.25">
      <c r="U311" s="31">
        <v>307</v>
      </c>
      <c r="V311" s="20">
        <f t="shared" si="7"/>
        <v>17250</v>
      </c>
      <c r="Y311" s="31">
        <v>307</v>
      </c>
      <c r="Z311" s="33"/>
    </row>
    <row r="312" spans="21:26" x14ac:dyDescent="0.25">
      <c r="U312" s="31">
        <v>308</v>
      </c>
      <c r="V312" s="20">
        <f t="shared" si="7"/>
        <v>17300</v>
      </c>
      <c r="Y312" s="31">
        <v>308</v>
      </c>
      <c r="Z312" s="33"/>
    </row>
    <row r="313" spans="21:26" x14ac:dyDescent="0.25">
      <c r="U313" s="31">
        <v>309</v>
      </c>
      <c r="V313" s="20">
        <f t="shared" si="7"/>
        <v>17350</v>
      </c>
      <c r="Y313" s="31">
        <v>309</v>
      </c>
      <c r="Z313" s="33"/>
    </row>
    <row r="314" spans="21:26" x14ac:dyDescent="0.25">
      <c r="U314" s="31">
        <v>310</v>
      </c>
      <c r="V314" s="20">
        <f t="shared" si="7"/>
        <v>17400</v>
      </c>
      <c r="Y314" s="31">
        <v>310</v>
      </c>
      <c r="Z314" s="33"/>
    </row>
    <row r="315" spans="21:26" x14ac:dyDescent="0.25">
      <c r="U315" s="31">
        <v>311</v>
      </c>
      <c r="V315" s="20">
        <f t="shared" si="7"/>
        <v>17450</v>
      </c>
      <c r="Y315" s="31">
        <v>311</v>
      </c>
      <c r="Z315" s="33"/>
    </row>
    <row r="316" spans="21:26" x14ac:dyDescent="0.25">
      <c r="U316" s="31">
        <v>312</v>
      </c>
      <c r="V316" s="20">
        <f t="shared" si="7"/>
        <v>17500</v>
      </c>
      <c r="Y316" s="31">
        <v>312</v>
      </c>
      <c r="Z316" s="33"/>
    </row>
    <row r="317" spans="21:26" x14ac:dyDescent="0.25">
      <c r="U317" s="31">
        <v>313</v>
      </c>
      <c r="V317" s="20">
        <f t="shared" si="7"/>
        <v>17550</v>
      </c>
      <c r="Y317" s="31">
        <v>313</v>
      </c>
      <c r="Z317" s="33"/>
    </row>
    <row r="318" spans="21:26" x14ac:dyDescent="0.25">
      <c r="U318" s="31">
        <v>314</v>
      </c>
      <c r="V318" s="20">
        <f t="shared" si="7"/>
        <v>17600</v>
      </c>
      <c r="Y318" s="31">
        <v>314</v>
      </c>
      <c r="Z318" s="33"/>
    </row>
    <row r="319" spans="21:26" x14ac:dyDescent="0.25">
      <c r="U319" s="31">
        <v>315</v>
      </c>
      <c r="V319" s="20">
        <f t="shared" si="7"/>
        <v>17650</v>
      </c>
      <c r="Y319" s="31">
        <v>315</v>
      </c>
      <c r="Z319" s="33"/>
    </row>
    <row r="320" spans="21:26" x14ac:dyDescent="0.25">
      <c r="U320" s="31">
        <v>316</v>
      </c>
      <c r="V320" s="20">
        <f t="shared" si="7"/>
        <v>17700</v>
      </c>
      <c r="Y320" s="31">
        <v>316</v>
      </c>
      <c r="Z320" s="33"/>
    </row>
    <row r="321" spans="21:26" x14ac:dyDescent="0.25">
      <c r="U321" s="31">
        <v>317</v>
      </c>
      <c r="V321" s="20">
        <f t="shared" si="7"/>
        <v>17750</v>
      </c>
      <c r="Y321" s="31">
        <v>317</v>
      </c>
      <c r="Z321" s="33"/>
    </row>
    <row r="322" spans="21:26" x14ac:dyDescent="0.25">
      <c r="U322" s="31">
        <v>318</v>
      </c>
      <c r="V322" s="20">
        <f t="shared" ref="V322:V369" si="8">((U322-$U$64)*50)+$V$64</f>
        <v>17800</v>
      </c>
      <c r="Y322" s="31">
        <v>318</v>
      </c>
      <c r="Z322" s="33"/>
    </row>
    <row r="323" spans="21:26" x14ac:dyDescent="0.25">
      <c r="U323" s="31">
        <v>319</v>
      </c>
      <c r="V323" s="20">
        <f t="shared" si="8"/>
        <v>17850</v>
      </c>
      <c r="Y323" s="31">
        <v>319</v>
      </c>
      <c r="Z323" s="33"/>
    </row>
    <row r="324" spans="21:26" x14ac:dyDescent="0.25">
      <c r="U324" s="31">
        <v>320</v>
      </c>
      <c r="V324" s="20">
        <f t="shared" si="8"/>
        <v>17900</v>
      </c>
      <c r="Y324" s="31">
        <v>320</v>
      </c>
      <c r="Z324" s="33"/>
    </row>
    <row r="325" spans="21:26" x14ac:dyDescent="0.25">
      <c r="U325" s="31">
        <v>321</v>
      </c>
      <c r="V325" s="20">
        <f t="shared" si="8"/>
        <v>17950</v>
      </c>
      <c r="Y325" s="31">
        <v>321</v>
      </c>
      <c r="Z325" s="33"/>
    </row>
    <row r="326" spans="21:26" x14ac:dyDescent="0.25">
      <c r="U326" s="31">
        <v>322</v>
      </c>
      <c r="V326" s="20">
        <f t="shared" si="8"/>
        <v>18000</v>
      </c>
      <c r="Y326" s="31">
        <v>322</v>
      </c>
      <c r="Z326" s="33"/>
    </row>
    <row r="327" spans="21:26" x14ac:dyDescent="0.25">
      <c r="U327" s="31">
        <v>323</v>
      </c>
      <c r="V327" s="20">
        <f t="shared" si="8"/>
        <v>18050</v>
      </c>
      <c r="Y327" s="31">
        <v>323</v>
      </c>
      <c r="Z327" s="33"/>
    </row>
    <row r="328" spans="21:26" x14ac:dyDescent="0.25">
      <c r="U328" s="31">
        <v>324</v>
      </c>
      <c r="V328" s="20">
        <f t="shared" si="8"/>
        <v>18100</v>
      </c>
      <c r="Y328" s="31">
        <v>324</v>
      </c>
      <c r="Z328" s="33"/>
    </row>
    <row r="329" spans="21:26" x14ac:dyDescent="0.25">
      <c r="U329" s="31">
        <v>325</v>
      </c>
      <c r="V329" s="20">
        <f t="shared" si="8"/>
        <v>18150</v>
      </c>
      <c r="Y329" s="31">
        <v>325</v>
      </c>
      <c r="Z329" s="33"/>
    </row>
    <row r="330" spans="21:26" x14ac:dyDescent="0.25">
      <c r="U330" s="31">
        <v>326</v>
      </c>
      <c r="V330" s="20">
        <f t="shared" si="8"/>
        <v>18200</v>
      </c>
      <c r="Y330" s="31">
        <v>326</v>
      </c>
      <c r="Z330" s="33"/>
    </row>
    <row r="331" spans="21:26" x14ac:dyDescent="0.25">
      <c r="U331" s="31">
        <v>327</v>
      </c>
      <c r="V331" s="20">
        <f t="shared" si="8"/>
        <v>18250</v>
      </c>
      <c r="Y331" s="31">
        <v>327</v>
      </c>
      <c r="Z331" s="33"/>
    </row>
    <row r="332" spans="21:26" x14ac:dyDescent="0.25">
      <c r="U332" s="31">
        <v>328</v>
      </c>
      <c r="V332" s="20">
        <f t="shared" si="8"/>
        <v>18300</v>
      </c>
      <c r="Y332" s="31">
        <v>328</v>
      </c>
      <c r="Z332" s="33"/>
    </row>
    <row r="333" spans="21:26" x14ac:dyDescent="0.25">
      <c r="U333" s="31">
        <v>329</v>
      </c>
      <c r="V333" s="20">
        <f t="shared" si="8"/>
        <v>18350</v>
      </c>
      <c r="Y333" s="31">
        <v>329</v>
      </c>
      <c r="Z333" s="33"/>
    </row>
    <row r="334" spans="21:26" x14ac:dyDescent="0.25">
      <c r="U334" s="31">
        <v>330</v>
      </c>
      <c r="V334" s="20">
        <f t="shared" si="8"/>
        <v>18400</v>
      </c>
      <c r="Y334" s="31">
        <v>330</v>
      </c>
      <c r="Z334" s="33"/>
    </row>
    <row r="335" spans="21:26" x14ac:dyDescent="0.25">
      <c r="U335" s="31">
        <v>331</v>
      </c>
      <c r="V335" s="20">
        <f t="shared" si="8"/>
        <v>18450</v>
      </c>
      <c r="Y335" s="31">
        <v>331</v>
      </c>
      <c r="Z335" s="33"/>
    </row>
    <row r="336" spans="21:26" x14ac:dyDescent="0.25">
      <c r="U336" s="31">
        <v>332</v>
      </c>
      <c r="V336" s="20">
        <f t="shared" si="8"/>
        <v>18500</v>
      </c>
      <c r="Y336" s="31">
        <v>332</v>
      </c>
      <c r="Z336" s="33"/>
    </row>
    <row r="337" spans="21:26" x14ac:dyDescent="0.25">
      <c r="U337" s="31">
        <v>333</v>
      </c>
      <c r="V337" s="20">
        <f t="shared" si="8"/>
        <v>18550</v>
      </c>
      <c r="Y337" s="31">
        <v>333</v>
      </c>
      <c r="Z337" s="33"/>
    </row>
    <row r="338" spans="21:26" x14ac:dyDescent="0.25">
      <c r="U338" s="31">
        <v>334</v>
      </c>
      <c r="V338" s="20">
        <f t="shared" si="8"/>
        <v>18600</v>
      </c>
      <c r="Y338" s="31">
        <v>334</v>
      </c>
      <c r="Z338" s="33"/>
    </row>
    <row r="339" spans="21:26" x14ac:dyDescent="0.25">
      <c r="U339" s="31">
        <v>335</v>
      </c>
      <c r="V339" s="20">
        <f t="shared" si="8"/>
        <v>18650</v>
      </c>
      <c r="Y339" s="31">
        <v>335</v>
      </c>
      <c r="Z339" s="33"/>
    </row>
    <row r="340" spans="21:26" x14ac:dyDescent="0.25">
      <c r="U340" s="31">
        <v>336</v>
      </c>
      <c r="V340" s="20">
        <f t="shared" si="8"/>
        <v>18700</v>
      </c>
      <c r="Y340" s="31">
        <v>336</v>
      </c>
      <c r="Z340" s="33"/>
    </row>
    <row r="341" spans="21:26" x14ac:dyDescent="0.25">
      <c r="U341" s="31">
        <v>337</v>
      </c>
      <c r="V341" s="20">
        <f t="shared" si="8"/>
        <v>18750</v>
      </c>
      <c r="Y341" s="31">
        <v>337</v>
      </c>
      <c r="Z341" s="33"/>
    </row>
    <row r="342" spans="21:26" x14ac:dyDescent="0.25">
      <c r="U342" s="31">
        <v>338</v>
      </c>
      <c r="V342" s="20">
        <f t="shared" si="8"/>
        <v>18800</v>
      </c>
      <c r="Y342" s="31">
        <v>338</v>
      </c>
      <c r="Z342" s="33"/>
    </row>
    <row r="343" spans="21:26" x14ac:dyDescent="0.25">
      <c r="U343" s="31">
        <v>339</v>
      </c>
      <c r="V343" s="20">
        <f t="shared" si="8"/>
        <v>18850</v>
      </c>
      <c r="Y343" s="31">
        <v>339</v>
      </c>
      <c r="Z343" s="33"/>
    </row>
    <row r="344" spans="21:26" x14ac:dyDescent="0.25">
      <c r="U344" s="31">
        <v>340</v>
      </c>
      <c r="V344" s="20">
        <f t="shared" si="8"/>
        <v>18900</v>
      </c>
      <c r="Y344" s="31">
        <v>340</v>
      </c>
      <c r="Z344" s="33"/>
    </row>
    <row r="345" spans="21:26" x14ac:dyDescent="0.25">
      <c r="U345" s="31">
        <v>341</v>
      </c>
      <c r="V345" s="20">
        <f t="shared" si="8"/>
        <v>18950</v>
      </c>
      <c r="Y345" s="31">
        <v>341</v>
      </c>
      <c r="Z345" s="33"/>
    </row>
    <row r="346" spans="21:26" x14ac:dyDescent="0.25">
      <c r="U346" s="31">
        <v>342</v>
      </c>
      <c r="V346" s="20">
        <f t="shared" si="8"/>
        <v>19000</v>
      </c>
      <c r="Y346" s="31">
        <v>342</v>
      </c>
      <c r="Z346" s="33"/>
    </row>
    <row r="347" spans="21:26" x14ac:dyDescent="0.25">
      <c r="U347" s="31">
        <v>343</v>
      </c>
      <c r="V347" s="20">
        <f t="shared" si="8"/>
        <v>19050</v>
      </c>
      <c r="Y347" s="31">
        <v>343</v>
      </c>
      <c r="Z347" s="33"/>
    </row>
    <row r="348" spans="21:26" x14ac:dyDescent="0.25">
      <c r="U348" s="31">
        <v>344</v>
      </c>
      <c r="V348" s="20">
        <f t="shared" si="8"/>
        <v>19100</v>
      </c>
      <c r="Y348" s="31">
        <v>344</v>
      </c>
      <c r="Z348" s="33"/>
    </row>
    <row r="349" spans="21:26" x14ac:dyDescent="0.25">
      <c r="U349" s="31">
        <v>345</v>
      </c>
      <c r="V349" s="20">
        <f t="shared" si="8"/>
        <v>19150</v>
      </c>
      <c r="Y349" s="31">
        <v>345</v>
      </c>
      <c r="Z349" s="33"/>
    </row>
    <row r="350" spans="21:26" x14ac:dyDescent="0.25">
      <c r="U350" s="31">
        <v>346</v>
      </c>
      <c r="V350" s="20">
        <f t="shared" si="8"/>
        <v>19200</v>
      </c>
      <c r="Y350" s="31">
        <v>346</v>
      </c>
      <c r="Z350" s="33"/>
    </row>
    <row r="351" spans="21:26" x14ac:dyDescent="0.25">
      <c r="U351" s="31">
        <v>347</v>
      </c>
      <c r="V351" s="20">
        <f t="shared" si="8"/>
        <v>19250</v>
      </c>
      <c r="Y351" s="31">
        <v>347</v>
      </c>
      <c r="Z351" s="33"/>
    </row>
    <row r="352" spans="21:26" x14ac:dyDescent="0.25">
      <c r="U352" s="31">
        <v>348</v>
      </c>
      <c r="V352" s="20">
        <f t="shared" si="8"/>
        <v>19300</v>
      </c>
      <c r="Y352" s="31">
        <v>348</v>
      </c>
      <c r="Z352" s="33"/>
    </row>
    <row r="353" spans="21:26" x14ac:dyDescent="0.25">
      <c r="U353" s="31">
        <v>349</v>
      </c>
      <c r="V353" s="20">
        <f t="shared" si="8"/>
        <v>19350</v>
      </c>
      <c r="Y353" s="31">
        <v>349</v>
      </c>
      <c r="Z353" s="33"/>
    </row>
    <row r="354" spans="21:26" x14ac:dyDescent="0.25">
      <c r="U354" s="31">
        <v>350</v>
      </c>
      <c r="V354" s="20">
        <f t="shared" si="8"/>
        <v>19400</v>
      </c>
      <c r="Y354" s="31">
        <v>350</v>
      </c>
      <c r="Z354" s="33"/>
    </row>
    <row r="355" spans="21:26" x14ac:dyDescent="0.25">
      <c r="U355" s="31">
        <v>351</v>
      </c>
      <c r="V355" s="20">
        <f t="shared" si="8"/>
        <v>19450</v>
      </c>
      <c r="Y355" s="31">
        <v>351</v>
      </c>
      <c r="Z355" s="33"/>
    </row>
    <row r="356" spans="21:26" x14ac:dyDescent="0.25">
      <c r="U356" s="31">
        <v>352</v>
      </c>
      <c r="V356" s="20">
        <f t="shared" si="8"/>
        <v>19500</v>
      </c>
      <c r="Y356" s="31">
        <v>352</v>
      </c>
      <c r="Z356" s="33"/>
    </row>
    <row r="357" spans="21:26" x14ac:dyDescent="0.25">
      <c r="U357" s="31">
        <v>353</v>
      </c>
      <c r="V357" s="20">
        <f t="shared" si="8"/>
        <v>19550</v>
      </c>
      <c r="Y357" s="31">
        <v>353</v>
      </c>
      <c r="Z357" s="33"/>
    </row>
    <row r="358" spans="21:26" x14ac:dyDescent="0.25">
      <c r="U358" s="31">
        <v>354</v>
      </c>
      <c r="V358" s="20">
        <f t="shared" si="8"/>
        <v>19600</v>
      </c>
      <c r="Y358" s="31">
        <v>354</v>
      </c>
      <c r="Z358" s="33"/>
    </row>
    <row r="359" spans="21:26" x14ac:dyDescent="0.25">
      <c r="U359" s="31">
        <v>355</v>
      </c>
      <c r="V359" s="20">
        <f t="shared" si="8"/>
        <v>19650</v>
      </c>
      <c r="Y359" s="31">
        <v>355</v>
      </c>
      <c r="Z359" s="33"/>
    </row>
    <row r="360" spans="21:26" x14ac:dyDescent="0.25">
      <c r="U360" s="31">
        <v>356</v>
      </c>
      <c r="V360" s="20">
        <f t="shared" si="8"/>
        <v>19700</v>
      </c>
      <c r="Y360" s="31">
        <v>356</v>
      </c>
      <c r="Z360" s="33"/>
    </row>
    <row r="361" spans="21:26" x14ac:dyDescent="0.25">
      <c r="U361" s="31">
        <v>357</v>
      </c>
      <c r="V361" s="20">
        <f t="shared" si="8"/>
        <v>19750</v>
      </c>
      <c r="Y361" s="31">
        <v>357</v>
      </c>
      <c r="Z361" s="33"/>
    </row>
    <row r="362" spans="21:26" x14ac:dyDescent="0.25">
      <c r="U362" s="31">
        <v>358</v>
      </c>
      <c r="V362" s="20">
        <f t="shared" si="8"/>
        <v>19800</v>
      </c>
      <c r="Y362" s="31">
        <v>358</v>
      </c>
      <c r="Z362" s="33"/>
    </row>
    <row r="363" spans="21:26" x14ac:dyDescent="0.25">
      <c r="U363" s="31">
        <v>359</v>
      </c>
      <c r="V363" s="20">
        <f t="shared" si="8"/>
        <v>19850</v>
      </c>
      <c r="Y363" s="31">
        <v>359</v>
      </c>
      <c r="Z363" s="33"/>
    </row>
    <row r="364" spans="21:26" x14ac:dyDescent="0.25">
      <c r="U364" s="31">
        <v>360</v>
      </c>
      <c r="V364" s="20">
        <f t="shared" si="8"/>
        <v>19900</v>
      </c>
      <c r="Y364" s="31">
        <v>360</v>
      </c>
      <c r="Z364" s="33"/>
    </row>
    <row r="365" spans="21:26" x14ac:dyDescent="0.25">
      <c r="U365" s="31">
        <v>361</v>
      </c>
      <c r="V365" s="20">
        <f t="shared" si="8"/>
        <v>19950</v>
      </c>
      <c r="Y365" s="31">
        <v>361</v>
      </c>
      <c r="Z365" s="33"/>
    </row>
    <row r="366" spans="21:26" x14ac:dyDescent="0.25">
      <c r="U366" s="31">
        <v>362</v>
      </c>
      <c r="V366" s="20">
        <f t="shared" si="8"/>
        <v>20000</v>
      </c>
      <c r="Y366" s="31">
        <v>362</v>
      </c>
      <c r="Z366" s="33"/>
    </row>
    <row r="367" spans="21:26" x14ac:dyDescent="0.25">
      <c r="U367" s="31">
        <v>363</v>
      </c>
      <c r="V367" s="20">
        <f t="shared" si="8"/>
        <v>20050</v>
      </c>
      <c r="Y367" s="31">
        <v>363</v>
      </c>
      <c r="Z367" s="33"/>
    </row>
    <row r="368" spans="21:26" x14ac:dyDescent="0.25">
      <c r="U368" s="31">
        <v>364</v>
      </c>
      <c r="V368" s="20">
        <f t="shared" si="8"/>
        <v>20100</v>
      </c>
      <c r="Y368" s="31">
        <v>364</v>
      </c>
      <c r="Z368" s="33"/>
    </row>
    <row r="369" spans="21:26" x14ac:dyDescent="0.25">
      <c r="U369" s="31">
        <v>365</v>
      </c>
      <c r="V369" s="20">
        <f t="shared" si="8"/>
        <v>20150</v>
      </c>
      <c r="Y369" s="31">
        <v>365</v>
      </c>
      <c r="Z369" s="33"/>
    </row>
  </sheetData>
  <sheetProtection password="E359" sheet="1" objects="1" scenarios="1" selectLockedCells="1" selectUnlockedCells="1"/>
  <mergeCells count="10">
    <mergeCell ref="J2:K2"/>
    <mergeCell ref="B2:H2"/>
    <mergeCell ref="M2:S2"/>
    <mergeCell ref="U2:W2"/>
    <mergeCell ref="J12:K12"/>
    <mergeCell ref="J13:K13"/>
    <mergeCell ref="J14:K14"/>
    <mergeCell ref="J15:K15"/>
    <mergeCell ref="J16:K16"/>
    <mergeCell ref="J17:K17"/>
  </mergeCells>
  <pageMargins left="0.7" right="0.7" top="0.75" bottom="0.75" header="0.3" footer="0.3"/>
  <pageSetup paperSize="9" orientation="portrait"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AC372"/>
  <sheetViews>
    <sheetView view="pageBreakPreview" topLeftCell="A85" zoomScale="85" zoomScaleNormal="80" zoomScaleSheetLayoutView="85" workbookViewId="0">
      <selection activeCell="B2" sqref="B2:H2"/>
    </sheetView>
  </sheetViews>
  <sheetFormatPr defaultRowHeight="15" x14ac:dyDescent="0.25"/>
  <cols>
    <col min="1" max="1" width="40" style="16" customWidth="1"/>
    <col min="2" max="2" width="11.5703125" style="149" customWidth="1"/>
    <col min="3" max="3" width="24" style="16" customWidth="1"/>
    <col min="4" max="7" width="15.85546875" style="16" customWidth="1"/>
    <col min="8" max="8" width="1.7109375" style="16" customWidth="1"/>
    <col min="9" max="10" width="26" style="16" customWidth="1"/>
    <col min="11" max="11" width="1.7109375" style="16" customWidth="1"/>
    <col min="12" max="12" width="18.7109375" style="30" customWidth="1"/>
    <col min="13" max="14" width="18.7109375" style="16" customWidth="1"/>
    <col min="15" max="15" width="1.7109375" style="16" customWidth="1"/>
    <col min="16" max="16" width="25.42578125" style="16" customWidth="1"/>
    <col min="17" max="17" width="20.7109375" style="16" customWidth="1"/>
    <col min="18" max="18" width="1.7109375" style="16" customWidth="1"/>
    <col min="19" max="20" width="25.42578125" style="16" customWidth="1"/>
    <col min="21" max="21" width="20.7109375" style="16" customWidth="1"/>
    <col min="22" max="22" width="1.7109375" style="16" customWidth="1"/>
    <col min="23" max="23" width="41.5703125" style="16" customWidth="1"/>
    <col min="24" max="24" width="11.5703125" style="16" customWidth="1"/>
    <col min="25" max="25" width="23" style="16" customWidth="1"/>
    <col min="26" max="29" width="18.7109375" style="16" customWidth="1"/>
    <col min="30" max="30" width="1.7109375" style="16" customWidth="1"/>
    <col min="31" max="256" width="9.140625" style="16"/>
    <col min="257" max="257" width="40" style="16" customWidth="1"/>
    <col min="258" max="258" width="11.5703125" style="16" customWidth="1"/>
    <col min="259" max="259" width="24" style="16" customWidth="1"/>
    <col min="260" max="263" width="15.85546875" style="16" customWidth="1"/>
    <col min="264" max="264" width="1.7109375" style="16" customWidth="1"/>
    <col min="265" max="266" width="26" style="16" customWidth="1"/>
    <col min="267" max="267" width="1.7109375" style="16" customWidth="1"/>
    <col min="268" max="270" width="18.7109375" style="16" customWidth="1"/>
    <col min="271" max="271" width="1.7109375" style="16" customWidth="1"/>
    <col min="272" max="272" width="25.42578125" style="16" customWidth="1"/>
    <col min="273" max="273" width="20.7109375" style="16" customWidth="1"/>
    <col min="274" max="274" width="1.7109375" style="16" customWidth="1"/>
    <col min="275" max="276" width="25.42578125" style="16" customWidth="1"/>
    <col min="277" max="277" width="20.7109375" style="16" customWidth="1"/>
    <col min="278" max="278" width="1.7109375" style="16" customWidth="1"/>
    <col min="279" max="279" width="41.5703125" style="16" customWidth="1"/>
    <col min="280" max="280" width="11.5703125" style="16" customWidth="1"/>
    <col min="281" max="281" width="23" style="16" customWidth="1"/>
    <col min="282" max="285" width="18.7109375" style="16" customWidth="1"/>
    <col min="286" max="286" width="1.7109375" style="16" customWidth="1"/>
    <col min="287" max="512" width="9.140625" style="16"/>
    <col min="513" max="513" width="40" style="16" customWidth="1"/>
    <col min="514" max="514" width="11.5703125" style="16" customWidth="1"/>
    <col min="515" max="515" width="24" style="16" customWidth="1"/>
    <col min="516" max="519" width="15.85546875" style="16" customWidth="1"/>
    <col min="520" max="520" width="1.7109375" style="16" customWidth="1"/>
    <col min="521" max="522" width="26" style="16" customWidth="1"/>
    <col min="523" max="523" width="1.7109375" style="16" customWidth="1"/>
    <col min="524" max="526" width="18.7109375" style="16" customWidth="1"/>
    <col min="527" max="527" width="1.7109375" style="16" customWidth="1"/>
    <col min="528" max="528" width="25.42578125" style="16" customWidth="1"/>
    <col min="529" max="529" width="20.7109375" style="16" customWidth="1"/>
    <col min="530" max="530" width="1.7109375" style="16" customWidth="1"/>
    <col min="531" max="532" width="25.42578125" style="16" customWidth="1"/>
    <col min="533" max="533" width="20.7109375" style="16" customWidth="1"/>
    <col min="534" max="534" width="1.7109375" style="16" customWidth="1"/>
    <col min="535" max="535" width="41.5703125" style="16" customWidth="1"/>
    <col min="536" max="536" width="11.5703125" style="16" customWidth="1"/>
    <col min="537" max="537" width="23" style="16" customWidth="1"/>
    <col min="538" max="541" width="18.7109375" style="16" customWidth="1"/>
    <col min="542" max="542" width="1.7109375" style="16" customWidth="1"/>
    <col min="543" max="768" width="9.140625" style="16"/>
    <col min="769" max="769" width="40" style="16" customWidth="1"/>
    <col min="770" max="770" width="11.5703125" style="16" customWidth="1"/>
    <col min="771" max="771" width="24" style="16" customWidth="1"/>
    <col min="772" max="775" width="15.85546875" style="16" customWidth="1"/>
    <col min="776" max="776" width="1.7109375" style="16" customWidth="1"/>
    <col min="777" max="778" width="26" style="16" customWidth="1"/>
    <col min="779" max="779" width="1.7109375" style="16" customWidth="1"/>
    <col min="780" max="782" width="18.7109375" style="16" customWidth="1"/>
    <col min="783" max="783" width="1.7109375" style="16" customWidth="1"/>
    <col min="784" max="784" width="25.42578125" style="16" customWidth="1"/>
    <col min="785" max="785" width="20.7109375" style="16" customWidth="1"/>
    <col min="786" max="786" width="1.7109375" style="16" customWidth="1"/>
    <col min="787" max="788" width="25.42578125" style="16" customWidth="1"/>
    <col min="789" max="789" width="20.7109375" style="16" customWidth="1"/>
    <col min="790" max="790" width="1.7109375" style="16" customWidth="1"/>
    <col min="791" max="791" width="41.5703125" style="16" customWidth="1"/>
    <col min="792" max="792" width="11.5703125" style="16" customWidth="1"/>
    <col min="793" max="793" width="23" style="16" customWidth="1"/>
    <col min="794" max="797" width="18.7109375" style="16" customWidth="1"/>
    <col min="798" max="798" width="1.7109375" style="16" customWidth="1"/>
    <col min="799" max="1024" width="9.140625" style="16"/>
    <col min="1025" max="1025" width="40" style="16" customWidth="1"/>
    <col min="1026" max="1026" width="11.5703125" style="16" customWidth="1"/>
    <col min="1027" max="1027" width="24" style="16" customWidth="1"/>
    <col min="1028" max="1031" width="15.85546875" style="16" customWidth="1"/>
    <col min="1032" max="1032" width="1.7109375" style="16" customWidth="1"/>
    <col min="1033" max="1034" width="26" style="16" customWidth="1"/>
    <col min="1035" max="1035" width="1.7109375" style="16" customWidth="1"/>
    <col min="1036" max="1038" width="18.7109375" style="16" customWidth="1"/>
    <col min="1039" max="1039" width="1.7109375" style="16" customWidth="1"/>
    <col min="1040" max="1040" width="25.42578125" style="16" customWidth="1"/>
    <col min="1041" max="1041" width="20.7109375" style="16" customWidth="1"/>
    <col min="1042" max="1042" width="1.7109375" style="16" customWidth="1"/>
    <col min="1043" max="1044" width="25.42578125" style="16" customWidth="1"/>
    <col min="1045" max="1045" width="20.7109375" style="16" customWidth="1"/>
    <col min="1046" max="1046" width="1.7109375" style="16" customWidth="1"/>
    <col min="1047" max="1047" width="41.5703125" style="16" customWidth="1"/>
    <col min="1048" max="1048" width="11.5703125" style="16" customWidth="1"/>
    <col min="1049" max="1049" width="23" style="16" customWidth="1"/>
    <col min="1050" max="1053" width="18.7109375" style="16" customWidth="1"/>
    <col min="1054" max="1054" width="1.7109375" style="16" customWidth="1"/>
    <col min="1055" max="1280" width="9.140625" style="16"/>
    <col min="1281" max="1281" width="40" style="16" customWidth="1"/>
    <col min="1282" max="1282" width="11.5703125" style="16" customWidth="1"/>
    <col min="1283" max="1283" width="24" style="16" customWidth="1"/>
    <col min="1284" max="1287" width="15.85546875" style="16" customWidth="1"/>
    <col min="1288" max="1288" width="1.7109375" style="16" customWidth="1"/>
    <col min="1289" max="1290" width="26" style="16" customWidth="1"/>
    <col min="1291" max="1291" width="1.7109375" style="16" customWidth="1"/>
    <col min="1292" max="1294" width="18.7109375" style="16" customWidth="1"/>
    <col min="1295" max="1295" width="1.7109375" style="16" customWidth="1"/>
    <col min="1296" max="1296" width="25.42578125" style="16" customWidth="1"/>
    <col min="1297" max="1297" width="20.7109375" style="16" customWidth="1"/>
    <col min="1298" max="1298" width="1.7109375" style="16" customWidth="1"/>
    <col min="1299" max="1300" width="25.42578125" style="16" customWidth="1"/>
    <col min="1301" max="1301" width="20.7109375" style="16" customWidth="1"/>
    <col min="1302" max="1302" width="1.7109375" style="16" customWidth="1"/>
    <col min="1303" max="1303" width="41.5703125" style="16" customWidth="1"/>
    <col min="1304" max="1304" width="11.5703125" style="16" customWidth="1"/>
    <col min="1305" max="1305" width="23" style="16" customWidth="1"/>
    <col min="1306" max="1309" width="18.7109375" style="16" customWidth="1"/>
    <col min="1310" max="1310" width="1.7109375" style="16" customWidth="1"/>
    <col min="1311" max="1536" width="9.140625" style="16"/>
    <col min="1537" max="1537" width="40" style="16" customWidth="1"/>
    <col min="1538" max="1538" width="11.5703125" style="16" customWidth="1"/>
    <col min="1539" max="1539" width="24" style="16" customWidth="1"/>
    <col min="1540" max="1543" width="15.85546875" style="16" customWidth="1"/>
    <col min="1544" max="1544" width="1.7109375" style="16" customWidth="1"/>
    <col min="1545" max="1546" width="26" style="16" customWidth="1"/>
    <col min="1547" max="1547" width="1.7109375" style="16" customWidth="1"/>
    <col min="1548" max="1550" width="18.7109375" style="16" customWidth="1"/>
    <col min="1551" max="1551" width="1.7109375" style="16" customWidth="1"/>
    <col min="1552" max="1552" width="25.42578125" style="16" customWidth="1"/>
    <col min="1553" max="1553" width="20.7109375" style="16" customWidth="1"/>
    <col min="1554" max="1554" width="1.7109375" style="16" customWidth="1"/>
    <col min="1555" max="1556" width="25.42578125" style="16" customWidth="1"/>
    <col min="1557" max="1557" width="20.7109375" style="16" customWidth="1"/>
    <col min="1558" max="1558" width="1.7109375" style="16" customWidth="1"/>
    <col min="1559" max="1559" width="41.5703125" style="16" customWidth="1"/>
    <col min="1560" max="1560" width="11.5703125" style="16" customWidth="1"/>
    <col min="1561" max="1561" width="23" style="16" customWidth="1"/>
    <col min="1562" max="1565" width="18.7109375" style="16" customWidth="1"/>
    <col min="1566" max="1566" width="1.7109375" style="16" customWidth="1"/>
    <col min="1567" max="1792" width="9.140625" style="16"/>
    <col min="1793" max="1793" width="40" style="16" customWidth="1"/>
    <col min="1794" max="1794" width="11.5703125" style="16" customWidth="1"/>
    <col min="1795" max="1795" width="24" style="16" customWidth="1"/>
    <col min="1796" max="1799" width="15.85546875" style="16" customWidth="1"/>
    <col min="1800" max="1800" width="1.7109375" style="16" customWidth="1"/>
    <col min="1801" max="1802" width="26" style="16" customWidth="1"/>
    <col min="1803" max="1803" width="1.7109375" style="16" customWidth="1"/>
    <col min="1804" max="1806" width="18.7109375" style="16" customWidth="1"/>
    <col min="1807" max="1807" width="1.7109375" style="16" customWidth="1"/>
    <col min="1808" max="1808" width="25.42578125" style="16" customWidth="1"/>
    <col min="1809" max="1809" width="20.7109375" style="16" customWidth="1"/>
    <col min="1810" max="1810" width="1.7109375" style="16" customWidth="1"/>
    <col min="1811" max="1812" width="25.42578125" style="16" customWidth="1"/>
    <col min="1813" max="1813" width="20.7109375" style="16" customWidth="1"/>
    <col min="1814" max="1814" width="1.7109375" style="16" customWidth="1"/>
    <col min="1815" max="1815" width="41.5703125" style="16" customWidth="1"/>
    <col min="1816" max="1816" width="11.5703125" style="16" customWidth="1"/>
    <col min="1817" max="1817" width="23" style="16" customWidth="1"/>
    <col min="1818" max="1821" width="18.7109375" style="16" customWidth="1"/>
    <col min="1822" max="1822" width="1.7109375" style="16" customWidth="1"/>
    <col min="1823" max="2048" width="9.140625" style="16"/>
    <col min="2049" max="2049" width="40" style="16" customWidth="1"/>
    <col min="2050" max="2050" width="11.5703125" style="16" customWidth="1"/>
    <col min="2051" max="2051" width="24" style="16" customWidth="1"/>
    <col min="2052" max="2055" width="15.85546875" style="16" customWidth="1"/>
    <col min="2056" max="2056" width="1.7109375" style="16" customWidth="1"/>
    <col min="2057" max="2058" width="26" style="16" customWidth="1"/>
    <col min="2059" max="2059" width="1.7109375" style="16" customWidth="1"/>
    <col min="2060" max="2062" width="18.7109375" style="16" customWidth="1"/>
    <col min="2063" max="2063" width="1.7109375" style="16" customWidth="1"/>
    <col min="2064" max="2064" width="25.42578125" style="16" customWidth="1"/>
    <col min="2065" max="2065" width="20.7109375" style="16" customWidth="1"/>
    <col min="2066" max="2066" width="1.7109375" style="16" customWidth="1"/>
    <col min="2067" max="2068" width="25.42578125" style="16" customWidth="1"/>
    <col min="2069" max="2069" width="20.7109375" style="16" customWidth="1"/>
    <col min="2070" max="2070" width="1.7109375" style="16" customWidth="1"/>
    <col min="2071" max="2071" width="41.5703125" style="16" customWidth="1"/>
    <col min="2072" max="2072" width="11.5703125" style="16" customWidth="1"/>
    <col min="2073" max="2073" width="23" style="16" customWidth="1"/>
    <col min="2074" max="2077" width="18.7109375" style="16" customWidth="1"/>
    <col min="2078" max="2078" width="1.7109375" style="16" customWidth="1"/>
    <col min="2079" max="2304" width="9.140625" style="16"/>
    <col min="2305" max="2305" width="40" style="16" customWidth="1"/>
    <col min="2306" max="2306" width="11.5703125" style="16" customWidth="1"/>
    <col min="2307" max="2307" width="24" style="16" customWidth="1"/>
    <col min="2308" max="2311" width="15.85546875" style="16" customWidth="1"/>
    <col min="2312" max="2312" width="1.7109375" style="16" customWidth="1"/>
    <col min="2313" max="2314" width="26" style="16" customWidth="1"/>
    <col min="2315" max="2315" width="1.7109375" style="16" customWidth="1"/>
    <col min="2316" max="2318" width="18.7109375" style="16" customWidth="1"/>
    <col min="2319" max="2319" width="1.7109375" style="16" customWidth="1"/>
    <col min="2320" max="2320" width="25.42578125" style="16" customWidth="1"/>
    <col min="2321" max="2321" width="20.7109375" style="16" customWidth="1"/>
    <col min="2322" max="2322" width="1.7109375" style="16" customWidth="1"/>
    <col min="2323" max="2324" width="25.42578125" style="16" customWidth="1"/>
    <col min="2325" max="2325" width="20.7109375" style="16" customWidth="1"/>
    <col min="2326" max="2326" width="1.7109375" style="16" customWidth="1"/>
    <col min="2327" max="2327" width="41.5703125" style="16" customWidth="1"/>
    <col min="2328" max="2328" width="11.5703125" style="16" customWidth="1"/>
    <col min="2329" max="2329" width="23" style="16" customWidth="1"/>
    <col min="2330" max="2333" width="18.7109375" style="16" customWidth="1"/>
    <col min="2334" max="2334" width="1.7109375" style="16" customWidth="1"/>
    <col min="2335" max="2560" width="9.140625" style="16"/>
    <col min="2561" max="2561" width="40" style="16" customWidth="1"/>
    <col min="2562" max="2562" width="11.5703125" style="16" customWidth="1"/>
    <col min="2563" max="2563" width="24" style="16" customWidth="1"/>
    <col min="2564" max="2567" width="15.85546875" style="16" customWidth="1"/>
    <col min="2568" max="2568" width="1.7109375" style="16" customWidth="1"/>
    <col min="2569" max="2570" width="26" style="16" customWidth="1"/>
    <col min="2571" max="2571" width="1.7109375" style="16" customWidth="1"/>
    <col min="2572" max="2574" width="18.7109375" style="16" customWidth="1"/>
    <col min="2575" max="2575" width="1.7109375" style="16" customWidth="1"/>
    <col min="2576" max="2576" width="25.42578125" style="16" customWidth="1"/>
    <col min="2577" max="2577" width="20.7109375" style="16" customWidth="1"/>
    <col min="2578" max="2578" width="1.7109375" style="16" customWidth="1"/>
    <col min="2579" max="2580" width="25.42578125" style="16" customWidth="1"/>
    <col min="2581" max="2581" width="20.7109375" style="16" customWidth="1"/>
    <col min="2582" max="2582" width="1.7109375" style="16" customWidth="1"/>
    <col min="2583" max="2583" width="41.5703125" style="16" customWidth="1"/>
    <col min="2584" max="2584" width="11.5703125" style="16" customWidth="1"/>
    <col min="2585" max="2585" width="23" style="16" customWidth="1"/>
    <col min="2586" max="2589" width="18.7109375" style="16" customWidth="1"/>
    <col min="2590" max="2590" width="1.7109375" style="16" customWidth="1"/>
    <col min="2591" max="2816" width="9.140625" style="16"/>
    <col min="2817" max="2817" width="40" style="16" customWidth="1"/>
    <col min="2818" max="2818" width="11.5703125" style="16" customWidth="1"/>
    <col min="2819" max="2819" width="24" style="16" customWidth="1"/>
    <col min="2820" max="2823" width="15.85546875" style="16" customWidth="1"/>
    <col min="2824" max="2824" width="1.7109375" style="16" customWidth="1"/>
    <col min="2825" max="2826" width="26" style="16" customWidth="1"/>
    <col min="2827" max="2827" width="1.7109375" style="16" customWidth="1"/>
    <col min="2828" max="2830" width="18.7109375" style="16" customWidth="1"/>
    <col min="2831" max="2831" width="1.7109375" style="16" customWidth="1"/>
    <col min="2832" max="2832" width="25.42578125" style="16" customWidth="1"/>
    <col min="2833" max="2833" width="20.7109375" style="16" customWidth="1"/>
    <col min="2834" max="2834" width="1.7109375" style="16" customWidth="1"/>
    <col min="2835" max="2836" width="25.42578125" style="16" customWidth="1"/>
    <col min="2837" max="2837" width="20.7109375" style="16" customWidth="1"/>
    <col min="2838" max="2838" width="1.7109375" style="16" customWidth="1"/>
    <col min="2839" max="2839" width="41.5703125" style="16" customWidth="1"/>
    <col min="2840" max="2840" width="11.5703125" style="16" customWidth="1"/>
    <col min="2841" max="2841" width="23" style="16" customWidth="1"/>
    <col min="2842" max="2845" width="18.7109375" style="16" customWidth="1"/>
    <col min="2846" max="2846" width="1.7109375" style="16" customWidth="1"/>
    <col min="2847" max="3072" width="9.140625" style="16"/>
    <col min="3073" max="3073" width="40" style="16" customWidth="1"/>
    <col min="3074" max="3074" width="11.5703125" style="16" customWidth="1"/>
    <col min="3075" max="3075" width="24" style="16" customWidth="1"/>
    <col min="3076" max="3079" width="15.85546875" style="16" customWidth="1"/>
    <col min="3080" max="3080" width="1.7109375" style="16" customWidth="1"/>
    <col min="3081" max="3082" width="26" style="16" customWidth="1"/>
    <col min="3083" max="3083" width="1.7109375" style="16" customWidth="1"/>
    <col min="3084" max="3086" width="18.7109375" style="16" customWidth="1"/>
    <col min="3087" max="3087" width="1.7109375" style="16" customWidth="1"/>
    <col min="3088" max="3088" width="25.42578125" style="16" customWidth="1"/>
    <col min="3089" max="3089" width="20.7109375" style="16" customWidth="1"/>
    <col min="3090" max="3090" width="1.7109375" style="16" customWidth="1"/>
    <col min="3091" max="3092" width="25.42578125" style="16" customWidth="1"/>
    <col min="3093" max="3093" width="20.7109375" style="16" customWidth="1"/>
    <col min="3094" max="3094" width="1.7109375" style="16" customWidth="1"/>
    <col min="3095" max="3095" width="41.5703125" style="16" customWidth="1"/>
    <col min="3096" max="3096" width="11.5703125" style="16" customWidth="1"/>
    <col min="3097" max="3097" width="23" style="16" customWidth="1"/>
    <col min="3098" max="3101" width="18.7109375" style="16" customWidth="1"/>
    <col min="3102" max="3102" width="1.7109375" style="16" customWidth="1"/>
    <col min="3103" max="3328" width="9.140625" style="16"/>
    <col min="3329" max="3329" width="40" style="16" customWidth="1"/>
    <col min="3330" max="3330" width="11.5703125" style="16" customWidth="1"/>
    <col min="3331" max="3331" width="24" style="16" customWidth="1"/>
    <col min="3332" max="3335" width="15.85546875" style="16" customWidth="1"/>
    <col min="3336" max="3336" width="1.7109375" style="16" customWidth="1"/>
    <col min="3337" max="3338" width="26" style="16" customWidth="1"/>
    <col min="3339" max="3339" width="1.7109375" style="16" customWidth="1"/>
    <col min="3340" max="3342" width="18.7109375" style="16" customWidth="1"/>
    <col min="3343" max="3343" width="1.7109375" style="16" customWidth="1"/>
    <col min="3344" max="3344" width="25.42578125" style="16" customWidth="1"/>
    <col min="3345" max="3345" width="20.7109375" style="16" customWidth="1"/>
    <col min="3346" max="3346" width="1.7109375" style="16" customWidth="1"/>
    <col min="3347" max="3348" width="25.42578125" style="16" customWidth="1"/>
    <col min="3349" max="3349" width="20.7109375" style="16" customWidth="1"/>
    <col min="3350" max="3350" width="1.7109375" style="16" customWidth="1"/>
    <col min="3351" max="3351" width="41.5703125" style="16" customWidth="1"/>
    <col min="3352" max="3352" width="11.5703125" style="16" customWidth="1"/>
    <col min="3353" max="3353" width="23" style="16" customWidth="1"/>
    <col min="3354" max="3357" width="18.7109375" style="16" customWidth="1"/>
    <col min="3358" max="3358" width="1.7109375" style="16" customWidth="1"/>
    <col min="3359" max="3584" width="9.140625" style="16"/>
    <col min="3585" max="3585" width="40" style="16" customWidth="1"/>
    <col min="3586" max="3586" width="11.5703125" style="16" customWidth="1"/>
    <col min="3587" max="3587" width="24" style="16" customWidth="1"/>
    <col min="3588" max="3591" width="15.85546875" style="16" customWidth="1"/>
    <col min="3592" max="3592" width="1.7109375" style="16" customWidth="1"/>
    <col min="3593" max="3594" width="26" style="16" customWidth="1"/>
    <col min="3595" max="3595" width="1.7109375" style="16" customWidth="1"/>
    <col min="3596" max="3598" width="18.7109375" style="16" customWidth="1"/>
    <col min="3599" max="3599" width="1.7109375" style="16" customWidth="1"/>
    <col min="3600" max="3600" width="25.42578125" style="16" customWidth="1"/>
    <col min="3601" max="3601" width="20.7109375" style="16" customWidth="1"/>
    <col min="3602" max="3602" width="1.7109375" style="16" customWidth="1"/>
    <col min="3603" max="3604" width="25.42578125" style="16" customWidth="1"/>
    <col min="3605" max="3605" width="20.7109375" style="16" customWidth="1"/>
    <col min="3606" max="3606" width="1.7109375" style="16" customWidth="1"/>
    <col min="3607" max="3607" width="41.5703125" style="16" customWidth="1"/>
    <col min="3608" max="3608" width="11.5703125" style="16" customWidth="1"/>
    <col min="3609" max="3609" width="23" style="16" customWidth="1"/>
    <col min="3610" max="3613" width="18.7109375" style="16" customWidth="1"/>
    <col min="3614" max="3614" width="1.7109375" style="16" customWidth="1"/>
    <col min="3615" max="3840" width="9.140625" style="16"/>
    <col min="3841" max="3841" width="40" style="16" customWidth="1"/>
    <col min="3842" max="3842" width="11.5703125" style="16" customWidth="1"/>
    <col min="3843" max="3843" width="24" style="16" customWidth="1"/>
    <col min="3844" max="3847" width="15.85546875" style="16" customWidth="1"/>
    <col min="3848" max="3848" width="1.7109375" style="16" customWidth="1"/>
    <col min="3849" max="3850" width="26" style="16" customWidth="1"/>
    <col min="3851" max="3851" width="1.7109375" style="16" customWidth="1"/>
    <col min="3852" max="3854" width="18.7109375" style="16" customWidth="1"/>
    <col min="3855" max="3855" width="1.7109375" style="16" customWidth="1"/>
    <col min="3856" max="3856" width="25.42578125" style="16" customWidth="1"/>
    <col min="3857" max="3857" width="20.7109375" style="16" customWidth="1"/>
    <col min="3858" max="3858" width="1.7109375" style="16" customWidth="1"/>
    <col min="3859" max="3860" width="25.42578125" style="16" customWidth="1"/>
    <col min="3861" max="3861" width="20.7109375" style="16" customWidth="1"/>
    <col min="3862" max="3862" width="1.7109375" style="16" customWidth="1"/>
    <col min="3863" max="3863" width="41.5703125" style="16" customWidth="1"/>
    <col min="3864" max="3864" width="11.5703125" style="16" customWidth="1"/>
    <col min="3865" max="3865" width="23" style="16" customWidth="1"/>
    <col min="3866" max="3869" width="18.7109375" style="16" customWidth="1"/>
    <col min="3870" max="3870" width="1.7109375" style="16" customWidth="1"/>
    <col min="3871" max="4096" width="9.140625" style="16"/>
    <col min="4097" max="4097" width="40" style="16" customWidth="1"/>
    <col min="4098" max="4098" width="11.5703125" style="16" customWidth="1"/>
    <col min="4099" max="4099" width="24" style="16" customWidth="1"/>
    <col min="4100" max="4103" width="15.85546875" style="16" customWidth="1"/>
    <col min="4104" max="4104" width="1.7109375" style="16" customWidth="1"/>
    <col min="4105" max="4106" width="26" style="16" customWidth="1"/>
    <col min="4107" max="4107" width="1.7109375" style="16" customWidth="1"/>
    <col min="4108" max="4110" width="18.7109375" style="16" customWidth="1"/>
    <col min="4111" max="4111" width="1.7109375" style="16" customWidth="1"/>
    <col min="4112" max="4112" width="25.42578125" style="16" customWidth="1"/>
    <col min="4113" max="4113" width="20.7109375" style="16" customWidth="1"/>
    <col min="4114" max="4114" width="1.7109375" style="16" customWidth="1"/>
    <col min="4115" max="4116" width="25.42578125" style="16" customWidth="1"/>
    <col min="4117" max="4117" width="20.7109375" style="16" customWidth="1"/>
    <col min="4118" max="4118" width="1.7109375" style="16" customWidth="1"/>
    <col min="4119" max="4119" width="41.5703125" style="16" customWidth="1"/>
    <col min="4120" max="4120" width="11.5703125" style="16" customWidth="1"/>
    <col min="4121" max="4121" width="23" style="16" customWidth="1"/>
    <col min="4122" max="4125" width="18.7109375" style="16" customWidth="1"/>
    <col min="4126" max="4126" width="1.7109375" style="16" customWidth="1"/>
    <col min="4127" max="4352" width="9.140625" style="16"/>
    <col min="4353" max="4353" width="40" style="16" customWidth="1"/>
    <col min="4354" max="4354" width="11.5703125" style="16" customWidth="1"/>
    <col min="4355" max="4355" width="24" style="16" customWidth="1"/>
    <col min="4356" max="4359" width="15.85546875" style="16" customWidth="1"/>
    <col min="4360" max="4360" width="1.7109375" style="16" customWidth="1"/>
    <col min="4361" max="4362" width="26" style="16" customWidth="1"/>
    <col min="4363" max="4363" width="1.7109375" style="16" customWidth="1"/>
    <col min="4364" max="4366" width="18.7109375" style="16" customWidth="1"/>
    <col min="4367" max="4367" width="1.7109375" style="16" customWidth="1"/>
    <col min="4368" max="4368" width="25.42578125" style="16" customWidth="1"/>
    <col min="4369" max="4369" width="20.7109375" style="16" customWidth="1"/>
    <col min="4370" max="4370" width="1.7109375" style="16" customWidth="1"/>
    <col min="4371" max="4372" width="25.42578125" style="16" customWidth="1"/>
    <col min="4373" max="4373" width="20.7109375" style="16" customWidth="1"/>
    <col min="4374" max="4374" width="1.7109375" style="16" customWidth="1"/>
    <col min="4375" max="4375" width="41.5703125" style="16" customWidth="1"/>
    <col min="4376" max="4376" width="11.5703125" style="16" customWidth="1"/>
    <col min="4377" max="4377" width="23" style="16" customWidth="1"/>
    <col min="4378" max="4381" width="18.7109375" style="16" customWidth="1"/>
    <col min="4382" max="4382" width="1.7109375" style="16" customWidth="1"/>
    <col min="4383" max="4608" width="9.140625" style="16"/>
    <col min="4609" max="4609" width="40" style="16" customWidth="1"/>
    <col min="4610" max="4610" width="11.5703125" style="16" customWidth="1"/>
    <col min="4611" max="4611" width="24" style="16" customWidth="1"/>
    <col min="4612" max="4615" width="15.85546875" style="16" customWidth="1"/>
    <col min="4616" max="4616" width="1.7109375" style="16" customWidth="1"/>
    <col min="4617" max="4618" width="26" style="16" customWidth="1"/>
    <col min="4619" max="4619" width="1.7109375" style="16" customWidth="1"/>
    <col min="4620" max="4622" width="18.7109375" style="16" customWidth="1"/>
    <col min="4623" max="4623" width="1.7109375" style="16" customWidth="1"/>
    <col min="4624" max="4624" width="25.42578125" style="16" customWidth="1"/>
    <col min="4625" max="4625" width="20.7109375" style="16" customWidth="1"/>
    <col min="4626" max="4626" width="1.7109375" style="16" customWidth="1"/>
    <col min="4627" max="4628" width="25.42578125" style="16" customWidth="1"/>
    <col min="4629" max="4629" width="20.7109375" style="16" customWidth="1"/>
    <col min="4630" max="4630" width="1.7109375" style="16" customWidth="1"/>
    <col min="4631" max="4631" width="41.5703125" style="16" customWidth="1"/>
    <col min="4632" max="4632" width="11.5703125" style="16" customWidth="1"/>
    <col min="4633" max="4633" width="23" style="16" customWidth="1"/>
    <col min="4634" max="4637" width="18.7109375" style="16" customWidth="1"/>
    <col min="4638" max="4638" width="1.7109375" style="16" customWidth="1"/>
    <col min="4639" max="4864" width="9.140625" style="16"/>
    <col min="4865" max="4865" width="40" style="16" customWidth="1"/>
    <col min="4866" max="4866" width="11.5703125" style="16" customWidth="1"/>
    <col min="4867" max="4867" width="24" style="16" customWidth="1"/>
    <col min="4868" max="4871" width="15.85546875" style="16" customWidth="1"/>
    <col min="4872" max="4872" width="1.7109375" style="16" customWidth="1"/>
    <col min="4873" max="4874" width="26" style="16" customWidth="1"/>
    <col min="4875" max="4875" width="1.7109375" style="16" customWidth="1"/>
    <col min="4876" max="4878" width="18.7109375" style="16" customWidth="1"/>
    <col min="4879" max="4879" width="1.7109375" style="16" customWidth="1"/>
    <col min="4880" max="4880" width="25.42578125" style="16" customWidth="1"/>
    <col min="4881" max="4881" width="20.7109375" style="16" customWidth="1"/>
    <col min="4882" max="4882" width="1.7109375" style="16" customWidth="1"/>
    <col min="4883" max="4884" width="25.42578125" style="16" customWidth="1"/>
    <col min="4885" max="4885" width="20.7109375" style="16" customWidth="1"/>
    <col min="4886" max="4886" width="1.7109375" style="16" customWidth="1"/>
    <col min="4887" max="4887" width="41.5703125" style="16" customWidth="1"/>
    <col min="4888" max="4888" width="11.5703125" style="16" customWidth="1"/>
    <col min="4889" max="4889" width="23" style="16" customWidth="1"/>
    <col min="4890" max="4893" width="18.7109375" style="16" customWidth="1"/>
    <col min="4894" max="4894" width="1.7109375" style="16" customWidth="1"/>
    <col min="4895" max="5120" width="9.140625" style="16"/>
    <col min="5121" max="5121" width="40" style="16" customWidth="1"/>
    <col min="5122" max="5122" width="11.5703125" style="16" customWidth="1"/>
    <col min="5123" max="5123" width="24" style="16" customWidth="1"/>
    <col min="5124" max="5127" width="15.85546875" style="16" customWidth="1"/>
    <col min="5128" max="5128" width="1.7109375" style="16" customWidth="1"/>
    <col min="5129" max="5130" width="26" style="16" customWidth="1"/>
    <col min="5131" max="5131" width="1.7109375" style="16" customWidth="1"/>
    <col min="5132" max="5134" width="18.7109375" style="16" customWidth="1"/>
    <col min="5135" max="5135" width="1.7109375" style="16" customWidth="1"/>
    <col min="5136" max="5136" width="25.42578125" style="16" customWidth="1"/>
    <col min="5137" max="5137" width="20.7109375" style="16" customWidth="1"/>
    <col min="5138" max="5138" width="1.7109375" style="16" customWidth="1"/>
    <col min="5139" max="5140" width="25.42578125" style="16" customWidth="1"/>
    <col min="5141" max="5141" width="20.7109375" style="16" customWidth="1"/>
    <col min="5142" max="5142" width="1.7109375" style="16" customWidth="1"/>
    <col min="5143" max="5143" width="41.5703125" style="16" customWidth="1"/>
    <col min="5144" max="5144" width="11.5703125" style="16" customWidth="1"/>
    <col min="5145" max="5145" width="23" style="16" customWidth="1"/>
    <col min="5146" max="5149" width="18.7109375" style="16" customWidth="1"/>
    <col min="5150" max="5150" width="1.7109375" style="16" customWidth="1"/>
    <col min="5151" max="5376" width="9.140625" style="16"/>
    <col min="5377" max="5377" width="40" style="16" customWidth="1"/>
    <col min="5378" max="5378" width="11.5703125" style="16" customWidth="1"/>
    <col min="5379" max="5379" width="24" style="16" customWidth="1"/>
    <col min="5380" max="5383" width="15.85546875" style="16" customWidth="1"/>
    <col min="5384" max="5384" width="1.7109375" style="16" customWidth="1"/>
    <col min="5385" max="5386" width="26" style="16" customWidth="1"/>
    <col min="5387" max="5387" width="1.7109375" style="16" customWidth="1"/>
    <col min="5388" max="5390" width="18.7109375" style="16" customWidth="1"/>
    <col min="5391" max="5391" width="1.7109375" style="16" customWidth="1"/>
    <col min="5392" max="5392" width="25.42578125" style="16" customWidth="1"/>
    <col min="5393" max="5393" width="20.7109375" style="16" customWidth="1"/>
    <col min="5394" max="5394" width="1.7109375" style="16" customWidth="1"/>
    <col min="5395" max="5396" width="25.42578125" style="16" customWidth="1"/>
    <col min="5397" max="5397" width="20.7109375" style="16" customWidth="1"/>
    <col min="5398" max="5398" width="1.7109375" style="16" customWidth="1"/>
    <col min="5399" max="5399" width="41.5703125" style="16" customWidth="1"/>
    <col min="5400" max="5400" width="11.5703125" style="16" customWidth="1"/>
    <col min="5401" max="5401" width="23" style="16" customWidth="1"/>
    <col min="5402" max="5405" width="18.7109375" style="16" customWidth="1"/>
    <col min="5406" max="5406" width="1.7109375" style="16" customWidth="1"/>
    <col min="5407" max="5632" width="9.140625" style="16"/>
    <col min="5633" max="5633" width="40" style="16" customWidth="1"/>
    <col min="5634" max="5634" width="11.5703125" style="16" customWidth="1"/>
    <col min="5635" max="5635" width="24" style="16" customWidth="1"/>
    <col min="5636" max="5639" width="15.85546875" style="16" customWidth="1"/>
    <col min="5640" max="5640" width="1.7109375" style="16" customWidth="1"/>
    <col min="5641" max="5642" width="26" style="16" customWidth="1"/>
    <col min="5643" max="5643" width="1.7109375" style="16" customWidth="1"/>
    <col min="5644" max="5646" width="18.7109375" style="16" customWidth="1"/>
    <col min="5647" max="5647" width="1.7109375" style="16" customWidth="1"/>
    <col min="5648" max="5648" width="25.42578125" style="16" customWidth="1"/>
    <col min="5649" max="5649" width="20.7109375" style="16" customWidth="1"/>
    <col min="5650" max="5650" width="1.7109375" style="16" customWidth="1"/>
    <col min="5651" max="5652" width="25.42578125" style="16" customWidth="1"/>
    <col min="5653" max="5653" width="20.7109375" style="16" customWidth="1"/>
    <col min="5654" max="5654" width="1.7109375" style="16" customWidth="1"/>
    <col min="5655" max="5655" width="41.5703125" style="16" customWidth="1"/>
    <col min="5656" max="5656" width="11.5703125" style="16" customWidth="1"/>
    <col min="5657" max="5657" width="23" style="16" customWidth="1"/>
    <col min="5658" max="5661" width="18.7109375" style="16" customWidth="1"/>
    <col min="5662" max="5662" width="1.7109375" style="16" customWidth="1"/>
    <col min="5663" max="5888" width="9.140625" style="16"/>
    <col min="5889" max="5889" width="40" style="16" customWidth="1"/>
    <col min="5890" max="5890" width="11.5703125" style="16" customWidth="1"/>
    <col min="5891" max="5891" width="24" style="16" customWidth="1"/>
    <col min="5892" max="5895" width="15.85546875" style="16" customWidth="1"/>
    <col min="5896" max="5896" width="1.7109375" style="16" customWidth="1"/>
    <col min="5897" max="5898" width="26" style="16" customWidth="1"/>
    <col min="5899" max="5899" width="1.7109375" style="16" customWidth="1"/>
    <col min="5900" max="5902" width="18.7109375" style="16" customWidth="1"/>
    <col min="5903" max="5903" width="1.7109375" style="16" customWidth="1"/>
    <col min="5904" max="5904" width="25.42578125" style="16" customWidth="1"/>
    <col min="5905" max="5905" width="20.7109375" style="16" customWidth="1"/>
    <col min="5906" max="5906" width="1.7109375" style="16" customWidth="1"/>
    <col min="5907" max="5908" width="25.42578125" style="16" customWidth="1"/>
    <col min="5909" max="5909" width="20.7109375" style="16" customWidth="1"/>
    <col min="5910" max="5910" width="1.7109375" style="16" customWidth="1"/>
    <col min="5911" max="5911" width="41.5703125" style="16" customWidth="1"/>
    <col min="5912" max="5912" width="11.5703125" style="16" customWidth="1"/>
    <col min="5913" max="5913" width="23" style="16" customWidth="1"/>
    <col min="5914" max="5917" width="18.7109375" style="16" customWidth="1"/>
    <col min="5918" max="5918" width="1.7109375" style="16" customWidth="1"/>
    <col min="5919" max="6144" width="9.140625" style="16"/>
    <col min="6145" max="6145" width="40" style="16" customWidth="1"/>
    <col min="6146" max="6146" width="11.5703125" style="16" customWidth="1"/>
    <col min="6147" max="6147" width="24" style="16" customWidth="1"/>
    <col min="6148" max="6151" width="15.85546875" style="16" customWidth="1"/>
    <col min="6152" max="6152" width="1.7109375" style="16" customWidth="1"/>
    <col min="6153" max="6154" width="26" style="16" customWidth="1"/>
    <col min="6155" max="6155" width="1.7109375" style="16" customWidth="1"/>
    <col min="6156" max="6158" width="18.7109375" style="16" customWidth="1"/>
    <col min="6159" max="6159" width="1.7109375" style="16" customWidth="1"/>
    <col min="6160" max="6160" width="25.42578125" style="16" customWidth="1"/>
    <col min="6161" max="6161" width="20.7109375" style="16" customWidth="1"/>
    <col min="6162" max="6162" width="1.7109375" style="16" customWidth="1"/>
    <col min="6163" max="6164" width="25.42578125" style="16" customWidth="1"/>
    <col min="6165" max="6165" width="20.7109375" style="16" customWidth="1"/>
    <col min="6166" max="6166" width="1.7109375" style="16" customWidth="1"/>
    <col min="6167" max="6167" width="41.5703125" style="16" customWidth="1"/>
    <col min="6168" max="6168" width="11.5703125" style="16" customWidth="1"/>
    <col min="6169" max="6169" width="23" style="16" customWidth="1"/>
    <col min="6170" max="6173" width="18.7109375" style="16" customWidth="1"/>
    <col min="6174" max="6174" width="1.7109375" style="16" customWidth="1"/>
    <col min="6175" max="6400" width="9.140625" style="16"/>
    <col min="6401" max="6401" width="40" style="16" customWidth="1"/>
    <col min="6402" max="6402" width="11.5703125" style="16" customWidth="1"/>
    <col min="6403" max="6403" width="24" style="16" customWidth="1"/>
    <col min="6404" max="6407" width="15.85546875" style="16" customWidth="1"/>
    <col min="6408" max="6408" width="1.7109375" style="16" customWidth="1"/>
    <col min="6409" max="6410" width="26" style="16" customWidth="1"/>
    <col min="6411" max="6411" width="1.7109375" style="16" customWidth="1"/>
    <col min="6412" max="6414" width="18.7109375" style="16" customWidth="1"/>
    <col min="6415" max="6415" width="1.7109375" style="16" customWidth="1"/>
    <col min="6416" max="6416" width="25.42578125" style="16" customWidth="1"/>
    <col min="6417" max="6417" width="20.7109375" style="16" customWidth="1"/>
    <col min="6418" max="6418" width="1.7109375" style="16" customWidth="1"/>
    <col min="6419" max="6420" width="25.42578125" style="16" customWidth="1"/>
    <col min="6421" max="6421" width="20.7109375" style="16" customWidth="1"/>
    <col min="6422" max="6422" width="1.7109375" style="16" customWidth="1"/>
    <col min="6423" max="6423" width="41.5703125" style="16" customWidth="1"/>
    <col min="6424" max="6424" width="11.5703125" style="16" customWidth="1"/>
    <col min="6425" max="6425" width="23" style="16" customWidth="1"/>
    <col min="6426" max="6429" width="18.7109375" style="16" customWidth="1"/>
    <col min="6430" max="6430" width="1.7109375" style="16" customWidth="1"/>
    <col min="6431" max="6656" width="9.140625" style="16"/>
    <col min="6657" max="6657" width="40" style="16" customWidth="1"/>
    <col min="6658" max="6658" width="11.5703125" style="16" customWidth="1"/>
    <col min="6659" max="6659" width="24" style="16" customWidth="1"/>
    <col min="6660" max="6663" width="15.85546875" style="16" customWidth="1"/>
    <col min="6664" max="6664" width="1.7109375" style="16" customWidth="1"/>
    <col min="6665" max="6666" width="26" style="16" customWidth="1"/>
    <col min="6667" max="6667" width="1.7109375" style="16" customWidth="1"/>
    <col min="6668" max="6670" width="18.7109375" style="16" customWidth="1"/>
    <col min="6671" max="6671" width="1.7109375" style="16" customWidth="1"/>
    <col min="6672" max="6672" width="25.42578125" style="16" customWidth="1"/>
    <col min="6673" max="6673" width="20.7109375" style="16" customWidth="1"/>
    <col min="6674" max="6674" width="1.7109375" style="16" customWidth="1"/>
    <col min="6675" max="6676" width="25.42578125" style="16" customWidth="1"/>
    <col min="6677" max="6677" width="20.7109375" style="16" customWidth="1"/>
    <col min="6678" max="6678" width="1.7109375" style="16" customWidth="1"/>
    <col min="6679" max="6679" width="41.5703125" style="16" customWidth="1"/>
    <col min="6680" max="6680" width="11.5703125" style="16" customWidth="1"/>
    <col min="6681" max="6681" width="23" style="16" customWidth="1"/>
    <col min="6682" max="6685" width="18.7109375" style="16" customWidth="1"/>
    <col min="6686" max="6686" width="1.7109375" style="16" customWidth="1"/>
    <col min="6687" max="6912" width="9.140625" style="16"/>
    <col min="6913" max="6913" width="40" style="16" customWidth="1"/>
    <col min="6914" max="6914" width="11.5703125" style="16" customWidth="1"/>
    <col min="6915" max="6915" width="24" style="16" customWidth="1"/>
    <col min="6916" max="6919" width="15.85546875" style="16" customWidth="1"/>
    <col min="6920" max="6920" width="1.7109375" style="16" customWidth="1"/>
    <col min="6921" max="6922" width="26" style="16" customWidth="1"/>
    <col min="6923" max="6923" width="1.7109375" style="16" customWidth="1"/>
    <col min="6924" max="6926" width="18.7109375" style="16" customWidth="1"/>
    <col min="6927" max="6927" width="1.7109375" style="16" customWidth="1"/>
    <col min="6928" max="6928" width="25.42578125" style="16" customWidth="1"/>
    <col min="6929" max="6929" width="20.7109375" style="16" customWidth="1"/>
    <col min="6930" max="6930" width="1.7109375" style="16" customWidth="1"/>
    <col min="6931" max="6932" width="25.42578125" style="16" customWidth="1"/>
    <col min="6933" max="6933" width="20.7109375" style="16" customWidth="1"/>
    <col min="6934" max="6934" width="1.7109375" style="16" customWidth="1"/>
    <col min="6935" max="6935" width="41.5703125" style="16" customWidth="1"/>
    <col min="6936" max="6936" width="11.5703125" style="16" customWidth="1"/>
    <col min="6937" max="6937" width="23" style="16" customWidth="1"/>
    <col min="6938" max="6941" width="18.7109375" style="16" customWidth="1"/>
    <col min="6942" max="6942" width="1.7109375" style="16" customWidth="1"/>
    <col min="6943" max="7168" width="9.140625" style="16"/>
    <col min="7169" max="7169" width="40" style="16" customWidth="1"/>
    <col min="7170" max="7170" width="11.5703125" style="16" customWidth="1"/>
    <col min="7171" max="7171" width="24" style="16" customWidth="1"/>
    <col min="7172" max="7175" width="15.85546875" style="16" customWidth="1"/>
    <col min="7176" max="7176" width="1.7109375" style="16" customWidth="1"/>
    <col min="7177" max="7178" width="26" style="16" customWidth="1"/>
    <col min="7179" max="7179" width="1.7109375" style="16" customWidth="1"/>
    <col min="7180" max="7182" width="18.7109375" style="16" customWidth="1"/>
    <col min="7183" max="7183" width="1.7109375" style="16" customWidth="1"/>
    <col min="7184" max="7184" width="25.42578125" style="16" customWidth="1"/>
    <col min="7185" max="7185" width="20.7109375" style="16" customWidth="1"/>
    <col min="7186" max="7186" width="1.7109375" style="16" customWidth="1"/>
    <col min="7187" max="7188" width="25.42578125" style="16" customWidth="1"/>
    <col min="7189" max="7189" width="20.7109375" style="16" customWidth="1"/>
    <col min="7190" max="7190" width="1.7109375" style="16" customWidth="1"/>
    <col min="7191" max="7191" width="41.5703125" style="16" customWidth="1"/>
    <col min="7192" max="7192" width="11.5703125" style="16" customWidth="1"/>
    <col min="7193" max="7193" width="23" style="16" customWidth="1"/>
    <col min="7194" max="7197" width="18.7109375" style="16" customWidth="1"/>
    <col min="7198" max="7198" width="1.7109375" style="16" customWidth="1"/>
    <col min="7199" max="7424" width="9.140625" style="16"/>
    <col min="7425" max="7425" width="40" style="16" customWidth="1"/>
    <col min="7426" max="7426" width="11.5703125" style="16" customWidth="1"/>
    <col min="7427" max="7427" width="24" style="16" customWidth="1"/>
    <col min="7428" max="7431" width="15.85546875" style="16" customWidth="1"/>
    <col min="7432" max="7432" width="1.7109375" style="16" customWidth="1"/>
    <col min="7433" max="7434" width="26" style="16" customWidth="1"/>
    <col min="7435" max="7435" width="1.7109375" style="16" customWidth="1"/>
    <col min="7436" max="7438" width="18.7109375" style="16" customWidth="1"/>
    <col min="7439" max="7439" width="1.7109375" style="16" customWidth="1"/>
    <col min="7440" max="7440" width="25.42578125" style="16" customWidth="1"/>
    <col min="7441" max="7441" width="20.7109375" style="16" customWidth="1"/>
    <col min="7442" max="7442" width="1.7109375" style="16" customWidth="1"/>
    <col min="7443" max="7444" width="25.42578125" style="16" customWidth="1"/>
    <col min="7445" max="7445" width="20.7109375" style="16" customWidth="1"/>
    <col min="7446" max="7446" width="1.7109375" style="16" customWidth="1"/>
    <col min="7447" max="7447" width="41.5703125" style="16" customWidth="1"/>
    <col min="7448" max="7448" width="11.5703125" style="16" customWidth="1"/>
    <col min="7449" max="7449" width="23" style="16" customWidth="1"/>
    <col min="7450" max="7453" width="18.7109375" style="16" customWidth="1"/>
    <col min="7454" max="7454" width="1.7109375" style="16" customWidth="1"/>
    <col min="7455" max="7680" width="9.140625" style="16"/>
    <col min="7681" max="7681" width="40" style="16" customWidth="1"/>
    <col min="7682" max="7682" width="11.5703125" style="16" customWidth="1"/>
    <col min="7683" max="7683" width="24" style="16" customWidth="1"/>
    <col min="7684" max="7687" width="15.85546875" style="16" customWidth="1"/>
    <col min="7688" max="7688" width="1.7109375" style="16" customWidth="1"/>
    <col min="7689" max="7690" width="26" style="16" customWidth="1"/>
    <col min="7691" max="7691" width="1.7109375" style="16" customWidth="1"/>
    <col min="7692" max="7694" width="18.7109375" style="16" customWidth="1"/>
    <col min="7695" max="7695" width="1.7109375" style="16" customWidth="1"/>
    <col min="7696" max="7696" width="25.42578125" style="16" customWidth="1"/>
    <col min="7697" max="7697" width="20.7109375" style="16" customWidth="1"/>
    <col min="7698" max="7698" width="1.7109375" style="16" customWidth="1"/>
    <col min="7699" max="7700" width="25.42578125" style="16" customWidth="1"/>
    <col min="7701" max="7701" width="20.7109375" style="16" customWidth="1"/>
    <col min="7702" max="7702" width="1.7109375" style="16" customWidth="1"/>
    <col min="7703" max="7703" width="41.5703125" style="16" customWidth="1"/>
    <col min="7704" max="7704" width="11.5703125" style="16" customWidth="1"/>
    <col min="7705" max="7705" width="23" style="16" customWidth="1"/>
    <col min="7706" max="7709" width="18.7109375" style="16" customWidth="1"/>
    <col min="7710" max="7710" width="1.7109375" style="16" customWidth="1"/>
    <col min="7711" max="7936" width="9.140625" style="16"/>
    <col min="7937" max="7937" width="40" style="16" customWidth="1"/>
    <col min="7938" max="7938" width="11.5703125" style="16" customWidth="1"/>
    <col min="7939" max="7939" width="24" style="16" customWidth="1"/>
    <col min="7940" max="7943" width="15.85546875" style="16" customWidth="1"/>
    <col min="7944" max="7944" width="1.7109375" style="16" customWidth="1"/>
    <col min="7945" max="7946" width="26" style="16" customWidth="1"/>
    <col min="7947" max="7947" width="1.7109375" style="16" customWidth="1"/>
    <col min="7948" max="7950" width="18.7109375" style="16" customWidth="1"/>
    <col min="7951" max="7951" width="1.7109375" style="16" customWidth="1"/>
    <col min="7952" max="7952" width="25.42578125" style="16" customWidth="1"/>
    <col min="7953" max="7953" width="20.7109375" style="16" customWidth="1"/>
    <col min="7954" max="7954" width="1.7109375" style="16" customWidth="1"/>
    <col min="7955" max="7956" width="25.42578125" style="16" customWidth="1"/>
    <col min="7957" max="7957" width="20.7109375" style="16" customWidth="1"/>
    <col min="7958" max="7958" width="1.7109375" style="16" customWidth="1"/>
    <col min="7959" max="7959" width="41.5703125" style="16" customWidth="1"/>
    <col min="7960" max="7960" width="11.5703125" style="16" customWidth="1"/>
    <col min="7961" max="7961" width="23" style="16" customWidth="1"/>
    <col min="7962" max="7965" width="18.7109375" style="16" customWidth="1"/>
    <col min="7966" max="7966" width="1.7109375" style="16" customWidth="1"/>
    <col min="7967" max="8192" width="9.140625" style="16"/>
    <col min="8193" max="8193" width="40" style="16" customWidth="1"/>
    <col min="8194" max="8194" width="11.5703125" style="16" customWidth="1"/>
    <col min="8195" max="8195" width="24" style="16" customWidth="1"/>
    <col min="8196" max="8199" width="15.85546875" style="16" customWidth="1"/>
    <col min="8200" max="8200" width="1.7109375" style="16" customWidth="1"/>
    <col min="8201" max="8202" width="26" style="16" customWidth="1"/>
    <col min="8203" max="8203" width="1.7109375" style="16" customWidth="1"/>
    <col min="8204" max="8206" width="18.7109375" style="16" customWidth="1"/>
    <col min="8207" max="8207" width="1.7109375" style="16" customWidth="1"/>
    <col min="8208" max="8208" width="25.42578125" style="16" customWidth="1"/>
    <col min="8209" max="8209" width="20.7109375" style="16" customWidth="1"/>
    <col min="8210" max="8210" width="1.7109375" style="16" customWidth="1"/>
    <col min="8211" max="8212" width="25.42578125" style="16" customWidth="1"/>
    <col min="8213" max="8213" width="20.7109375" style="16" customWidth="1"/>
    <col min="8214" max="8214" width="1.7109375" style="16" customWidth="1"/>
    <col min="8215" max="8215" width="41.5703125" style="16" customWidth="1"/>
    <col min="8216" max="8216" width="11.5703125" style="16" customWidth="1"/>
    <col min="8217" max="8217" width="23" style="16" customWidth="1"/>
    <col min="8218" max="8221" width="18.7109375" style="16" customWidth="1"/>
    <col min="8222" max="8222" width="1.7109375" style="16" customWidth="1"/>
    <col min="8223" max="8448" width="9.140625" style="16"/>
    <col min="8449" max="8449" width="40" style="16" customWidth="1"/>
    <col min="8450" max="8450" width="11.5703125" style="16" customWidth="1"/>
    <col min="8451" max="8451" width="24" style="16" customWidth="1"/>
    <col min="8452" max="8455" width="15.85546875" style="16" customWidth="1"/>
    <col min="8456" max="8456" width="1.7109375" style="16" customWidth="1"/>
    <col min="8457" max="8458" width="26" style="16" customWidth="1"/>
    <col min="8459" max="8459" width="1.7109375" style="16" customWidth="1"/>
    <col min="8460" max="8462" width="18.7109375" style="16" customWidth="1"/>
    <col min="8463" max="8463" width="1.7109375" style="16" customWidth="1"/>
    <col min="8464" max="8464" width="25.42578125" style="16" customWidth="1"/>
    <col min="8465" max="8465" width="20.7109375" style="16" customWidth="1"/>
    <col min="8466" max="8466" width="1.7109375" style="16" customWidth="1"/>
    <col min="8467" max="8468" width="25.42578125" style="16" customWidth="1"/>
    <col min="8469" max="8469" width="20.7109375" style="16" customWidth="1"/>
    <col min="8470" max="8470" width="1.7109375" style="16" customWidth="1"/>
    <col min="8471" max="8471" width="41.5703125" style="16" customWidth="1"/>
    <col min="8472" max="8472" width="11.5703125" style="16" customWidth="1"/>
    <col min="8473" max="8473" width="23" style="16" customWidth="1"/>
    <col min="8474" max="8477" width="18.7109375" style="16" customWidth="1"/>
    <col min="8478" max="8478" width="1.7109375" style="16" customWidth="1"/>
    <col min="8479" max="8704" width="9.140625" style="16"/>
    <col min="8705" max="8705" width="40" style="16" customWidth="1"/>
    <col min="8706" max="8706" width="11.5703125" style="16" customWidth="1"/>
    <col min="8707" max="8707" width="24" style="16" customWidth="1"/>
    <col min="8708" max="8711" width="15.85546875" style="16" customWidth="1"/>
    <col min="8712" max="8712" width="1.7109375" style="16" customWidth="1"/>
    <col min="8713" max="8714" width="26" style="16" customWidth="1"/>
    <col min="8715" max="8715" width="1.7109375" style="16" customWidth="1"/>
    <col min="8716" max="8718" width="18.7109375" style="16" customWidth="1"/>
    <col min="8719" max="8719" width="1.7109375" style="16" customWidth="1"/>
    <col min="8720" max="8720" width="25.42578125" style="16" customWidth="1"/>
    <col min="8721" max="8721" width="20.7109375" style="16" customWidth="1"/>
    <col min="8722" max="8722" width="1.7109375" style="16" customWidth="1"/>
    <col min="8723" max="8724" width="25.42578125" style="16" customWidth="1"/>
    <col min="8725" max="8725" width="20.7109375" style="16" customWidth="1"/>
    <col min="8726" max="8726" width="1.7109375" style="16" customWidth="1"/>
    <col min="8727" max="8727" width="41.5703125" style="16" customWidth="1"/>
    <col min="8728" max="8728" width="11.5703125" style="16" customWidth="1"/>
    <col min="8729" max="8729" width="23" style="16" customWidth="1"/>
    <col min="8730" max="8733" width="18.7109375" style="16" customWidth="1"/>
    <col min="8734" max="8734" width="1.7109375" style="16" customWidth="1"/>
    <col min="8735" max="8960" width="9.140625" style="16"/>
    <col min="8961" max="8961" width="40" style="16" customWidth="1"/>
    <col min="8962" max="8962" width="11.5703125" style="16" customWidth="1"/>
    <col min="8963" max="8963" width="24" style="16" customWidth="1"/>
    <col min="8964" max="8967" width="15.85546875" style="16" customWidth="1"/>
    <col min="8968" max="8968" width="1.7109375" style="16" customWidth="1"/>
    <col min="8969" max="8970" width="26" style="16" customWidth="1"/>
    <col min="8971" max="8971" width="1.7109375" style="16" customWidth="1"/>
    <col min="8972" max="8974" width="18.7109375" style="16" customWidth="1"/>
    <col min="8975" max="8975" width="1.7109375" style="16" customWidth="1"/>
    <col min="8976" max="8976" width="25.42578125" style="16" customWidth="1"/>
    <col min="8977" max="8977" width="20.7109375" style="16" customWidth="1"/>
    <col min="8978" max="8978" width="1.7109375" style="16" customWidth="1"/>
    <col min="8979" max="8980" width="25.42578125" style="16" customWidth="1"/>
    <col min="8981" max="8981" width="20.7109375" style="16" customWidth="1"/>
    <col min="8982" max="8982" width="1.7109375" style="16" customWidth="1"/>
    <col min="8983" max="8983" width="41.5703125" style="16" customWidth="1"/>
    <col min="8984" max="8984" width="11.5703125" style="16" customWidth="1"/>
    <col min="8985" max="8985" width="23" style="16" customWidth="1"/>
    <col min="8986" max="8989" width="18.7109375" style="16" customWidth="1"/>
    <col min="8990" max="8990" width="1.7109375" style="16" customWidth="1"/>
    <col min="8991" max="9216" width="9.140625" style="16"/>
    <col min="9217" max="9217" width="40" style="16" customWidth="1"/>
    <col min="9218" max="9218" width="11.5703125" style="16" customWidth="1"/>
    <col min="9219" max="9219" width="24" style="16" customWidth="1"/>
    <col min="9220" max="9223" width="15.85546875" style="16" customWidth="1"/>
    <col min="9224" max="9224" width="1.7109375" style="16" customWidth="1"/>
    <col min="9225" max="9226" width="26" style="16" customWidth="1"/>
    <col min="9227" max="9227" width="1.7109375" style="16" customWidth="1"/>
    <col min="9228" max="9230" width="18.7109375" style="16" customWidth="1"/>
    <col min="9231" max="9231" width="1.7109375" style="16" customWidth="1"/>
    <col min="9232" max="9232" width="25.42578125" style="16" customWidth="1"/>
    <col min="9233" max="9233" width="20.7109375" style="16" customWidth="1"/>
    <col min="9234" max="9234" width="1.7109375" style="16" customWidth="1"/>
    <col min="9235" max="9236" width="25.42578125" style="16" customWidth="1"/>
    <col min="9237" max="9237" width="20.7109375" style="16" customWidth="1"/>
    <col min="9238" max="9238" width="1.7109375" style="16" customWidth="1"/>
    <col min="9239" max="9239" width="41.5703125" style="16" customWidth="1"/>
    <col min="9240" max="9240" width="11.5703125" style="16" customWidth="1"/>
    <col min="9241" max="9241" width="23" style="16" customWidth="1"/>
    <col min="9242" max="9245" width="18.7109375" style="16" customWidth="1"/>
    <col min="9246" max="9246" width="1.7109375" style="16" customWidth="1"/>
    <col min="9247" max="9472" width="9.140625" style="16"/>
    <col min="9473" max="9473" width="40" style="16" customWidth="1"/>
    <col min="9474" max="9474" width="11.5703125" style="16" customWidth="1"/>
    <col min="9475" max="9475" width="24" style="16" customWidth="1"/>
    <col min="9476" max="9479" width="15.85546875" style="16" customWidth="1"/>
    <col min="9480" max="9480" width="1.7109375" style="16" customWidth="1"/>
    <col min="9481" max="9482" width="26" style="16" customWidth="1"/>
    <col min="9483" max="9483" width="1.7109375" style="16" customWidth="1"/>
    <col min="9484" max="9486" width="18.7109375" style="16" customWidth="1"/>
    <col min="9487" max="9487" width="1.7109375" style="16" customWidth="1"/>
    <col min="9488" max="9488" width="25.42578125" style="16" customWidth="1"/>
    <col min="9489" max="9489" width="20.7109375" style="16" customWidth="1"/>
    <col min="9490" max="9490" width="1.7109375" style="16" customWidth="1"/>
    <col min="9491" max="9492" width="25.42578125" style="16" customWidth="1"/>
    <col min="9493" max="9493" width="20.7109375" style="16" customWidth="1"/>
    <col min="9494" max="9494" width="1.7109375" style="16" customWidth="1"/>
    <col min="9495" max="9495" width="41.5703125" style="16" customWidth="1"/>
    <col min="9496" max="9496" width="11.5703125" style="16" customWidth="1"/>
    <col min="9497" max="9497" width="23" style="16" customWidth="1"/>
    <col min="9498" max="9501" width="18.7109375" style="16" customWidth="1"/>
    <col min="9502" max="9502" width="1.7109375" style="16" customWidth="1"/>
    <col min="9503" max="9728" width="9.140625" style="16"/>
    <col min="9729" max="9729" width="40" style="16" customWidth="1"/>
    <col min="9730" max="9730" width="11.5703125" style="16" customWidth="1"/>
    <col min="9731" max="9731" width="24" style="16" customWidth="1"/>
    <col min="9732" max="9735" width="15.85546875" style="16" customWidth="1"/>
    <col min="9736" max="9736" width="1.7109375" style="16" customWidth="1"/>
    <col min="9737" max="9738" width="26" style="16" customWidth="1"/>
    <col min="9739" max="9739" width="1.7109375" style="16" customWidth="1"/>
    <col min="9740" max="9742" width="18.7109375" style="16" customWidth="1"/>
    <col min="9743" max="9743" width="1.7109375" style="16" customWidth="1"/>
    <col min="9744" max="9744" width="25.42578125" style="16" customWidth="1"/>
    <col min="9745" max="9745" width="20.7109375" style="16" customWidth="1"/>
    <col min="9746" max="9746" width="1.7109375" style="16" customWidth="1"/>
    <col min="9747" max="9748" width="25.42578125" style="16" customWidth="1"/>
    <col min="9749" max="9749" width="20.7109375" style="16" customWidth="1"/>
    <col min="9750" max="9750" width="1.7109375" style="16" customWidth="1"/>
    <col min="9751" max="9751" width="41.5703125" style="16" customWidth="1"/>
    <col min="9752" max="9752" width="11.5703125" style="16" customWidth="1"/>
    <col min="9753" max="9753" width="23" style="16" customWidth="1"/>
    <col min="9754" max="9757" width="18.7109375" style="16" customWidth="1"/>
    <col min="9758" max="9758" width="1.7109375" style="16" customWidth="1"/>
    <col min="9759" max="9984" width="9.140625" style="16"/>
    <col min="9985" max="9985" width="40" style="16" customWidth="1"/>
    <col min="9986" max="9986" width="11.5703125" style="16" customWidth="1"/>
    <col min="9987" max="9987" width="24" style="16" customWidth="1"/>
    <col min="9988" max="9991" width="15.85546875" style="16" customWidth="1"/>
    <col min="9992" max="9992" width="1.7109375" style="16" customWidth="1"/>
    <col min="9993" max="9994" width="26" style="16" customWidth="1"/>
    <col min="9995" max="9995" width="1.7109375" style="16" customWidth="1"/>
    <col min="9996" max="9998" width="18.7109375" style="16" customWidth="1"/>
    <col min="9999" max="9999" width="1.7109375" style="16" customWidth="1"/>
    <col min="10000" max="10000" width="25.42578125" style="16" customWidth="1"/>
    <col min="10001" max="10001" width="20.7109375" style="16" customWidth="1"/>
    <col min="10002" max="10002" width="1.7109375" style="16" customWidth="1"/>
    <col min="10003" max="10004" width="25.42578125" style="16" customWidth="1"/>
    <col min="10005" max="10005" width="20.7109375" style="16" customWidth="1"/>
    <col min="10006" max="10006" width="1.7109375" style="16" customWidth="1"/>
    <col min="10007" max="10007" width="41.5703125" style="16" customWidth="1"/>
    <col min="10008" max="10008" width="11.5703125" style="16" customWidth="1"/>
    <col min="10009" max="10009" width="23" style="16" customWidth="1"/>
    <col min="10010" max="10013" width="18.7109375" style="16" customWidth="1"/>
    <col min="10014" max="10014" width="1.7109375" style="16" customWidth="1"/>
    <col min="10015" max="10240" width="9.140625" style="16"/>
    <col min="10241" max="10241" width="40" style="16" customWidth="1"/>
    <col min="10242" max="10242" width="11.5703125" style="16" customWidth="1"/>
    <col min="10243" max="10243" width="24" style="16" customWidth="1"/>
    <col min="10244" max="10247" width="15.85546875" style="16" customWidth="1"/>
    <col min="10248" max="10248" width="1.7109375" style="16" customWidth="1"/>
    <col min="10249" max="10250" width="26" style="16" customWidth="1"/>
    <col min="10251" max="10251" width="1.7109375" style="16" customWidth="1"/>
    <col min="10252" max="10254" width="18.7109375" style="16" customWidth="1"/>
    <col min="10255" max="10255" width="1.7109375" style="16" customWidth="1"/>
    <col min="10256" max="10256" width="25.42578125" style="16" customWidth="1"/>
    <col min="10257" max="10257" width="20.7109375" style="16" customWidth="1"/>
    <col min="10258" max="10258" width="1.7109375" style="16" customWidth="1"/>
    <col min="10259" max="10260" width="25.42578125" style="16" customWidth="1"/>
    <col min="10261" max="10261" width="20.7109375" style="16" customWidth="1"/>
    <col min="10262" max="10262" width="1.7109375" style="16" customWidth="1"/>
    <col min="10263" max="10263" width="41.5703125" style="16" customWidth="1"/>
    <col min="10264" max="10264" width="11.5703125" style="16" customWidth="1"/>
    <col min="10265" max="10265" width="23" style="16" customWidth="1"/>
    <col min="10266" max="10269" width="18.7109375" style="16" customWidth="1"/>
    <col min="10270" max="10270" width="1.7109375" style="16" customWidth="1"/>
    <col min="10271" max="10496" width="9.140625" style="16"/>
    <col min="10497" max="10497" width="40" style="16" customWidth="1"/>
    <col min="10498" max="10498" width="11.5703125" style="16" customWidth="1"/>
    <col min="10499" max="10499" width="24" style="16" customWidth="1"/>
    <col min="10500" max="10503" width="15.85546875" style="16" customWidth="1"/>
    <col min="10504" max="10504" width="1.7109375" style="16" customWidth="1"/>
    <col min="10505" max="10506" width="26" style="16" customWidth="1"/>
    <col min="10507" max="10507" width="1.7109375" style="16" customWidth="1"/>
    <col min="10508" max="10510" width="18.7109375" style="16" customWidth="1"/>
    <col min="10511" max="10511" width="1.7109375" style="16" customWidth="1"/>
    <col min="10512" max="10512" width="25.42578125" style="16" customWidth="1"/>
    <col min="10513" max="10513" width="20.7109375" style="16" customWidth="1"/>
    <col min="10514" max="10514" width="1.7109375" style="16" customWidth="1"/>
    <col min="10515" max="10516" width="25.42578125" style="16" customWidth="1"/>
    <col min="10517" max="10517" width="20.7109375" style="16" customWidth="1"/>
    <col min="10518" max="10518" width="1.7109375" style="16" customWidth="1"/>
    <col min="10519" max="10519" width="41.5703125" style="16" customWidth="1"/>
    <col min="10520" max="10520" width="11.5703125" style="16" customWidth="1"/>
    <col min="10521" max="10521" width="23" style="16" customWidth="1"/>
    <col min="10522" max="10525" width="18.7109375" style="16" customWidth="1"/>
    <col min="10526" max="10526" width="1.7109375" style="16" customWidth="1"/>
    <col min="10527" max="10752" width="9.140625" style="16"/>
    <col min="10753" max="10753" width="40" style="16" customWidth="1"/>
    <col min="10754" max="10754" width="11.5703125" style="16" customWidth="1"/>
    <col min="10755" max="10755" width="24" style="16" customWidth="1"/>
    <col min="10756" max="10759" width="15.85546875" style="16" customWidth="1"/>
    <col min="10760" max="10760" width="1.7109375" style="16" customWidth="1"/>
    <col min="10761" max="10762" width="26" style="16" customWidth="1"/>
    <col min="10763" max="10763" width="1.7109375" style="16" customWidth="1"/>
    <col min="10764" max="10766" width="18.7109375" style="16" customWidth="1"/>
    <col min="10767" max="10767" width="1.7109375" style="16" customWidth="1"/>
    <col min="10768" max="10768" width="25.42578125" style="16" customWidth="1"/>
    <col min="10769" max="10769" width="20.7109375" style="16" customWidth="1"/>
    <col min="10770" max="10770" width="1.7109375" style="16" customWidth="1"/>
    <col min="10771" max="10772" width="25.42578125" style="16" customWidth="1"/>
    <col min="10773" max="10773" width="20.7109375" style="16" customWidth="1"/>
    <col min="10774" max="10774" width="1.7109375" style="16" customWidth="1"/>
    <col min="10775" max="10775" width="41.5703125" style="16" customWidth="1"/>
    <col min="10776" max="10776" width="11.5703125" style="16" customWidth="1"/>
    <col min="10777" max="10777" width="23" style="16" customWidth="1"/>
    <col min="10778" max="10781" width="18.7109375" style="16" customWidth="1"/>
    <col min="10782" max="10782" width="1.7109375" style="16" customWidth="1"/>
    <col min="10783" max="11008" width="9.140625" style="16"/>
    <col min="11009" max="11009" width="40" style="16" customWidth="1"/>
    <col min="11010" max="11010" width="11.5703125" style="16" customWidth="1"/>
    <col min="11011" max="11011" width="24" style="16" customWidth="1"/>
    <col min="11012" max="11015" width="15.85546875" style="16" customWidth="1"/>
    <col min="11016" max="11016" width="1.7109375" style="16" customWidth="1"/>
    <col min="11017" max="11018" width="26" style="16" customWidth="1"/>
    <col min="11019" max="11019" width="1.7109375" style="16" customWidth="1"/>
    <col min="11020" max="11022" width="18.7109375" style="16" customWidth="1"/>
    <col min="11023" max="11023" width="1.7109375" style="16" customWidth="1"/>
    <col min="11024" max="11024" width="25.42578125" style="16" customWidth="1"/>
    <col min="11025" max="11025" width="20.7109375" style="16" customWidth="1"/>
    <col min="11026" max="11026" width="1.7109375" style="16" customWidth="1"/>
    <col min="11027" max="11028" width="25.42578125" style="16" customWidth="1"/>
    <col min="11029" max="11029" width="20.7109375" style="16" customWidth="1"/>
    <col min="11030" max="11030" width="1.7109375" style="16" customWidth="1"/>
    <col min="11031" max="11031" width="41.5703125" style="16" customWidth="1"/>
    <col min="11032" max="11032" width="11.5703125" style="16" customWidth="1"/>
    <col min="11033" max="11033" width="23" style="16" customWidth="1"/>
    <col min="11034" max="11037" width="18.7109375" style="16" customWidth="1"/>
    <col min="11038" max="11038" width="1.7109375" style="16" customWidth="1"/>
    <col min="11039" max="11264" width="9.140625" style="16"/>
    <col min="11265" max="11265" width="40" style="16" customWidth="1"/>
    <col min="11266" max="11266" width="11.5703125" style="16" customWidth="1"/>
    <col min="11267" max="11267" width="24" style="16" customWidth="1"/>
    <col min="11268" max="11271" width="15.85546875" style="16" customWidth="1"/>
    <col min="11272" max="11272" width="1.7109375" style="16" customWidth="1"/>
    <col min="11273" max="11274" width="26" style="16" customWidth="1"/>
    <col min="11275" max="11275" width="1.7109375" style="16" customWidth="1"/>
    <col min="11276" max="11278" width="18.7109375" style="16" customWidth="1"/>
    <col min="11279" max="11279" width="1.7109375" style="16" customWidth="1"/>
    <col min="11280" max="11280" width="25.42578125" style="16" customWidth="1"/>
    <col min="11281" max="11281" width="20.7109375" style="16" customWidth="1"/>
    <col min="11282" max="11282" width="1.7109375" style="16" customWidth="1"/>
    <col min="11283" max="11284" width="25.42578125" style="16" customWidth="1"/>
    <col min="11285" max="11285" width="20.7109375" style="16" customWidth="1"/>
    <col min="11286" max="11286" width="1.7109375" style="16" customWidth="1"/>
    <col min="11287" max="11287" width="41.5703125" style="16" customWidth="1"/>
    <col min="11288" max="11288" width="11.5703125" style="16" customWidth="1"/>
    <col min="11289" max="11289" width="23" style="16" customWidth="1"/>
    <col min="11290" max="11293" width="18.7109375" style="16" customWidth="1"/>
    <col min="11294" max="11294" width="1.7109375" style="16" customWidth="1"/>
    <col min="11295" max="11520" width="9.140625" style="16"/>
    <col min="11521" max="11521" width="40" style="16" customWidth="1"/>
    <col min="11522" max="11522" width="11.5703125" style="16" customWidth="1"/>
    <col min="11523" max="11523" width="24" style="16" customWidth="1"/>
    <col min="11524" max="11527" width="15.85546875" style="16" customWidth="1"/>
    <col min="11528" max="11528" width="1.7109375" style="16" customWidth="1"/>
    <col min="11529" max="11530" width="26" style="16" customWidth="1"/>
    <col min="11531" max="11531" width="1.7109375" style="16" customWidth="1"/>
    <col min="11532" max="11534" width="18.7109375" style="16" customWidth="1"/>
    <col min="11535" max="11535" width="1.7109375" style="16" customWidth="1"/>
    <col min="11536" max="11536" width="25.42578125" style="16" customWidth="1"/>
    <col min="11537" max="11537" width="20.7109375" style="16" customWidth="1"/>
    <col min="11538" max="11538" width="1.7109375" style="16" customWidth="1"/>
    <col min="11539" max="11540" width="25.42578125" style="16" customWidth="1"/>
    <col min="11541" max="11541" width="20.7109375" style="16" customWidth="1"/>
    <col min="11542" max="11542" width="1.7109375" style="16" customWidth="1"/>
    <col min="11543" max="11543" width="41.5703125" style="16" customWidth="1"/>
    <col min="11544" max="11544" width="11.5703125" style="16" customWidth="1"/>
    <col min="11545" max="11545" width="23" style="16" customWidth="1"/>
    <col min="11546" max="11549" width="18.7109375" style="16" customWidth="1"/>
    <col min="11550" max="11550" width="1.7109375" style="16" customWidth="1"/>
    <col min="11551" max="11776" width="9.140625" style="16"/>
    <col min="11777" max="11777" width="40" style="16" customWidth="1"/>
    <col min="11778" max="11778" width="11.5703125" style="16" customWidth="1"/>
    <col min="11779" max="11779" width="24" style="16" customWidth="1"/>
    <col min="11780" max="11783" width="15.85546875" style="16" customWidth="1"/>
    <col min="11784" max="11784" width="1.7109375" style="16" customWidth="1"/>
    <col min="11785" max="11786" width="26" style="16" customWidth="1"/>
    <col min="11787" max="11787" width="1.7109375" style="16" customWidth="1"/>
    <col min="11788" max="11790" width="18.7109375" style="16" customWidth="1"/>
    <col min="11791" max="11791" width="1.7109375" style="16" customWidth="1"/>
    <col min="11792" max="11792" width="25.42578125" style="16" customWidth="1"/>
    <col min="11793" max="11793" width="20.7109375" style="16" customWidth="1"/>
    <col min="11794" max="11794" width="1.7109375" style="16" customWidth="1"/>
    <col min="11795" max="11796" width="25.42578125" style="16" customWidth="1"/>
    <col min="11797" max="11797" width="20.7109375" style="16" customWidth="1"/>
    <col min="11798" max="11798" width="1.7109375" style="16" customWidth="1"/>
    <col min="11799" max="11799" width="41.5703125" style="16" customWidth="1"/>
    <col min="11800" max="11800" width="11.5703125" style="16" customWidth="1"/>
    <col min="11801" max="11801" width="23" style="16" customWidth="1"/>
    <col min="11802" max="11805" width="18.7109375" style="16" customWidth="1"/>
    <col min="11806" max="11806" width="1.7109375" style="16" customWidth="1"/>
    <col min="11807" max="12032" width="9.140625" style="16"/>
    <col min="12033" max="12033" width="40" style="16" customWidth="1"/>
    <col min="12034" max="12034" width="11.5703125" style="16" customWidth="1"/>
    <col min="12035" max="12035" width="24" style="16" customWidth="1"/>
    <col min="12036" max="12039" width="15.85546875" style="16" customWidth="1"/>
    <col min="12040" max="12040" width="1.7109375" style="16" customWidth="1"/>
    <col min="12041" max="12042" width="26" style="16" customWidth="1"/>
    <col min="12043" max="12043" width="1.7109375" style="16" customWidth="1"/>
    <col min="12044" max="12046" width="18.7109375" style="16" customWidth="1"/>
    <col min="12047" max="12047" width="1.7109375" style="16" customWidth="1"/>
    <col min="12048" max="12048" width="25.42578125" style="16" customWidth="1"/>
    <col min="12049" max="12049" width="20.7109375" style="16" customWidth="1"/>
    <col min="12050" max="12050" width="1.7109375" style="16" customWidth="1"/>
    <col min="12051" max="12052" width="25.42578125" style="16" customWidth="1"/>
    <col min="12053" max="12053" width="20.7109375" style="16" customWidth="1"/>
    <col min="12054" max="12054" width="1.7109375" style="16" customWidth="1"/>
    <col min="12055" max="12055" width="41.5703125" style="16" customWidth="1"/>
    <col min="12056" max="12056" width="11.5703125" style="16" customWidth="1"/>
    <col min="12057" max="12057" width="23" style="16" customWidth="1"/>
    <col min="12058" max="12061" width="18.7109375" style="16" customWidth="1"/>
    <col min="12062" max="12062" width="1.7109375" style="16" customWidth="1"/>
    <col min="12063" max="12288" width="9.140625" style="16"/>
    <col min="12289" max="12289" width="40" style="16" customWidth="1"/>
    <col min="12290" max="12290" width="11.5703125" style="16" customWidth="1"/>
    <col min="12291" max="12291" width="24" style="16" customWidth="1"/>
    <col min="12292" max="12295" width="15.85546875" style="16" customWidth="1"/>
    <col min="12296" max="12296" width="1.7109375" style="16" customWidth="1"/>
    <col min="12297" max="12298" width="26" style="16" customWidth="1"/>
    <col min="12299" max="12299" width="1.7109375" style="16" customWidth="1"/>
    <col min="12300" max="12302" width="18.7109375" style="16" customWidth="1"/>
    <col min="12303" max="12303" width="1.7109375" style="16" customWidth="1"/>
    <col min="12304" max="12304" width="25.42578125" style="16" customWidth="1"/>
    <col min="12305" max="12305" width="20.7109375" style="16" customWidth="1"/>
    <col min="12306" max="12306" width="1.7109375" style="16" customWidth="1"/>
    <col min="12307" max="12308" width="25.42578125" style="16" customWidth="1"/>
    <col min="12309" max="12309" width="20.7109375" style="16" customWidth="1"/>
    <col min="12310" max="12310" width="1.7109375" style="16" customWidth="1"/>
    <col min="12311" max="12311" width="41.5703125" style="16" customWidth="1"/>
    <col min="12312" max="12312" width="11.5703125" style="16" customWidth="1"/>
    <col min="12313" max="12313" width="23" style="16" customWidth="1"/>
    <col min="12314" max="12317" width="18.7109375" style="16" customWidth="1"/>
    <col min="12318" max="12318" width="1.7109375" style="16" customWidth="1"/>
    <col min="12319" max="12544" width="9.140625" style="16"/>
    <col min="12545" max="12545" width="40" style="16" customWidth="1"/>
    <col min="12546" max="12546" width="11.5703125" style="16" customWidth="1"/>
    <col min="12547" max="12547" width="24" style="16" customWidth="1"/>
    <col min="12548" max="12551" width="15.85546875" style="16" customWidth="1"/>
    <col min="12552" max="12552" width="1.7109375" style="16" customWidth="1"/>
    <col min="12553" max="12554" width="26" style="16" customWidth="1"/>
    <col min="12555" max="12555" width="1.7109375" style="16" customWidth="1"/>
    <col min="12556" max="12558" width="18.7109375" style="16" customWidth="1"/>
    <col min="12559" max="12559" width="1.7109375" style="16" customWidth="1"/>
    <col min="12560" max="12560" width="25.42578125" style="16" customWidth="1"/>
    <col min="12561" max="12561" width="20.7109375" style="16" customWidth="1"/>
    <col min="12562" max="12562" width="1.7109375" style="16" customWidth="1"/>
    <col min="12563" max="12564" width="25.42578125" style="16" customWidth="1"/>
    <col min="12565" max="12565" width="20.7109375" style="16" customWidth="1"/>
    <col min="12566" max="12566" width="1.7109375" style="16" customWidth="1"/>
    <col min="12567" max="12567" width="41.5703125" style="16" customWidth="1"/>
    <col min="12568" max="12568" width="11.5703125" style="16" customWidth="1"/>
    <col min="12569" max="12569" width="23" style="16" customWidth="1"/>
    <col min="12570" max="12573" width="18.7109375" style="16" customWidth="1"/>
    <col min="12574" max="12574" width="1.7109375" style="16" customWidth="1"/>
    <col min="12575" max="12800" width="9.140625" style="16"/>
    <col min="12801" max="12801" width="40" style="16" customWidth="1"/>
    <col min="12802" max="12802" width="11.5703125" style="16" customWidth="1"/>
    <col min="12803" max="12803" width="24" style="16" customWidth="1"/>
    <col min="12804" max="12807" width="15.85546875" style="16" customWidth="1"/>
    <col min="12808" max="12808" width="1.7109375" style="16" customWidth="1"/>
    <col min="12809" max="12810" width="26" style="16" customWidth="1"/>
    <col min="12811" max="12811" width="1.7109375" style="16" customWidth="1"/>
    <col min="12812" max="12814" width="18.7109375" style="16" customWidth="1"/>
    <col min="12815" max="12815" width="1.7109375" style="16" customWidth="1"/>
    <col min="12816" max="12816" width="25.42578125" style="16" customWidth="1"/>
    <col min="12817" max="12817" width="20.7109375" style="16" customWidth="1"/>
    <col min="12818" max="12818" width="1.7109375" style="16" customWidth="1"/>
    <col min="12819" max="12820" width="25.42578125" style="16" customWidth="1"/>
    <col min="12821" max="12821" width="20.7109375" style="16" customWidth="1"/>
    <col min="12822" max="12822" width="1.7109375" style="16" customWidth="1"/>
    <col min="12823" max="12823" width="41.5703125" style="16" customWidth="1"/>
    <col min="12824" max="12824" width="11.5703125" style="16" customWidth="1"/>
    <col min="12825" max="12825" width="23" style="16" customWidth="1"/>
    <col min="12826" max="12829" width="18.7109375" style="16" customWidth="1"/>
    <col min="12830" max="12830" width="1.7109375" style="16" customWidth="1"/>
    <col min="12831" max="13056" width="9.140625" style="16"/>
    <col min="13057" max="13057" width="40" style="16" customWidth="1"/>
    <col min="13058" max="13058" width="11.5703125" style="16" customWidth="1"/>
    <col min="13059" max="13059" width="24" style="16" customWidth="1"/>
    <col min="13060" max="13063" width="15.85546875" style="16" customWidth="1"/>
    <col min="13064" max="13064" width="1.7109375" style="16" customWidth="1"/>
    <col min="13065" max="13066" width="26" style="16" customWidth="1"/>
    <col min="13067" max="13067" width="1.7109375" style="16" customWidth="1"/>
    <col min="13068" max="13070" width="18.7109375" style="16" customWidth="1"/>
    <col min="13071" max="13071" width="1.7109375" style="16" customWidth="1"/>
    <col min="13072" max="13072" width="25.42578125" style="16" customWidth="1"/>
    <col min="13073" max="13073" width="20.7109375" style="16" customWidth="1"/>
    <col min="13074" max="13074" width="1.7109375" style="16" customWidth="1"/>
    <col min="13075" max="13076" width="25.42578125" style="16" customWidth="1"/>
    <col min="13077" max="13077" width="20.7109375" style="16" customWidth="1"/>
    <col min="13078" max="13078" width="1.7109375" style="16" customWidth="1"/>
    <col min="13079" max="13079" width="41.5703125" style="16" customWidth="1"/>
    <col min="13080" max="13080" width="11.5703125" style="16" customWidth="1"/>
    <col min="13081" max="13081" width="23" style="16" customWidth="1"/>
    <col min="13082" max="13085" width="18.7109375" style="16" customWidth="1"/>
    <col min="13086" max="13086" width="1.7109375" style="16" customWidth="1"/>
    <col min="13087" max="13312" width="9.140625" style="16"/>
    <col min="13313" max="13313" width="40" style="16" customWidth="1"/>
    <col min="13314" max="13314" width="11.5703125" style="16" customWidth="1"/>
    <col min="13315" max="13315" width="24" style="16" customWidth="1"/>
    <col min="13316" max="13319" width="15.85546875" style="16" customWidth="1"/>
    <col min="13320" max="13320" width="1.7109375" style="16" customWidth="1"/>
    <col min="13321" max="13322" width="26" style="16" customWidth="1"/>
    <col min="13323" max="13323" width="1.7109375" style="16" customWidth="1"/>
    <col min="13324" max="13326" width="18.7109375" style="16" customWidth="1"/>
    <col min="13327" max="13327" width="1.7109375" style="16" customWidth="1"/>
    <col min="13328" max="13328" width="25.42578125" style="16" customWidth="1"/>
    <col min="13329" max="13329" width="20.7109375" style="16" customWidth="1"/>
    <col min="13330" max="13330" width="1.7109375" style="16" customWidth="1"/>
    <col min="13331" max="13332" width="25.42578125" style="16" customWidth="1"/>
    <col min="13333" max="13333" width="20.7109375" style="16" customWidth="1"/>
    <col min="13334" max="13334" width="1.7109375" style="16" customWidth="1"/>
    <col min="13335" max="13335" width="41.5703125" style="16" customWidth="1"/>
    <col min="13336" max="13336" width="11.5703125" style="16" customWidth="1"/>
    <col min="13337" max="13337" width="23" style="16" customWidth="1"/>
    <col min="13338" max="13341" width="18.7109375" style="16" customWidth="1"/>
    <col min="13342" max="13342" width="1.7109375" style="16" customWidth="1"/>
    <col min="13343" max="13568" width="9.140625" style="16"/>
    <col min="13569" max="13569" width="40" style="16" customWidth="1"/>
    <col min="13570" max="13570" width="11.5703125" style="16" customWidth="1"/>
    <col min="13571" max="13571" width="24" style="16" customWidth="1"/>
    <col min="13572" max="13575" width="15.85546875" style="16" customWidth="1"/>
    <col min="13576" max="13576" width="1.7109375" style="16" customWidth="1"/>
    <col min="13577" max="13578" width="26" style="16" customWidth="1"/>
    <col min="13579" max="13579" width="1.7109375" style="16" customWidth="1"/>
    <col min="13580" max="13582" width="18.7109375" style="16" customWidth="1"/>
    <col min="13583" max="13583" width="1.7109375" style="16" customWidth="1"/>
    <col min="13584" max="13584" width="25.42578125" style="16" customWidth="1"/>
    <col min="13585" max="13585" width="20.7109375" style="16" customWidth="1"/>
    <col min="13586" max="13586" width="1.7109375" style="16" customWidth="1"/>
    <col min="13587" max="13588" width="25.42578125" style="16" customWidth="1"/>
    <col min="13589" max="13589" width="20.7109375" style="16" customWidth="1"/>
    <col min="13590" max="13590" width="1.7109375" style="16" customWidth="1"/>
    <col min="13591" max="13591" width="41.5703125" style="16" customWidth="1"/>
    <col min="13592" max="13592" width="11.5703125" style="16" customWidth="1"/>
    <col min="13593" max="13593" width="23" style="16" customWidth="1"/>
    <col min="13594" max="13597" width="18.7109375" style="16" customWidth="1"/>
    <col min="13598" max="13598" width="1.7109375" style="16" customWidth="1"/>
    <col min="13599" max="13824" width="9.140625" style="16"/>
    <col min="13825" max="13825" width="40" style="16" customWidth="1"/>
    <col min="13826" max="13826" width="11.5703125" style="16" customWidth="1"/>
    <col min="13827" max="13827" width="24" style="16" customWidth="1"/>
    <col min="13828" max="13831" width="15.85546875" style="16" customWidth="1"/>
    <col min="13832" max="13832" width="1.7109375" style="16" customWidth="1"/>
    <col min="13833" max="13834" width="26" style="16" customWidth="1"/>
    <col min="13835" max="13835" width="1.7109375" style="16" customWidth="1"/>
    <col min="13836" max="13838" width="18.7109375" style="16" customWidth="1"/>
    <col min="13839" max="13839" width="1.7109375" style="16" customWidth="1"/>
    <col min="13840" max="13840" width="25.42578125" style="16" customWidth="1"/>
    <col min="13841" max="13841" width="20.7109375" style="16" customWidth="1"/>
    <col min="13842" max="13842" width="1.7109375" style="16" customWidth="1"/>
    <col min="13843" max="13844" width="25.42578125" style="16" customWidth="1"/>
    <col min="13845" max="13845" width="20.7109375" style="16" customWidth="1"/>
    <col min="13846" max="13846" width="1.7109375" style="16" customWidth="1"/>
    <col min="13847" max="13847" width="41.5703125" style="16" customWidth="1"/>
    <col min="13848" max="13848" width="11.5703125" style="16" customWidth="1"/>
    <col min="13849" max="13849" width="23" style="16" customWidth="1"/>
    <col min="13850" max="13853" width="18.7109375" style="16" customWidth="1"/>
    <col min="13854" max="13854" width="1.7109375" style="16" customWidth="1"/>
    <col min="13855" max="14080" width="9.140625" style="16"/>
    <col min="14081" max="14081" width="40" style="16" customWidth="1"/>
    <col min="14082" max="14082" width="11.5703125" style="16" customWidth="1"/>
    <col min="14083" max="14083" width="24" style="16" customWidth="1"/>
    <col min="14084" max="14087" width="15.85546875" style="16" customWidth="1"/>
    <col min="14088" max="14088" width="1.7109375" style="16" customWidth="1"/>
    <col min="14089" max="14090" width="26" style="16" customWidth="1"/>
    <col min="14091" max="14091" width="1.7109375" style="16" customWidth="1"/>
    <col min="14092" max="14094" width="18.7109375" style="16" customWidth="1"/>
    <col min="14095" max="14095" width="1.7109375" style="16" customWidth="1"/>
    <col min="14096" max="14096" width="25.42578125" style="16" customWidth="1"/>
    <col min="14097" max="14097" width="20.7109375" style="16" customWidth="1"/>
    <col min="14098" max="14098" width="1.7109375" style="16" customWidth="1"/>
    <col min="14099" max="14100" width="25.42578125" style="16" customWidth="1"/>
    <col min="14101" max="14101" width="20.7109375" style="16" customWidth="1"/>
    <col min="14102" max="14102" width="1.7109375" style="16" customWidth="1"/>
    <col min="14103" max="14103" width="41.5703125" style="16" customWidth="1"/>
    <col min="14104" max="14104" width="11.5703125" style="16" customWidth="1"/>
    <col min="14105" max="14105" width="23" style="16" customWidth="1"/>
    <col min="14106" max="14109" width="18.7109375" style="16" customWidth="1"/>
    <col min="14110" max="14110" width="1.7109375" style="16" customWidth="1"/>
    <col min="14111" max="14336" width="9.140625" style="16"/>
    <col min="14337" max="14337" width="40" style="16" customWidth="1"/>
    <col min="14338" max="14338" width="11.5703125" style="16" customWidth="1"/>
    <col min="14339" max="14339" width="24" style="16" customWidth="1"/>
    <col min="14340" max="14343" width="15.85546875" style="16" customWidth="1"/>
    <col min="14344" max="14344" width="1.7109375" style="16" customWidth="1"/>
    <col min="14345" max="14346" width="26" style="16" customWidth="1"/>
    <col min="14347" max="14347" width="1.7109375" style="16" customWidth="1"/>
    <col min="14348" max="14350" width="18.7109375" style="16" customWidth="1"/>
    <col min="14351" max="14351" width="1.7109375" style="16" customWidth="1"/>
    <col min="14352" max="14352" width="25.42578125" style="16" customWidth="1"/>
    <col min="14353" max="14353" width="20.7109375" style="16" customWidth="1"/>
    <col min="14354" max="14354" width="1.7109375" style="16" customWidth="1"/>
    <col min="14355" max="14356" width="25.42578125" style="16" customWidth="1"/>
    <col min="14357" max="14357" width="20.7109375" style="16" customWidth="1"/>
    <col min="14358" max="14358" width="1.7109375" style="16" customWidth="1"/>
    <col min="14359" max="14359" width="41.5703125" style="16" customWidth="1"/>
    <col min="14360" max="14360" width="11.5703125" style="16" customWidth="1"/>
    <col min="14361" max="14361" width="23" style="16" customWidth="1"/>
    <col min="14362" max="14365" width="18.7109375" style="16" customWidth="1"/>
    <col min="14366" max="14366" width="1.7109375" style="16" customWidth="1"/>
    <col min="14367" max="14592" width="9.140625" style="16"/>
    <col min="14593" max="14593" width="40" style="16" customWidth="1"/>
    <col min="14594" max="14594" width="11.5703125" style="16" customWidth="1"/>
    <col min="14595" max="14595" width="24" style="16" customWidth="1"/>
    <col min="14596" max="14599" width="15.85546875" style="16" customWidth="1"/>
    <col min="14600" max="14600" width="1.7109375" style="16" customWidth="1"/>
    <col min="14601" max="14602" width="26" style="16" customWidth="1"/>
    <col min="14603" max="14603" width="1.7109375" style="16" customWidth="1"/>
    <col min="14604" max="14606" width="18.7109375" style="16" customWidth="1"/>
    <col min="14607" max="14607" width="1.7109375" style="16" customWidth="1"/>
    <col min="14608" max="14608" width="25.42578125" style="16" customWidth="1"/>
    <col min="14609" max="14609" width="20.7109375" style="16" customWidth="1"/>
    <col min="14610" max="14610" width="1.7109375" style="16" customWidth="1"/>
    <col min="14611" max="14612" width="25.42578125" style="16" customWidth="1"/>
    <col min="14613" max="14613" width="20.7109375" style="16" customWidth="1"/>
    <col min="14614" max="14614" width="1.7109375" style="16" customWidth="1"/>
    <col min="14615" max="14615" width="41.5703125" style="16" customWidth="1"/>
    <col min="14616" max="14616" width="11.5703125" style="16" customWidth="1"/>
    <col min="14617" max="14617" width="23" style="16" customWidth="1"/>
    <col min="14618" max="14621" width="18.7109375" style="16" customWidth="1"/>
    <col min="14622" max="14622" width="1.7109375" style="16" customWidth="1"/>
    <col min="14623" max="14848" width="9.140625" style="16"/>
    <col min="14849" max="14849" width="40" style="16" customWidth="1"/>
    <col min="14850" max="14850" width="11.5703125" style="16" customWidth="1"/>
    <col min="14851" max="14851" width="24" style="16" customWidth="1"/>
    <col min="14852" max="14855" width="15.85546875" style="16" customWidth="1"/>
    <col min="14856" max="14856" width="1.7109375" style="16" customWidth="1"/>
    <col min="14857" max="14858" width="26" style="16" customWidth="1"/>
    <col min="14859" max="14859" width="1.7109375" style="16" customWidth="1"/>
    <col min="14860" max="14862" width="18.7109375" style="16" customWidth="1"/>
    <col min="14863" max="14863" width="1.7109375" style="16" customWidth="1"/>
    <col min="14864" max="14864" width="25.42578125" style="16" customWidth="1"/>
    <col min="14865" max="14865" width="20.7109375" style="16" customWidth="1"/>
    <col min="14866" max="14866" width="1.7109375" style="16" customWidth="1"/>
    <col min="14867" max="14868" width="25.42578125" style="16" customWidth="1"/>
    <col min="14869" max="14869" width="20.7109375" style="16" customWidth="1"/>
    <col min="14870" max="14870" width="1.7109375" style="16" customWidth="1"/>
    <col min="14871" max="14871" width="41.5703125" style="16" customWidth="1"/>
    <col min="14872" max="14872" width="11.5703125" style="16" customWidth="1"/>
    <col min="14873" max="14873" width="23" style="16" customWidth="1"/>
    <col min="14874" max="14877" width="18.7109375" style="16" customWidth="1"/>
    <col min="14878" max="14878" width="1.7109375" style="16" customWidth="1"/>
    <col min="14879" max="15104" width="9.140625" style="16"/>
    <col min="15105" max="15105" width="40" style="16" customWidth="1"/>
    <col min="15106" max="15106" width="11.5703125" style="16" customWidth="1"/>
    <col min="15107" max="15107" width="24" style="16" customWidth="1"/>
    <col min="15108" max="15111" width="15.85546875" style="16" customWidth="1"/>
    <col min="15112" max="15112" width="1.7109375" style="16" customWidth="1"/>
    <col min="15113" max="15114" width="26" style="16" customWidth="1"/>
    <col min="15115" max="15115" width="1.7109375" style="16" customWidth="1"/>
    <col min="15116" max="15118" width="18.7109375" style="16" customWidth="1"/>
    <col min="15119" max="15119" width="1.7109375" style="16" customWidth="1"/>
    <col min="15120" max="15120" width="25.42578125" style="16" customWidth="1"/>
    <col min="15121" max="15121" width="20.7109375" style="16" customWidth="1"/>
    <col min="15122" max="15122" width="1.7109375" style="16" customWidth="1"/>
    <col min="15123" max="15124" width="25.42578125" style="16" customWidth="1"/>
    <col min="15125" max="15125" width="20.7109375" style="16" customWidth="1"/>
    <col min="15126" max="15126" width="1.7109375" style="16" customWidth="1"/>
    <col min="15127" max="15127" width="41.5703125" style="16" customWidth="1"/>
    <col min="15128" max="15128" width="11.5703125" style="16" customWidth="1"/>
    <col min="15129" max="15129" width="23" style="16" customWidth="1"/>
    <col min="15130" max="15133" width="18.7109375" style="16" customWidth="1"/>
    <col min="15134" max="15134" width="1.7109375" style="16" customWidth="1"/>
    <col min="15135" max="15360" width="9.140625" style="16"/>
    <col min="15361" max="15361" width="40" style="16" customWidth="1"/>
    <col min="15362" max="15362" width="11.5703125" style="16" customWidth="1"/>
    <col min="15363" max="15363" width="24" style="16" customWidth="1"/>
    <col min="15364" max="15367" width="15.85546875" style="16" customWidth="1"/>
    <col min="15368" max="15368" width="1.7109375" style="16" customWidth="1"/>
    <col min="15369" max="15370" width="26" style="16" customWidth="1"/>
    <col min="15371" max="15371" width="1.7109375" style="16" customWidth="1"/>
    <col min="15372" max="15374" width="18.7109375" style="16" customWidth="1"/>
    <col min="15375" max="15375" width="1.7109375" style="16" customWidth="1"/>
    <col min="15376" max="15376" width="25.42578125" style="16" customWidth="1"/>
    <col min="15377" max="15377" width="20.7109375" style="16" customWidth="1"/>
    <col min="15378" max="15378" width="1.7109375" style="16" customWidth="1"/>
    <col min="15379" max="15380" width="25.42578125" style="16" customWidth="1"/>
    <col min="15381" max="15381" width="20.7109375" style="16" customWidth="1"/>
    <col min="15382" max="15382" width="1.7109375" style="16" customWidth="1"/>
    <col min="15383" max="15383" width="41.5703125" style="16" customWidth="1"/>
    <col min="15384" max="15384" width="11.5703125" style="16" customWidth="1"/>
    <col min="15385" max="15385" width="23" style="16" customWidth="1"/>
    <col min="15386" max="15389" width="18.7109375" style="16" customWidth="1"/>
    <col min="15390" max="15390" width="1.7109375" style="16" customWidth="1"/>
    <col min="15391" max="15616" width="9.140625" style="16"/>
    <col min="15617" max="15617" width="40" style="16" customWidth="1"/>
    <col min="15618" max="15618" width="11.5703125" style="16" customWidth="1"/>
    <col min="15619" max="15619" width="24" style="16" customWidth="1"/>
    <col min="15620" max="15623" width="15.85546875" style="16" customWidth="1"/>
    <col min="15624" max="15624" width="1.7109375" style="16" customWidth="1"/>
    <col min="15625" max="15626" width="26" style="16" customWidth="1"/>
    <col min="15627" max="15627" width="1.7109375" style="16" customWidth="1"/>
    <col min="15628" max="15630" width="18.7109375" style="16" customWidth="1"/>
    <col min="15631" max="15631" width="1.7109375" style="16" customWidth="1"/>
    <col min="15632" max="15632" width="25.42578125" style="16" customWidth="1"/>
    <col min="15633" max="15633" width="20.7109375" style="16" customWidth="1"/>
    <col min="15634" max="15634" width="1.7109375" style="16" customWidth="1"/>
    <col min="15635" max="15636" width="25.42578125" style="16" customWidth="1"/>
    <col min="15637" max="15637" width="20.7109375" style="16" customWidth="1"/>
    <col min="15638" max="15638" width="1.7109375" style="16" customWidth="1"/>
    <col min="15639" max="15639" width="41.5703125" style="16" customWidth="1"/>
    <col min="15640" max="15640" width="11.5703125" style="16" customWidth="1"/>
    <col min="15641" max="15641" width="23" style="16" customWidth="1"/>
    <col min="15642" max="15645" width="18.7109375" style="16" customWidth="1"/>
    <col min="15646" max="15646" width="1.7109375" style="16" customWidth="1"/>
    <col min="15647" max="15872" width="9.140625" style="16"/>
    <col min="15873" max="15873" width="40" style="16" customWidth="1"/>
    <col min="15874" max="15874" width="11.5703125" style="16" customWidth="1"/>
    <col min="15875" max="15875" width="24" style="16" customWidth="1"/>
    <col min="15876" max="15879" width="15.85546875" style="16" customWidth="1"/>
    <col min="15880" max="15880" width="1.7109375" style="16" customWidth="1"/>
    <col min="15881" max="15882" width="26" style="16" customWidth="1"/>
    <col min="15883" max="15883" width="1.7109375" style="16" customWidth="1"/>
    <col min="15884" max="15886" width="18.7109375" style="16" customWidth="1"/>
    <col min="15887" max="15887" width="1.7109375" style="16" customWidth="1"/>
    <col min="15888" max="15888" width="25.42578125" style="16" customWidth="1"/>
    <col min="15889" max="15889" width="20.7109375" style="16" customWidth="1"/>
    <col min="15890" max="15890" width="1.7109375" style="16" customWidth="1"/>
    <col min="15891" max="15892" width="25.42578125" style="16" customWidth="1"/>
    <col min="15893" max="15893" width="20.7109375" style="16" customWidth="1"/>
    <col min="15894" max="15894" width="1.7109375" style="16" customWidth="1"/>
    <col min="15895" max="15895" width="41.5703125" style="16" customWidth="1"/>
    <col min="15896" max="15896" width="11.5703125" style="16" customWidth="1"/>
    <col min="15897" max="15897" width="23" style="16" customWidth="1"/>
    <col min="15898" max="15901" width="18.7109375" style="16" customWidth="1"/>
    <col min="15902" max="15902" width="1.7109375" style="16" customWidth="1"/>
    <col min="15903" max="16128" width="9.140625" style="16"/>
    <col min="16129" max="16129" width="40" style="16" customWidth="1"/>
    <col min="16130" max="16130" width="11.5703125" style="16" customWidth="1"/>
    <col min="16131" max="16131" width="24" style="16" customWidth="1"/>
    <col min="16132" max="16135" width="15.85546875" style="16" customWidth="1"/>
    <col min="16136" max="16136" width="1.7109375" style="16" customWidth="1"/>
    <col min="16137" max="16138" width="26" style="16" customWidth="1"/>
    <col min="16139" max="16139" width="1.7109375" style="16" customWidth="1"/>
    <col min="16140" max="16142" width="18.7109375" style="16" customWidth="1"/>
    <col min="16143" max="16143" width="1.7109375" style="16" customWidth="1"/>
    <col min="16144" max="16144" width="25.42578125" style="16" customWidth="1"/>
    <col min="16145" max="16145" width="20.7109375" style="16" customWidth="1"/>
    <col min="16146" max="16146" width="1.7109375" style="16" customWidth="1"/>
    <col min="16147" max="16148" width="25.42578125" style="16" customWidth="1"/>
    <col min="16149" max="16149" width="20.7109375" style="16" customWidth="1"/>
    <col min="16150" max="16150" width="1.7109375" style="16" customWidth="1"/>
    <col min="16151" max="16151" width="41.5703125" style="16" customWidth="1"/>
    <col min="16152" max="16152" width="11.5703125" style="16" customWidth="1"/>
    <col min="16153" max="16153" width="23" style="16" customWidth="1"/>
    <col min="16154" max="16157" width="18.7109375" style="16" customWidth="1"/>
    <col min="16158" max="16158" width="1.7109375" style="16" customWidth="1"/>
    <col min="16159" max="16384" width="9.140625" style="16"/>
  </cols>
  <sheetData>
    <row r="1" spans="1:29" s="122" customFormat="1" ht="81.75" customHeight="1" x14ac:dyDescent="0.25">
      <c r="A1" s="224" t="s">
        <v>542</v>
      </c>
      <c r="B1" s="225"/>
      <c r="C1" s="225"/>
      <c r="D1" s="225"/>
      <c r="E1" s="225"/>
      <c r="F1" s="225"/>
      <c r="G1" s="225"/>
      <c r="H1" s="225"/>
      <c r="I1" s="225"/>
      <c r="J1" s="225"/>
      <c r="K1" s="225"/>
      <c r="L1" s="225"/>
      <c r="M1" s="225"/>
      <c r="N1" s="225"/>
      <c r="O1" s="225"/>
      <c r="P1" s="225"/>
      <c r="Q1" s="225"/>
      <c r="R1" s="225"/>
      <c r="S1" s="225"/>
      <c r="T1" s="225"/>
      <c r="U1" s="225"/>
      <c r="V1" s="225"/>
      <c r="W1" s="225"/>
      <c r="X1" s="225"/>
      <c r="Y1" s="225"/>
      <c r="Z1" s="225"/>
      <c r="AA1" s="225"/>
      <c r="AB1" s="225"/>
      <c r="AC1" s="225"/>
    </row>
    <row r="2" spans="1:29" ht="33" customHeight="1" x14ac:dyDescent="0.25">
      <c r="A2" s="152" t="s">
        <v>564</v>
      </c>
      <c r="B2" s="227" t="s">
        <v>561</v>
      </c>
      <c r="C2" s="227"/>
      <c r="D2" s="227"/>
      <c r="E2" s="227"/>
      <c r="F2" s="227"/>
      <c r="G2" s="227"/>
      <c r="H2" s="227"/>
      <c r="I2" s="153"/>
      <c r="J2" s="153"/>
      <c r="K2" s="153"/>
      <c r="L2" s="153"/>
      <c r="M2" s="153"/>
      <c r="N2" s="153"/>
      <c r="O2" s="153"/>
      <c r="P2" s="153"/>
      <c r="Q2" s="153"/>
      <c r="R2" s="153"/>
      <c r="S2" s="153"/>
      <c r="T2" s="153"/>
      <c r="U2" s="153"/>
      <c r="V2" s="153"/>
      <c r="W2" s="153"/>
      <c r="X2" s="153"/>
      <c r="Y2" s="153"/>
      <c r="Z2" s="153"/>
      <c r="AA2" s="153"/>
      <c r="AB2" s="153"/>
      <c r="AC2" s="153"/>
    </row>
    <row r="3" spans="1:29" ht="33" customHeight="1" x14ac:dyDescent="0.25">
      <c r="A3" s="152" t="s">
        <v>559</v>
      </c>
      <c r="B3" s="227" t="s">
        <v>560</v>
      </c>
      <c r="C3" s="227"/>
      <c r="D3" s="227"/>
      <c r="E3" s="227"/>
      <c r="F3" s="227"/>
      <c r="G3" s="227"/>
      <c r="H3" s="227"/>
      <c r="I3" s="153"/>
      <c r="J3" s="153"/>
      <c r="K3" s="153"/>
      <c r="L3" s="153"/>
      <c r="M3" s="153"/>
      <c r="N3" s="153"/>
      <c r="O3" s="153"/>
      <c r="P3" s="153"/>
      <c r="Q3" s="153"/>
      <c r="R3" s="153"/>
      <c r="S3" s="153"/>
      <c r="T3" s="153"/>
      <c r="U3" s="153"/>
      <c r="V3" s="153"/>
      <c r="W3" s="153"/>
      <c r="X3" s="153"/>
      <c r="Y3" s="153"/>
      <c r="Z3" s="153"/>
      <c r="AA3" s="153"/>
      <c r="AB3" s="153"/>
      <c r="AC3" s="153"/>
    </row>
    <row r="4" spans="1:29" s="123" customFormat="1" ht="19.5" customHeight="1" x14ac:dyDescent="0.25">
      <c r="A4" s="226" t="s">
        <v>543</v>
      </c>
      <c r="B4" s="226"/>
      <c r="C4" s="226"/>
      <c r="D4" s="226"/>
      <c r="E4" s="226"/>
      <c r="F4" s="226"/>
      <c r="G4" s="226"/>
      <c r="I4" s="226" t="s">
        <v>544</v>
      </c>
      <c r="J4" s="226"/>
      <c r="L4" s="226" t="s">
        <v>545</v>
      </c>
      <c r="M4" s="226"/>
      <c r="N4" s="226"/>
      <c r="P4" s="226" t="s">
        <v>546</v>
      </c>
      <c r="Q4" s="226"/>
      <c r="S4" s="226" t="s">
        <v>547</v>
      </c>
      <c r="T4" s="226"/>
      <c r="U4" s="226"/>
      <c r="W4" s="226" t="s">
        <v>548</v>
      </c>
      <c r="X4" s="226"/>
      <c r="Y4" s="226"/>
      <c r="Z4" s="226"/>
      <c r="AA4" s="226"/>
      <c r="AB4" s="226"/>
      <c r="AC4" s="226"/>
    </row>
    <row r="5" spans="1:29" s="124" customFormat="1" ht="157.5" customHeight="1" x14ac:dyDescent="0.25">
      <c r="A5" s="228" t="s">
        <v>549</v>
      </c>
      <c r="B5" s="229"/>
      <c r="C5" s="229"/>
      <c r="D5" s="229"/>
      <c r="E5" s="229"/>
      <c r="F5" s="229"/>
      <c r="G5" s="230"/>
      <c r="I5" s="228" t="s">
        <v>550</v>
      </c>
      <c r="J5" s="230"/>
      <c r="L5" s="228" t="s">
        <v>551</v>
      </c>
      <c r="M5" s="229"/>
      <c r="N5" s="230"/>
      <c r="P5" s="228" t="s">
        <v>552</v>
      </c>
      <c r="Q5" s="230"/>
      <c r="S5" s="228" t="s">
        <v>553</v>
      </c>
      <c r="T5" s="229"/>
      <c r="U5" s="230"/>
      <c r="W5" s="218" t="s">
        <v>554</v>
      </c>
      <c r="X5" s="219"/>
      <c r="Y5" s="219"/>
      <c r="Z5" s="219"/>
      <c r="AA5" s="219"/>
      <c r="AB5" s="219"/>
      <c r="AC5" s="220"/>
    </row>
    <row r="6" spans="1:29" s="122" customFormat="1" ht="16.5" customHeight="1" x14ac:dyDescent="0.25">
      <c r="A6" s="231"/>
      <c r="B6" s="232"/>
      <c r="C6" s="232"/>
      <c r="D6" s="232"/>
      <c r="E6" s="232"/>
      <c r="F6" s="232"/>
      <c r="G6" s="233"/>
      <c r="I6" s="231"/>
      <c r="J6" s="233"/>
      <c r="L6" s="231"/>
      <c r="M6" s="232"/>
      <c r="N6" s="233"/>
      <c r="P6" s="231"/>
      <c r="Q6" s="233"/>
      <c r="S6" s="231"/>
      <c r="T6" s="232"/>
      <c r="U6" s="233"/>
      <c r="W6" s="221" t="s">
        <v>555</v>
      </c>
      <c r="X6" s="222"/>
      <c r="Y6" s="222"/>
      <c r="Z6" s="222"/>
      <c r="AA6" s="222"/>
      <c r="AB6" s="222"/>
      <c r="AC6" s="223"/>
    </row>
    <row r="7" spans="1:29" ht="82.5" customHeight="1" x14ac:dyDescent="0.25">
      <c r="A7" s="17" t="s">
        <v>0</v>
      </c>
      <c r="B7" s="17" t="s">
        <v>479</v>
      </c>
      <c r="C7" s="17" t="s">
        <v>371</v>
      </c>
      <c r="D7" s="17" t="s">
        <v>200</v>
      </c>
      <c r="E7" s="18" t="s">
        <v>158</v>
      </c>
      <c r="F7" s="17" t="s">
        <v>2</v>
      </c>
      <c r="G7" s="18" t="s">
        <v>303</v>
      </c>
      <c r="I7" s="18" t="s">
        <v>34</v>
      </c>
      <c r="J7" s="18" t="s">
        <v>363</v>
      </c>
      <c r="L7" s="25" t="s">
        <v>528</v>
      </c>
      <c r="M7" s="25" t="s">
        <v>520</v>
      </c>
      <c r="N7" s="25" t="s">
        <v>522</v>
      </c>
      <c r="P7" s="221" t="s">
        <v>556</v>
      </c>
      <c r="Q7" s="217"/>
      <c r="S7" s="221" t="s">
        <v>557</v>
      </c>
      <c r="T7" s="222"/>
      <c r="U7" s="217"/>
      <c r="W7" s="17" t="s">
        <v>0</v>
      </c>
      <c r="X7" s="17" t="s">
        <v>479</v>
      </c>
      <c r="Y7" s="17" t="s">
        <v>371</v>
      </c>
      <c r="Z7" s="25" t="s">
        <v>514</v>
      </c>
      <c r="AA7" s="25" t="s">
        <v>515</v>
      </c>
      <c r="AB7" s="25" t="s">
        <v>518</v>
      </c>
      <c r="AC7" s="25" t="s">
        <v>519</v>
      </c>
    </row>
    <row r="8" spans="1:29" ht="15" customHeight="1" x14ac:dyDescent="0.25">
      <c r="A8" s="125" t="s">
        <v>7</v>
      </c>
      <c r="B8" s="126" t="s">
        <v>377</v>
      </c>
      <c r="C8" s="125" t="s">
        <v>501</v>
      </c>
      <c r="D8" s="127">
        <v>294</v>
      </c>
      <c r="E8" s="127">
        <v>241</v>
      </c>
      <c r="F8" s="127">
        <v>190</v>
      </c>
      <c r="G8" s="127">
        <v>157</v>
      </c>
      <c r="I8" s="128" t="s">
        <v>337</v>
      </c>
      <c r="J8" s="128">
        <v>180</v>
      </c>
      <c r="L8" s="129">
        <v>1</v>
      </c>
      <c r="M8" s="130">
        <v>120</v>
      </c>
      <c r="N8" s="130">
        <v>55</v>
      </c>
      <c r="P8" s="29"/>
      <c r="Q8" s="34"/>
      <c r="S8" s="29"/>
      <c r="T8" s="29"/>
      <c r="U8" s="34"/>
      <c r="W8" s="131" t="s">
        <v>7</v>
      </c>
      <c r="X8" s="131" t="s">
        <v>377</v>
      </c>
      <c r="Y8" s="125" t="s">
        <v>501</v>
      </c>
      <c r="Z8" s="132">
        <v>850</v>
      </c>
      <c r="AA8" s="132">
        <v>0</v>
      </c>
      <c r="AB8" s="133">
        <v>140</v>
      </c>
      <c r="AC8" s="134">
        <v>0</v>
      </c>
    </row>
    <row r="9" spans="1:29" x14ac:dyDescent="0.25">
      <c r="A9" s="125" t="s">
        <v>8</v>
      </c>
      <c r="B9" s="126" t="s">
        <v>378</v>
      </c>
      <c r="C9" s="125" t="s">
        <v>501</v>
      </c>
      <c r="D9" s="127">
        <v>280</v>
      </c>
      <c r="E9" s="127">
        <v>214</v>
      </c>
      <c r="F9" s="127">
        <v>162</v>
      </c>
      <c r="G9" s="127">
        <v>131</v>
      </c>
      <c r="I9" s="128" t="s">
        <v>338</v>
      </c>
      <c r="J9" s="128">
        <v>275</v>
      </c>
      <c r="L9" s="129">
        <v>2</v>
      </c>
      <c r="M9" s="130">
        <v>240</v>
      </c>
      <c r="N9" s="130">
        <v>110</v>
      </c>
      <c r="Q9" s="34"/>
      <c r="U9" s="34"/>
      <c r="W9" s="131" t="s">
        <v>8</v>
      </c>
      <c r="X9" s="131" t="s">
        <v>378</v>
      </c>
      <c r="Y9" s="125" t="s">
        <v>501</v>
      </c>
      <c r="Z9" s="132">
        <v>800</v>
      </c>
      <c r="AA9" s="132">
        <v>0</v>
      </c>
      <c r="AB9" s="133">
        <v>140</v>
      </c>
      <c r="AC9" s="134">
        <v>0</v>
      </c>
    </row>
    <row r="10" spans="1:29" x14ac:dyDescent="0.25">
      <c r="A10" s="125" t="s">
        <v>10</v>
      </c>
      <c r="B10" s="126" t="s">
        <v>379</v>
      </c>
      <c r="C10" s="125" t="s">
        <v>501</v>
      </c>
      <c r="D10" s="127">
        <v>88</v>
      </c>
      <c r="E10" s="127">
        <v>74</v>
      </c>
      <c r="F10" s="127">
        <v>55</v>
      </c>
      <c r="G10" s="127">
        <v>39</v>
      </c>
      <c r="I10" s="128" t="s">
        <v>339</v>
      </c>
      <c r="J10" s="128">
        <v>360</v>
      </c>
      <c r="L10" s="129">
        <v>3</v>
      </c>
      <c r="M10" s="130">
        <v>360</v>
      </c>
      <c r="N10" s="130">
        <v>165</v>
      </c>
      <c r="W10" s="131" t="s">
        <v>10</v>
      </c>
      <c r="X10" s="131" t="s">
        <v>379</v>
      </c>
      <c r="Y10" s="125" t="s">
        <v>501</v>
      </c>
      <c r="Z10" s="132">
        <v>750</v>
      </c>
      <c r="AA10" s="132">
        <v>0</v>
      </c>
      <c r="AB10" s="133">
        <v>140</v>
      </c>
      <c r="AC10" s="134">
        <v>0</v>
      </c>
    </row>
    <row r="11" spans="1:29" x14ac:dyDescent="0.25">
      <c r="A11" s="125" t="s">
        <v>58</v>
      </c>
      <c r="B11" s="126" t="s">
        <v>380</v>
      </c>
      <c r="C11" s="125" t="s">
        <v>501</v>
      </c>
      <c r="D11" s="127">
        <v>88</v>
      </c>
      <c r="E11" s="127">
        <v>74</v>
      </c>
      <c r="F11" s="127">
        <v>55</v>
      </c>
      <c r="G11" s="127">
        <v>39</v>
      </c>
      <c r="I11" s="128" t="s">
        <v>342</v>
      </c>
      <c r="J11" s="128">
        <v>530</v>
      </c>
      <c r="L11" s="129">
        <v>4</v>
      </c>
      <c r="M11" s="130">
        <v>480</v>
      </c>
      <c r="N11" s="130">
        <v>220</v>
      </c>
      <c r="W11" s="131" t="s">
        <v>58</v>
      </c>
      <c r="X11" s="131" t="s">
        <v>380</v>
      </c>
      <c r="Y11" s="125" t="s">
        <v>501</v>
      </c>
      <c r="Z11" s="132">
        <v>800</v>
      </c>
      <c r="AA11" s="132">
        <v>0</v>
      </c>
      <c r="AB11" s="133">
        <v>100</v>
      </c>
      <c r="AC11" s="134">
        <v>0</v>
      </c>
    </row>
    <row r="12" spans="1:29" x14ac:dyDescent="0.25">
      <c r="A12" s="125" t="s">
        <v>9</v>
      </c>
      <c r="B12" s="126" t="s">
        <v>381</v>
      </c>
      <c r="C12" s="125" t="s">
        <v>501</v>
      </c>
      <c r="D12" s="127">
        <v>164</v>
      </c>
      <c r="E12" s="127">
        <v>137</v>
      </c>
      <c r="F12" s="127">
        <v>102</v>
      </c>
      <c r="G12" s="127">
        <v>78</v>
      </c>
      <c r="I12" s="128" t="s">
        <v>343</v>
      </c>
      <c r="J12" s="128">
        <v>820</v>
      </c>
      <c r="L12" s="129">
        <v>5</v>
      </c>
      <c r="M12" s="130">
        <v>600</v>
      </c>
      <c r="N12" s="130">
        <v>275</v>
      </c>
      <c r="W12" s="131" t="s">
        <v>9</v>
      </c>
      <c r="X12" s="131" t="s">
        <v>381</v>
      </c>
      <c r="Y12" s="125" t="s">
        <v>501</v>
      </c>
      <c r="Z12" s="132">
        <v>800</v>
      </c>
      <c r="AA12" s="132">
        <v>0</v>
      </c>
      <c r="AB12" s="133">
        <v>140</v>
      </c>
      <c r="AC12" s="134">
        <v>0</v>
      </c>
    </row>
    <row r="13" spans="1:29" x14ac:dyDescent="0.25">
      <c r="A13" s="125" t="s">
        <v>52</v>
      </c>
      <c r="B13" s="126" t="s">
        <v>382</v>
      </c>
      <c r="C13" s="125" t="s">
        <v>501</v>
      </c>
      <c r="D13" s="127">
        <v>164</v>
      </c>
      <c r="E13" s="127">
        <v>137</v>
      </c>
      <c r="F13" s="127">
        <v>102</v>
      </c>
      <c r="G13" s="127">
        <v>78</v>
      </c>
      <c r="I13" s="128" t="s">
        <v>340</v>
      </c>
      <c r="J13" s="128">
        <v>1100</v>
      </c>
      <c r="L13" s="129">
        <v>6</v>
      </c>
      <c r="M13" s="130">
        <v>720</v>
      </c>
      <c r="N13" s="130">
        <v>330</v>
      </c>
      <c r="W13" s="131" t="s">
        <v>52</v>
      </c>
      <c r="X13" s="131" t="s">
        <v>382</v>
      </c>
      <c r="Y13" s="125" t="s">
        <v>501</v>
      </c>
      <c r="Z13" s="132">
        <v>800</v>
      </c>
      <c r="AA13" s="132">
        <v>0</v>
      </c>
      <c r="AB13" s="133">
        <v>140</v>
      </c>
      <c r="AC13" s="134">
        <v>0</v>
      </c>
    </row>
    <row r="14" spans="1:29" x14ac:dyDescent="0.25">
      <c r="A14" s="125" t="s">
        <v>35</v>
      </c>
      <c r="B14" s="126" t="s">
        <v>383</v>
      </c>
      <c r="C14" s="125" t="s">
        <v>501</v>
      </c>
      <c r="D14" s="127">
        <v>294</v>
      </c>
      <c r="E14" s="127">
        <v>241</v>
      </c>
      <c r="F14" s="127">
        <v>190</v>
      </c>
      <c r="G14" s="127">
        <v>157</v>
      </c>
      <c r="I14" s="29"/>
      <c r="J14" s="34"/>
      <c r="L14" s="129">
        <v>7</v>
      </c>
      <c r="M14" s="130">
        <v>840</v>
      </c>
      <c r="N14" s="130">
        <v>385</v>
      </c>
      <c r="W14" s="131" t="s">
        <v>35</v>
      </c>
      <c r="X14" s="131" t="s">
        <v>383</v>
      </c>
      <c r="Y14" s="125" t="s">
        <v>501</v>
      </c>
      <c r="Z14" s="132">
        <v>850</v>
      </c>
      <c r="AA14" s="132">
        <v>0</v>
      </c>
      <c r="AB14" s="133">
        <v>160</v>
      </c>
      <c r="AC14" s="134">
        <v>0</v>
      </c>
    </row>
    <row r="15" spans="1:29" x14ac:dyDescent="0.25">
      <c r="A15" s="125" t="s">
        <v>59</v>
      </c>
      <c r="B15" s="126" t="s">
        <v>384</v>
      </c>
      <c r="C15" s="125" t="s">
        <v>501</v>
      </c>
      <c r="D15" s="127">
        <v>88</v>
      </c>
      <c r="E15" s="127">
        <v>74</v>
      </c>
      <c r="F15" s="127">
        <v>55</v>
      </c>
      <c r="G15" s="127">
        <v>39</v>
      </c>
      <c r="J15" s="34"/>
      <c r="L15" s="129">
        <v>8</v>
      </c>
      <c r="M15" s="130">
        <v>960</v>
      </c>
      <c r="N15" s="130">
        <v>440</v>
      </c>
      <c r="W15" s="131" t="s">
        <v>59</v>
      </c>
      <c r="X15" s="131" t="s">
        <v>384</v>
      </c>
      <c r="Y15" s="125" t="s">
        <v>501</v>
      </c>
      <c r="Z15" s="132">
        <v>750</v>
      </c>
      <c r="AA15" s="132">
        <v>0</v>
      </c>
      <c r="AB15" s="133">
        <v>100</v>
      </c>
      <c r="AC15" s="134">
        <v>0</v>
      </c>
    </row>
    <row r="16" spans="1:29" x14ac:dyDescent="0.25">
      <c r="A16" s="125" t="s">
        <v>46</v>
      </c>
      <c r="B16" s="126" t="s">
        <v>385</v>
      </c>
      <c r="C16" s="125" t="s">
        <v>501</v>
      </c>
      <c r="D16" s="127">
        <v>280</v>
      </c>
      <c r="E16" s="127">
        <v>214</v>
      </c>
      <c r="F16" s="127">
        <v>162</v>
      </c>
      <c r="G16" s="127">
        <v>131</v>
      </c>
      <c r="L16" s="129">
        <v>9</v>
      </c>
      <c r="M16" s="130">
        <v>1080</v>
      </c>
      <c r="N16" s="130">
        <v>495</v>
      </c>
      <c r="W16" s="131" t="s">
        <v>46</v>
      </c>
      <c r="X16" s="131" t="s">
        <v>385</v>
      </c>
      <c r="Y16" s="125" t="s">
        <v>501</v>
      </c>
      <c r="Z16" s="132">
        <v>850</v>
      </c>
      <c r="AA16" s="132">
        <v>0</v>
      </c>
      <c r="AB16" s="133">
        <v>140</v>
      </c>
      <c r="AC16" s="134">
        <v>0</v>
      </c>
    </row>
    <row r="17" spans="1:29" x14ac:dyDescent="0.25">
      <c r="A17" s="125" t="s">
        <v>359</v>
      </c>
      <c r="B17" s="126" t="s">
        <v>405</v>
      </c>
      <c r="C17" s="125" t="s">
        <v>501</v>
      </c>
      <c r="D17" s="127">
        <v>88</v>
      </c>
      <c r="E17" s="127">
        <v>74</v>
      </c>
      <c r="F17" s="127">
        <v>55</v>
      </c>
      <c r="G17" s="127">
        <v>39</v>
      </c>
      <c r="L17" s="129">
        <v>10</v>
      </c>
      <c r="M17" s="130">
        <v>1200</v>
      </c>
      <c r="N17" s="130">
        <v>550</v>
      </c>
      <c r="W17" s="131" t="s">
        <v>47</v>
      </c>
      <c r="X17" s="131" t="s">
        <v>386</v>
      </c>
      <c r="Y17" s="125" t="s">
        <v>501</v>
      </c>
      <c r="Z17" s="132">
        <v>850</v>
      </c>
      <c r="AA17" s="132">
        <v>0</v>
      </c>
      <c r="AB17" s="133">
        <v>140</v>
      </c>
      <c r="AC17" s="134">
        <v>0</v>
      </c>
    </row>
    <row r="18" spans="1:29" ht="15" customHeight="1" x14ac:dyDescent="0.25">
      <c r="A18" s="125" t="s">
        <v>47</v>
      </c>
      <c r="B18" s="126" t="s">
        <v>386</v>
      </c>
      <c r="C18" s="125" t="s">
        <v>501</v>
      </c>
      <c r="D18" s="127">
        <v>280</v>
      </c>
      <c r="E18" s="127">
        <v>214</v>
      </c>
      <c r="F18" s="127">
        <v>162</v>
      </c>
      <c r="G18" s="127">
        <v>131</v>
      </c>
      <c r="L18" s="129">
        <v>11</v>
      </c>
      <c r="M18" s="130">
        <v>1320</v>
      </c>
      <c r="N18" s="130">
        <v>605</v>
      </c>
      <c r="W18" s="131" t="s">
        <v>48</v>
      </c>
      <c r="X18" s="131" t="s">
        <v>387</v>
      </c>
      <c r="Y18" s="125" t="s">
        <v>501</v>
      </c>
      <c r="Z18" s="132">
        <v>800</v>
      </c>
      <c r="AA18" s="132">
        <v>0</v>
      </c>
      <c r="AB18" s="133">
        <v>120</v>
      </c>
      <c r="AC18" s="134">
        <v>0</v>
      </c>
    </row>
    <row r="19" spans="1:29" x14ac:dyDescent="0.25">
      <c r="A19" s="125" t="s">
        <v>48</v>
      </c>
      <c r="B19" s="126" t="s">
        <v>387</v>
      </c>
      <c r="C19" s="125" t="s">
        <v>501</v>
      </c>
      <c r="D19" s="127">
        <v>280</v>
      </c>
      <c r="E19" s="127">
        <v>214</v>
      </c>
      <c r="F19" s="127">
        <v>162</v>
      </c>
      <c r="G19" s="127">
        <v>131</v>
      </c>
      <c r="L19" s="129">
        <v>12</v>
      </c>
      <c r="M19" s="130">
        <v>1440</v>
      </c>
      <c r="N19" s="130">
        <v>660</v>
      </c>
      <c r="W19" s="131" t="s">
        <v>53</v>
      </c>
      <c r="X19" s="131" t="s">
        <v>388</v>
      </c>
      <c r="Y19" s="125" t="s">
        <v>501</v>
      </c>
      <c r="Z19" s="132">
        <v>800</v>
      </c>
      <c r="AA19" s="132">
        <v>0</v>
      </c>
      <c r="AB19" s="133">
        <v>140</v>
      </c>
      <c r="AC19" s="134">
        <v>0</v>
      </c>
    </row>
    <row r="20" spans="1:29" x14ac:dyDescent="0.25">
      <c r="A20" s="125" t="s">
        <v>53</v>
      </c>
      <c r="B20" s="126" t="s">
        <v>388</v>
      </c>
      <c r="C20" s="125" t="s">
        <v>501</v>
      </c>
      <c r="D20" s="127">
        <v>164</v>
      </c>
      <c r="E20" s="127">
        <v>137</v>
      </c>
      <c r="F20" s="127">
        <v>102</v>
      </c>
      <c r="G20" s="127">
        <v>78</v>
      </c>
      <c r="L20" s="129">
        <v>13</v>
      </c>
      <c r="M20" s="130">
        <v>1560</v>
      </c>
      <c r="N20" s="130">
        <v>715</v>
      </c>
      <c r="W20" s="131" t="s">
        <v>60</v>
      </c>
      <c r="X20" s="131" t="s">
        <v>389</v>
      </c>
      <c r="Y20" s="125" t="s">
        <v>501</v>
      </c>
      <c r="Z20" s="132">
        <v>750</v>
      </c>
      <c r="AA20" s="132">
        <v>0</v>
      </c>
      <c r="AB20" s="133">
        <v>140</v>
      </c>
      <c r="AC20" s="134">
        <v>0</v>
      </c>
    </row>
    <row r="21" spans="1:29" x14ac:dyDescent="0.25">
      <c r="A21" s="125" t="s">
        <v>60</v>
      </c>
      <c r="B21" s="126" t="s">
        <v>389</v>
      </c>
      <c r="C21" s="125" t="s">
        <v>501</v>
      </c>
      <c r="D21" s="127">
        <v>88</v>
      </c>
      <c r="E21" s="127">
        <v>74</v>
      </c>
      <c r="F21" s="127">
        <v>55</v>
      </c>
      <c r="G21" s="127">
        <v>39</v>
      </c>
      <c r="L21" s="129">
        <v>14</v>
      </c>
      <c r="M21" s="130">
        <v>1680</v>
      </c>
      <c r="N21" s="130">
        <v>770</v>
      </c>
      <c r="W21" s="131" t="s">
        <v>36</v>
      </c>
      <c r="X21" s="131" t="s">
        <v>390</v>
      </c>
      <c r="Y21" s="125" t="s">
        <v>501</v>
      </c>
      <c r="Z21" s="132">
        <v>850</v>
      </c>
      <c r="AA21" s="132">
        <v>0</v>
      </c>
      <c r="AB21" s="133">
        <v>160</v>
      </c>
      <c r="AC21" s="134">
        <v>0</v>
      </c>
    </row>
    <row r="22" spans="1:29" x14ac:dyDescent="0.25">
      <c r="A22" s="125" t="s">
        <v>49</v>
      </c>
      <c r="B22" s="126" t="s">
        <v>406</v>
      </c>
      <c r="C22" s="125" t="s">
        <v>501</v>
      </c>
      <c r="D22" s="127">
        <v>280</v>
      </c>
      <c r="E22" s="127">
        <v>214</v>
      </c>
      <c r="F22" s="127">
        <v>162</v>
      </c>
      <c r="G22" s="127">
        <v>131</v>
      </c>
      <c r="L22" s="135">
        <v>15</v>
      </c>
      <c r="M22" s="136">
        <v>1750</v>
      </c>
      <c r="N22" s="136">
        <v>810</v>
      </c>
      <c r="W22" s="131" t="s">
        <v>50</v>
      </c>
      <c r="X22" s="131" t="s">
        <v>391</v>
      </c>
      <c r="Y22" s="125" t="s">
        <v>501</v>
      </c>
      <c r="Z22" s="132">
        <v>850</v>
      </c>
      <c r="AA22" s="132">
        <v>0</v>
      </c>
      <c r="AB22" s="133">
        <v>140</v>
      </c>
      <c r="AC22" s="134">
        <v>0</v>
      </c>
    </row>
    <row r="23" spans="1:29" x14ac:dyDescent="0.25">
      <c r="A23" s="125" t="s">
        <v>36</v>
      </c>
      <c r="B23" s="126" t="s">
        <v>390</v>
      </c>
      <c r="C23" s="125" t="s">
        <v>501</v>
      </c>
      <c r="D23" s="127">
        <v>294</v>
      </c>
      <c r="E23" s="127">
        <v>241</v>
      </c>
      <c r="F23" s="127">
        <v>190</v>
      </c>
      <c r="G23" s="127">
        <v>157</v>
      </c>
      <c r="L23" s="135">
        <v>16</v>
      </c>
      <c r="M23" s="136">
        <v>1820</v>
      </c>
      <c r="N23" s="136">
        <v>850</v>
      </c>
      <c r="W23" s="131" t="s">
        <v>61</v>
      </c>
      <c r="X23" s="131" t="s">
        <v>392</v>
      </c>
      <c r="Y23" s="125" t="s">
        <v>501</v>
      </c>
      <c r="Z23" s="132">
        <v>750</v>
      </c>
      <c r="AA23" s="132">
        <v>0</v>
      </c>
      <c r="AB23" s="133">
        <v>120</v>
      </c>
      <c r="AC23" s="134">
        <v>0</v>
      </c>
    </row>
    <row r="24" spans="1:29" x14ac:dyDescent="0.25">
      <c r="A24" s="125" t="s">
        <v>50</v>
      </c>
      <c r="B24" s="126" t="s">
        <v>391</v>
      </c>
      <c r="C24" s="125" t="s">
        <v>501</v>
      </c>
      <c r="D24" s="127">
        <v>280</v>
      </c>
      <c r="E24" s="127">
        <v>214</v>
      </c>
      <c r="F24" s="127">
        <v>162</v>
      </c>
      <c r="G24" s="127">
        <v>131</v>
      </c>
      <c r="L24" s="135">
        <v>17</v>
      </c>
      <c r="M24" s="136">
        <v>1890</v>
      </c>
      <c r="N24" s="136">
        <v>890</v>
      </c>
      <c r="W24" s="131" t="s">
        <v>62</v>
      </c>
      <c r="X24" s="131" t="s">
        <v>393</v>
      </c>
      <c r="Y24" s="125" t="s">
        <v>501</v>
      </c>
      <c r="Z24" s="132">
        <v>750</v>
      </c>
      <c r="AA24" s="132">
        <v>0</v>
      </c>
      <c r="AB24" s="133">
        <v>100</v>
      </c>
      <c r="AC24" s="134">
        <v>0</v>
      </c>
    </row>
    <row r="25" spans="1:29" x14ac:dyDescent="0.25">
      <c r="A25" s="125" t="s">
        <v>61</v>
      </c>
      <c r="B25" s="126" t="s">
        <v>392</v>
      </c>
      <c r="C25" s="125" t="s">
        <v>501</v>
      </c>
      <c r="D25" s="127">
        <v>88</v>
      </c>
      <c r="E25" s="127">
        <v>74</v>
      </c>
      <c r="F25" s="127">
        <v>55</v>
      </c>
      <c r="G25" s="127">
        <v>39</v>
      </c>
      <c r="L25" s="135">
        <v>18</v>
      </c>
      <c r="M25" s="136">
        <v>1960</v>
      </c>
      <c r="N25" s="136">
        <v>930</v>
      </c>
      <c r="W25" s="131" t="s">
        <v>304</v>
      </c>
      <c r="X25" s="131" t="s">
        <v>394</v>
      </c>
      <c r="Y25" s="125" t="s">
        <v>501</v>
      </c>
      <c r="Z25" s="132">
        <v>800</v>
      </c>
      <c r="AA25" s="132">
        <v>0</v>
      </c>
      <c r="AB25" s="133">
        <v>140</v>
      </c>
      <c r="AC25" s="134">
        <v>0</v>
      </c>
    </row>
    <row r="26" spans="1:29" x14ac:dyDescent="0.25">
      <c r="A26" s="125" t="s">
        <v>42</v>
      </c>
      <c r="B26" s="126" t="s">
        <v>407</v>
      </c>
      <c r="C26" s="125" t="s">
        <v>501</v>
      </c>
      <c r="D26" s="127">
        <v>294</v>
      </c>
      <c r="E26" s="127">
        <v>241</v>
      </c>
      <c r="F26" s="127">
        <v>190</v>
      </c>
      <c r="G26" s="127">
        <v>157</v>
      </c>
      <c r="L26" s="135">
        <v>19</v>
      </c>
      <c r="M26" s="136">
        <v>2030</v>
      </c>
      <c r="N26" s="136">
        <v>970</v>
      </c>
      <c r="W26" s="131" t="s">
        <v>54</v>
      </c>
      <c r="X26" s="131" t="s">
        <v>395</v>
      </c>
      <c r="Y26" s="125" t="s">
        <v>501</v>
      </c>
      <c r="Z26" s="132">
        <v>750</v>
      </c>
      <c r="AA26" s="132">
        <v>0</v>
      </c>
      <c r="AB26" s="133">
        <v>120</v>
      </c>
      <c r="AC26" s="134">
        <v>0</v>
      </c>
    </row>
    <row r="27" spans="1:29" x14ac:dyDescent="0.25">
      <c r="A27" s="125" t="s">
        <v>62</v>
      </c>
      <c r="B27" s="126" t="s">
        <v>393</v>
      </c>
      <c r="C27" s="125" t="s">
        <v>501</v>
      </c>
      <c r="D27" s="127">
        <v>88</v>
      </c>
      <c r="E27" s="127">
        <v>74</v>
      </c>
      <c r="F27" s="127">
        <v>55</v>
      </c>
      <c r="G27" s="127">
        <v>39</v>
      </c>
      <c r="L27" s="135">
        <v>20</v>
      </c>
      <c r="M27" s="136">
        <v>2100</v>
      </c>
      <c r="N27" s="136">
        <v>1010</v>
      </c>
      <c r="W27" s="131" t="s">
        <v>43</v>
      </c>
      <c r="X27" s="131" t="s">
        <v>396</v>
      </c>
      <c r="Y27" s="125" t="s">
        <v>501</v>
      </c>
      <c r="Z27" s="132">
        <v>800</v>
      </c>
      <c r="AA27" s="132">
        <v>0</v>
      </c>
      <c r="AB27" s="133">
        <v>160</v>
      </c>
      <c r="AC27" s="134">
        <v>0</v>
      </c>
    </row>
    <row r="28" spans="1:29" x14ac:dyDescent="0.25">
      <c r="A28" s="125" t="s">
        <v>304</v>
      </c>
      <c r="B28" s="126" t="s">
        <v>394</v>
      </c>
      <c r="C28" s="125" t="s">
        <v>501</v>
      </c>
      <c r="D28" s="127">
        <v>294</v>
      </c>
      <c r="E28" s="127">
        <v>241</v>
      </c>
      <c r="F28" s="127">
        <v>190</v>
      </c>
      <c r="G28" s="127">
        <v>157</v>
      </c>
      <c r="L28" s="135">
        <v>21</v>
      </c>
      <c r="M28" s="136">
        <v>2170</v>
      </c>
      <c r="N28" s="136">
        <v>1050</v>
      </c>
      <c r="W28" s="131" t="s">
        <v>63</v>
      </c>
      <c r="X28" s="131" t="s">
        <v>397</v>
      </c>
      <c r="Y28" s="125" t="s">
        <v>501</v>
      </c>
      <c r="Z28" s="132">
        <v>750</v>
      </c>
      <c r="AA28" s="132">
        <v>0</v>
      </c>
      <c r="AB28" s="133">
        <v>140</v>
      </c>
      <c r="AC28" s="134">
        <v>0</v>
      </c>
    </row>
    <row r="29" spans="1:29" x14ac:dyDescent="0.25">
      <c r="A29" s="125" t="s">
        <v>54</v>
      </c>
      <c r="B29" s="126" t="s">
        <v>395</v>
      </c>
      <c r="C29" s="125" t="s">
        <v>501</v>
      </c>
      <c r="D29" s="127">
        <v>164</v>
      </c>
      <c r="E29" s="127">
        <v>137</v>
      </c>
      <c r="F29" s="127">
        <v>102</v>
      </c>
      <c r="G29" s="127">
        <v>78</v>
      </c>
      <c r="L29" s="135">
        <v>22</v>
      </c>
      <c r="M29" s="136">
        <v>2240</v>
      </c>
      <c r="N29" s="136">
        <v>1090</v>
      </c>
      <c r="W29" s="131" t="s">
        <v>55</v>
      </c>
      <c r="X29" s="131" t="s">
        <v>398</v>
      </c>
      <c r="Y29" s="125" t="s">
        <v>501</v>
      </c>
      <c r="Z29" s="132">
        <v>800</v>
      </c>
      <c r="AA29" s="132">
        <v>0</v>
      </c>
      <c r="AB29" s="133">
        <v>120</v>
      </c>
      <c r="AC29" s="134">
        <v>0</v>
      </c>
    </row>
    <row r="30" spans="1:29" x14ac:dyDescent="0.25">
      <c r="A30" s="125" t="s">
        <v>43</v>
      </c>
      <c r="B30" s="126" t="s">
        <v>396</v>
      </c>
      <c r="C30" s="125" t="s">
        <v>501</v>
      </c>
      <c r="D30" s="127">
        <v>294</v>
      </c>
      <c r="E30" s="127">
        <v>241</v>
      </c>
      <c r="F30" s="127">
        <v>190</v>
      </c>
      <c r="G30" s="127">
        <v>157</v>
      </c>
      <c r="L30" s="135">
        <v>23</v>
      </c>
      <c r="M30" s="136">
        <v>2310</v>
      </c>
      <c r="N30" s="136">
        <v>1130</v>
      </c>
      <c r="W30" s="131" t="s">
        <v>64</v>
      </c>
      <c r="X30" s="131" t="s">
        <v>399</v>
      </c>
      <c r="Y30" s="125" t="s">
        <v>501</v>
      </c>
      <c r="Z30" s="132">
        <v>750</v>
      </c>
      <c r="AA30" s="132">
        <v>0</v>
      </c>
      <c r="AB30" s="133">
        <v>140</v>
      </c>
      <c r="AC30" s="134">
        <v>0</v>
      </c>
    </row>
    <row r="31" spans="1:29" x14ac:dyDescent="0.25">
      <c r="A31" s="125" t="s">
        <v>44</v>
      </c>
      <c r="B31" s="126" t="s">
        <v>408</v>
      </c>
      <c r="C31" s="125" t="s">
        <v>501</v>
      </c>
      <c r="D31" s="127">
        <v>294</v>
      </c>
      <c r="E31" s="127">
        <v>241</v>
      </c>
      <c r="F31" s="127">
        <v>190</v>
      </c>
      <c r="G31" s="127">
        <v>157</v>
      </c>
      <c r="L31" s="135">
        <v>24</v>
      </c>
      <c r="M31" s="136">
        <v>2380</v>
      </c>
      <c r="N31" s="136">
        <v>1170</v>
      </c>
      <c r="W31" s="131" t="s">
        <v>341</v>
      </c>
      <c r="X31" s="131" t="s">
        <v>400</v>
      </c>
      <c r="Y31" s="125" t="s">
        <v>501</v>
      </c>
      <c r="Z31" s="132">
        <v>750</v>
      </c>
      <c r="AA31" s="132">
        <v>0</v>
      </c>
      <c r="AB31" s="133">
        <v>120</v>
      </c>
      <c r="AC31" s="134">
        <v>0</v>
      </c>
    </row>
    <row r="32" spans="1:29" x14ac:dyDescent="0.25">
      <c r="A32" s="125" t="s">
        <v>63</v>
      </c>
      <c r="B32" s="126" t="s">
        <v>397</v>
      </c>
      <c r="C32" s="125" t="s">
        <v>501</v>
      </c>
      <c r="D32" s="127">
        <v>88</v>
      </c>
      <c r="E32" s="127">
        <v>74</v>
      </c>
      <c r="F32" s="127">
        <v>55</v>
      </c>
      <c r="G32" s="127">
        <v>39</v>
      </c>
      <c r="L32" s="135">
        <v>25</v>
      </c>
      <c r="M32" s="136">
        <v>2450</v>
      </c>
      <c r="N32" s="136">
        <v>1210</v>
      </c>
      <c r="W32" s="131" t="s">
        <v>56</v>
      </c>
      <c r="X32" s="131" t="s">
        <v>401</v>
      </c>
      <c r="Y32" s="125" t="s">
        <v>501</v>
      </c>
      <c r="Z32" s="132">
        <v>800</v>
      </c>
      <c r="AA32" s="132">
        <v>0</v>
      </c>
      <c r="AB32" s="133">
        <v>100</v>
      </c>
      <c r="AC32" s="134">
        <v>0</v>
      </c>
    </row>
    <row r="33" spans="1:29" x14ac:dyDescent="0.25">
      <c r="A33" s="125" t="s">
        <v>55</v>
      </c>
      <c r="B33" s="126" t="s">
        <v>398</v>
      </c>
      <c r="C33" s="125" t="s">
        <v>501</v>
      </c>
      <c r="D33" s="127">
        <v>164</v>
      </c>
      <c r="E33" s="127">
        <v>137</v>
      </c>
      <c r="F33" s="127">
        <v>102</v>
      </c>
      <c r="G33" s="127">
        <v>78</v>
      </c>
      <c r="L33" s="135">
        <v>26</v>
      </c>
      <c r="M33" s="136">
        <v>2520</v>
      </c>
      <c r="N33" s="136">
        <v>1250</v>
      </c>
      <c r="W33" s="131" t="s">
        <v>57</v>
      </c>
      <c r="X33" s="131" t="s">
        <v>402</v>
      </c>
      <c r="Y33" s="125" t="s">
        <v>501</v>
      </c>
      <c r="Z33" s="132">
        <v>800</v>
      </c>
      <c r="AA33" s="132">
        <v>0</v>
      </c>
      <c r="AB33" s="133">
        <v>120</v>
      </c>
      <c r="AC33" s="134">
        <v>0</v>
      </c>
    </row>
    <row r="34" spans="1:29" x14ac:dyDescent="0.25">
      <c r="A34" s="125" t="s">
        <v>64</v>
      </c>
      <c r="B34" s="126" t="s">
        <v>399</v>
      </c>
      <c r="C34" s="125" t="s">
        <v>501</v>
      </c>
      <c r="D34" s="127">
        <v>88</v>
      </c>
      <c r="E34" s="127">
        <v>74</v>
      </c>
      <c r="F34" s="127">
        <v>55</v>
      </c>
      <c r="G34" s="127">
        <v>39</v>
      </c>
      <c r="L34" s="135">
        <v>27</v>
      </c>
      <c r="M34" s="136">
        <v>2590</v>
      </c>
      <c r="N34" s="136">
        <v>1290</v>
      </c>
      <c r="W34" s="131" t="s">
        <v>45</v>
      </c>
      <c r="X34" s="131" t="s">
        <v>403</v>
      </c>
      <c r="Y34" s="125" t="s">
        <v>501</v>
      </c>
      <c r="Z34" s="132">
        <v>850</v>
      </c>
      <c r="AA34" s="132">
        <v>0</v>
      </c>
      <c r="AB34" s="133">
        <v>160</v>
      </c>
      <c r="AC34" s="134">
        <v>0</v>
      </c>
    </row>
    <row r="35" spans="1:29" x14ac:dyDescent="0.25">
      <c r="A35" s="125" t="s">
        <v>341</v>
      </c>
      <c r="B35" s="126" t="s">
        <v>400</v>
      </c>
      <c r="C35" s="125" t="s">
        <v>501</v>
      </c>
      <c r="D35" s="127">
        <v>88</v>
      </c>
      <c r="E35" s="127">
        <v>74</v>
      </c>
      <c r="F35" s="127">
        <v>55</v>
      </c>
      <c r="G35" s="127">
        <v>39</v>
      </c>
      <c r="L35" s="135">
        <v>28</v>
      </c>
      <c r="M35" s="136">
        <v>2660</v>
      </c>
      <c r="N35" s="136">
        <v>1330</v>
      </c>
      <c r="W35" s="131" t="s">
        <v>51</v>
      </c>
      <c r="X35" s="131" t="s">
        <v>404</v>
      </c>
      <c r="Y35" s="125" t="s">
        <v>501</v>
      </c>
      <c r="Z35" s="132">
        <v>850</v>
      </c>
      <c r="AA35" s="132">
        <v>0</v>
      </c>
      <c r="AB35" s="133">
        <v>160</v>
      </c>
      <c r="AC35" s="134">
        <v>0</v>
      </c>
    </row>
    <row r="36" spans="1:29" x14ac:dyDescent="0.25">
      <c r="A36" s="125" t="s">
        <v>56</v>
      </c>
      <c r="B36" s="126" t="s">
        <v>401</v>
      </c>
      <c r="C36" s="125" t="s">
        <v>501</v>
      </c>
      <c r="D36" s="127">
        <v>164</v>
      </c>
      <c r="E36" s="127">
        <v>137</v>
      </c>
      <c r="F36" s="127">
        <v>102</v>
      </c>
      <c r="G36" s="127">
        <v>78</v>
      </c>
      <c r="L36" s="135">
        <v>29</v>
      </c>
      <c r="M36" s="136">
        <v>2730</v>
      </c>
      <c r="N36" s="136">
        <v>1370</v>
      </c>
      <c r="W36" s="131" t="s">
        <v>359</v>
      </c>
      <c r="X36" s="131" t="s">
        <v>405</v>
      </c>
      <c r="Y36" s="125" t="s">
        <v>501</v>
      </c>
      <c r="Z36" s="132">
        <v>750</v>
      </c>
      <c r="AA36" s="132">
        <v>0</v>
      </c>
      <c r="AB36" s="133">
        <v>120</v>
      </c>
      <c r="AC36" s="134">
        <v>0</v>
      </c>
    </row>
    <row r="37" spans="1:29" x14ac:dyDescent="0.25">
      <c r="A37" s="125" t="s">
        <v>57</v>
      </c>
      <c r="B37" s="126" t="s">
        <v>402</v>
      </c>
      <c r="C37" s="125" t="s">
        <v>501</v>
      </c>
      <c r="D37" s="127">
        <v>164</v>
      </c>
      <c r="E37" s="127">
        <v>137</v>
      </c>
      <c r="F37" s="127">
        <v>102</v>
      </c>
      <c r="G37" s="127">
        <v>78</v>
      </c>
      <c r="L37" s="135">
        <v>30</v>
      </c>
      <c r="M37" s="136">
        <v>2800</v>
      </c>
      <c r="N37" s="136">
        <v>1410</v>
      </c>
      <c r="W37" s="131" t="s">
        <v>49</v>
      </c>
      <c r="X37" s="131" t="s">
        <v>406</v>
      </c>
      <c r="Y37" s="125" t="s">
        <v>501</v>
      </c>
      <c r="Z37" s="132">
        <v>800</v>
      </c>
      <c r="AA37" s="132">
        <v>0</v>
      </c>
      <c r="AB37" s="133">
        <v>140</v>
      </c>
      <c r="AC37" s="134">
        <v>0</v>
      </c>
    </row>
    <row r="38" spans="1:29" x14ac:dyDescent="0.25">
      <c r="A38" s="125" t="s">
        <v>45</v>
      </c>
      <c r="B38" s="126" t="s">
        <v>403</v>
      </c>
      <c r="C38" s="125" t="s">
        <v>501</v>
      </c>
      <c r="D38" s="127">
        <v>294</v>
      </c>
      <c r="E38" s="127">
        <v>241</v>
      </c>
      <c r="F38" s="127">
        <v>190</v>
      </c>
      <c r="G38" s="127">
        <v>157</v>
      </c>
      <c r="L38" s="135">
        <v>31</v>
      </c>
      <c r="M38" s="136">
        <v>2870</v>
      </c>
      <c r="N38" s="136">
        <v>1450</v>
      </c>
      <c r="W38" s="131" t="s">
        <v>42</v>
      </c>
      <c r="X38" s="131" t="s">
        <v>407</v>
      </c>
      <c r="Y38" s="125" t="s">
        <v>501</v>
      </c>
      <c r="Z38" s="132">
        <v>850</v>
      </c>
      <c r="AA38" s="132">
        <v>0</v>
      </c>
      <c r="AB38" s="133">
        <v>140</v>
      </c>
      <c r="AC38" s="134">
        <v>0</v>
      </c>
    </row>
    <row r="39" spans="1:29" x14ac:dyDescent="0.25">
      <c r="A39" s="125" t="s">
        <v>51</v>
      </c>
      <c r="B39" s="126" t="s">
        <v>404</v>
      </c>
      <c r="C39" s="125" t="s">
        <v>501</v>
      </c>
      <c r="D39" s="127">
        <v>280</v>
      </c>
      <c r="E39" s="127">
        <v>214</v>
      </c>
      <c r="F39" s="127">
        <v>162</v>
      </c>
      <c r="G39" s="127">
        <v>131</v>
      </c>
      <c r="L39" s="135">
        <v>32</v>
      </c>
      <c r="M39" s="136">
        <v>2940</v>
      </c>
      <c r="N39" s="136">
        <v>1490</v>
      </c>
      <c r="W39" s="131" t="s">
        <v>44</v>
      </c>
      <c r="X39" s="131" t="s">
        <v>408</v>
      </c>
      <c r="Y39" s="125" t="s">
        <v>501</v>
      </c>
      <c r="Z39" s="132">
        <v>850</v>
      </c>
      <c r="AA39" s="132">
        <v>0</v>
      </c>
      <c r="AB39" s="133">
        <v>140</v>
      </c>
      <c r="AC39" s="134">
        <v>0</v>
      </c>
    </row>
    <row r="40" spans="1:29" x14ac:dyDescent="0.25">
      <c r="A40" s="125" t="s">
        <v>65</v>
      </c>
      <c r="B40" s="126" t="s">
        <v>409</v>
      </c>
      <c r="C40" s="125" t="s">
        <v>501</v>
      </c>
      <c r="D40" s="127">
        <v>88</v>
      </c>
      <c r="E40" s="127">
        <v>74</v>
      </c>
      <c r="F40" s="127">
        <v>55</v>
      </c>
      <c r="G40" s="127">
        <v>39</v>
      </c>
      <c r="L40" s="135">
        <v>33</v>
      </c>
      <c r="M40" s="136">
        <v>3010</v>
      </c>
      <c r="N40" s="136">
        <v>1530</v>
      </c>
      <c r="W40" s="131" t="s">
        <v>65</v>
      </c>
      <c r="X40" s="131" t="s">
        <v>409</v>
      </c>
      <c r="Y40" s="125" t="s">
        <v>501</v>
      </c>
      <c r="Z40" s="132">
        <v>800</v>
      </c>
      <c r="AA40" s="132">
        <v>0</v>
      </c>
      <c r="AB40" s="133">
        <v>140</v>
      </c>
      <c r="AC40" s="134">
        <v>0</v>
      </c>
    </row>
    <row r="41" spans="1:29" x14ac:dyDescent="0.25">
      <c r="A41" s="137" t="s">
        <v>11</v>
      </c>
      <c r="B41" s="138" t="s">
        <v>410</v>
      </c>
      <c r="C41" s="137" t="s">
        <v>502</v>
      </c>
      <c r="D41" s="139">
        <v>77</v>
      </c>
      <c r="E41" s="139">
        <v>57</v>
      </c>
      <c r="F41" s="139">
        <v>40</v>
      </c>
      <c r="G41" s="139">
        <v>32</v>
      </c>
      <c r="L41" s="135">
        <v>34</v>
      </c>
      <c r="M41" s="136">
        <v>3080</v>
      </c>
      <c r="N41" s="136">
        <v>1570</v>
      </c>
      <c r="W41" s="140" t="s">
        <v>67</v>
      </c>
      <c r="X41" s="140" t="s">
        <v>411</v>
      </c>
      <c r="Y41" s="137" t="s">
        <v>502</v>
      </c>
      <c r="Z41" s="141">
        <v>750</v>
      </c>
      <c r="AA41" s="141">
        <v>650</v>
      </c>
      <c r="AB41" s="142">
        <v>100</v>
      </c>
      <c r="AC41" s="143">
        <v>160</v>
      </c>
    </row>
    <row r="42" spans="1:29" x14ac:dyDescent="0.25">
      <c r="A42" s="137" t="s">
        <v>67</v>
      </c>
      <c r="B42" s="138" t="s">
        <v>411</v>
      </c>
      <c r="C42" s="137" t="s">
        <v>502</v>
      </c>
      <c r="D42" s="139">
        <v>108</v>
      </c>
      <c r="E42" s="139">
        <v>80</v>
      </c>
      <c r="F42" s="139">
        <v>57</v>
      </c>
      <c r="G42" s="139">
        <v>45</v>
      </c>
      <c r="L42" s="135">
        <v>35</v>
      </c>
      <c r="M42" s="136">
        <v>3150</v>
      </c>
      <c r="N42" s="136">
        <v>1610</v>
      </c>
      <c r="W42" s="140" t="s">
        <v>68</v>
      </c>
      <c r="X42" s="140" t="s">
        <v>412</v>
      </c>
      <c r="Y42" s="137" t="s">
        <v>502</v>
      </c>
      <c r="Z42" s="141">
        <v>750</v>
      </c>
      <c r="AA42" s="141">
        <v>650</v>
      </c>
      <c r="AB42" s="142">
        <v>100</v>
      </c>
      <c r="AC42" s="143">
        <v>160</v>
      </c>
    </row>
    <row r="43" spans="1:29" x14ac:dyDescent="0.25">
      <c r="A43" s="137" t="s">
        <v>68</v>
      </c>
      <c r="B43" s="138" t="s">
        <v>412</v>
      </c>
      <c r="C43" s="137" t="s">
        <v>502</v>
      </c>
      <c r="D43" s="139">
        <v>47</v>
      </c>
      <c r="E43" s="139">
        <v>33</v>
      </c>
      <c r="F43" s="139">
        <v>22</v>
      </c>
      <c r="G43" s="139">
        <v>17</v>
      </c>
      <c r="L43" s="135">
        <v>36</v>
      </c>
      <c r="M43" s="136">
        <v>3220</v>
      </c>
      <c r="N43" s="136">
        <v>1650</v>
      </c>
      <c r="W43" s="140" t="s">
        <v>70</v>
      </c>
      <c r="X43" s="140" t="s">
        <v>414</v>
      </c>
      <c r="Y43" s="137" t="s">
        <v>502</v>
      </c>
      <c r="Z43" s="141">
        <v>750</v>
      </c>
      <c r="AA43" s="141">
        <v>650</v>
      </c>
      <c r="AB43" s="142">
        <v>100</v>
      </c>
      <c r="AC43" s="143">
        <v>160</v>
      </c>
    </row>
    <row r="44" spans="1:29" x14ac:dyDescent="0.25">
      <c r="A44" s="137" t="s">
        <v>69</v>
      </c>
      <c r="B44" s="138" t="s">
        <v>413</v>
      </c>
      <c r="C44" s="137" t="s">
        <v>502</v>
      </c>
      <c r="D44" s="139">
        <v>108</v>
      </c>
      <c r="E44" s="139">
        <v>80</v>
      </c>
      <c r="F44" s="139">
        <v>57</v>
      </c>
      <c r="G44" s="139">
        <v>45</v>
      </c>
      <c r="L44" s="135">
        <v>37</v>
      </c>
      <c r="M44" s="136">
        <v>3290</v>
      </c>
      <c r="N44" s="136">
        <v>1690</v>
      </c>
      <c r="W44" s="140" t="s">
        <v>71</v>
      </c>
      <c r="X44" s="140" t="s">
        <v>415</v>
      </c>
      <c r="Y44" s="137" t="s">
        <v>502</v>
      </c>
      <c r="Z44" s="141">
        <v>750</v>
      </c>
      <c r="AA44" s="141">
        <v>650</v>
      </c>
      <c r="AB44" s="142">
        <v>100</v>
      </c>
      <c r="AC44" s="143">
        <v>160</v>
      </c>
    </row>
    <row r="45" spans="1:29" x14ac:dyDescent="0.25">
      <c r="A45" s="137" t="s">
        <v>70</v>
      </c>
      <c r="B45" s="138" t="s">
        <v>414</v>
      </c>
      <c r="C45" s="137" t="s">
        <v>502</v>
      </c>
      <c r="D45" s="139">
        <v>47</v>
      </c>
      <c r="E45" s="139">
        <v>33</v>
      </c>
      <c r="F45" s="139">
        <v>22</v>
      </c>
      <c r="G45" s="139">
        <v>17</v>
      </c>
      <c r="L45" s="135">
        <v>38</v>
      </c>
      <c r="M45" s="136">
        <v>3360</v>
      </c>
      <c r="N45" s="136">
        <v>1730</v>
      </c>
      <c r="W45" s="140" t="s">
        <v>74</v>
      </c>
      <c r="X45" s="140" t="s">
        <v>417</v>
      </c>
      <c r="Y45" s="137" t="s">
        <v>502</v>
      </c>
      <c r="Z45" s="141">
        <v>750</v>
      </c>
      <c r="AA45" s="141">
        <v>650</v>
      </c>
      <c r="AB45" s="142">
        <v>100</v>
      </c>
      <c r="AC45" s="143">
        <v>160</v>
      </c>
    </row>
    <row r="46" spans="1:29" x14ac:dyDescent="0.25">
      <c r="A46" s="137" t="s">
        <v>71</v>
      </c>
      <c r="B46" s="138" t="s">
        <v>415</v>
      </c>
      <c r="C46" s="137" t="s">
        <v>502</v>
      </c>
      <c r="D46" s="139">
        <v>77</v>
      </c>
      <c r="E46" s="139">
        <v>57</v>
      </c>
      <c r="F46" s="139">
        <v>40</v>
      </c>
      <c r="G46" s="139">
        <v>32</v>
      </c>
      <c r="L46" s="135">
        <v>39</v>
      </c>
      <c r="M46" s="136">
        <v>3430</v>
      </c>
      <c r="N46" s="136">
        <v>1770</v>
      </c>
      <c r="W46" s="140" t="s">
        <v>77</v>
      </c>
      <c r="X46" s="140" t="s">
        <v>420</v>
      </c>
      <c r="Y46" s="137" t="s">
        <v>502</v>
      </c>
      <c r="Z46" s="141">
        <v>750</v>
      </c>
      <c r="AA46" s="141">
        <v>650</v>
      </c>
      <c r="AB46" s="142">
        <v>100</v>
      </c>
      <c r="AC46" s="143">
        <v>160</v>
      </c>
    </row>
    <row r="47" spans="1:29" x14ac:dyDescent="0.25">
      <c r="A47" s="137" t="s">
        <v>72</v>
      </c>
      <c r="B47" s="138" t="s">
        <v>416</v>
      </c>
      <c r="C47" s="137" t="s">
        <v>502</v>
      </c>
      <c r="D47" s="139">
        <v>47</v>
      </c>
      <c r="E47" s="139">
        <v>33</v>
      </c>
      <c r="F47" s="139">
        <v>22</v>
      </c>
      <c r="G47" s="139">
        <v>17</v>
      </c>
      <c r="L47" s="135">
        <v>40</v>
      </c>
      <c r="M47" s="136">
        <v>3500</v>
      </c>
      <c r="N47" s="136">
        <v>1810</v>
      </c>
      <c r="W47" s="140" t="s">
        <v>85</v>
      </c>
      <c r="X47" s="140" t="s">
        <v>429</v>
      </c>
      <c r="Y47" s="137" t="s">
        <v>502</v>
      </c>
      <c r="Z47" s="141">
        <v>750</v>
      </c>
      <c r="AA47" s="141">
        <v>650</v>
      </c>
      <c r="AB47" s="142">
        <v>100</v>
      </c>
      <c r="AC47" s="143">
        <v>160</v>
      </c>
    </row>
    <row r="48" spans="1:29" x14ac:dyDescent="0.25">
      <c r="A48" s="137" t="s">
        <v>74</v>
      </c>
      <c r="B48" s="138" t="s">
        <v>417</v>
      </c>
      <c r="C48" s="137" t="s">
        <v>502</v>
      </c>
      <c r="D48" s="139">
        <v>47</v>
      </c>
      <c r="E48" s="139">
        <v>33</v>
      </c>
      <c r="F48" s="139">
        <v>22</v>
      </c>
      <c r="G48" s="139">
        <v>17</v>
      </c>
      <c r="L48" s="135">
        <v>41</v>
      </c>
      <c r="M48" s="136">
        <v>3570</v>
      </c>
      <c r="N48" s="136">
        <v>1850</v>
      </c>
      <c r="W48" s="140" t="s">
        <v>87</v>
      </c>
      <c r="X48" s="140" t="s">
        <v>431</v>
      </c>
      <c r="Y48" s="137" t="s">
        <v>502</v>
      </c>
      <c r="Z48" s="141">
        <v>750</v>
      </c>
      <c r="AA48" s="141">
        <v>650</v>
      </c>
      <c r="AB48" s="142">
        <v>100</v>
      </c>
      <c r="AC48" s="143">
        <v>160</v>
      </c>
    </row>
    <row r="49" spans="1:29" x14ac:dyDescent="0.25">
      <c r="A49" s="137" t="s">
        <v>75</v>
      </c>
      <c r="B49" s="138" t="s">
        <v>418</v>
      </c>
      <c r="C49" s="137" t="s">
        <v>502</v>
      </c>
      <c r="D49" s="139">
        <v>47</v>
      </c>
      <c r="E49" s="139">
        <v>33</v>
      </c>
      <c r="F49" s="139">
        <v>22</v>
      </c>
      <c r="G49" s="139">
        <v>17</v>
      </c>
      <c r="L49" s="135">
        <v>42</v>
      </c>
      <c r="M49" s="136">
        <v>3640</v>
      </c>
      <c r="N49" s="136">
        <v>1890</v>
      </c>
      <c r="W49" s="140" t="s">
        <v>66</v>
      </c>
      <c r="X49" s="140" t="s">
        <v>438</v>
      </c>
      <c r="Y49" s="137" t="s">
        <v>502</v>
      </c>
      <c r="Z49" s="141">
        <v>750</v>
      </c>
      <c r="AA49" s="141">
        <v>650</v>
      </c>
      <c r="AB49" s="142">
        <v>100</v>
      </c>
      <c r="AC49" s="143">
        <v>160</v>
      </c>
    </row>
    <row r="50" spans="1:29" x14ac:dyDescent="0.25">
      <c r="A50" s="137" t="s">
        <v>76</v>
      </c>
      <c r="B50" s="138" t="s">
        <v>419</v>
      </c>
      <c r="C50" s="137" t="s">
        <v>502</v>
      </c>
      <c r="D50" s="139">
        <v>77</v>
      </c>
      <c r="E50" s="139">
        <v>57</v>
      </c>
      <c r="F50" s="139">
        <v>40</v>
      </c>
      <c r="G50" s="139">
        <v>32</v>
      </c>
      <c r="L50" s="135">
        <v>43</v>
      </c>
      <c r="M50" s="136">
        <v>3710</v>
      </c>
      <c r="N50" s="136">
        <v>1930</v>
      </c>
      <c r="W50" s="140" t="s">
        <v>94</v>
      </c>
      <c r="X50" s="140" t="s">
        <v>439</v>
      </c>
      <c r="Y50" s="137" t="s">
        <v>502</v>
      </c>
      <c r="Z50" s="141">
        <v>750</v>
      </c>
      <c r="AA50" s="141">
        <v>650</v>
      </c>
      <c r="AB50" s="142">
        <v>100</v>
      </c>
      <c r="AC50" s="143">
        <v>160</v>
      </c>
    </row>
    <row r="51" spans="1:29" x14ac:dyDescent="0.25">
      <c r="A51" s="137" t="s">
        <v>77</v>
      </c>
      <c r="B51" s="138" t="s">
        <v>420</v>
      </c>
      <c r="C51" s="137" t="s">
        <v>502</v>
      </c>
      <c r="D51" s="139">
        <v>108</v>
      </c>
      <c r="E51" s="139">
        <v>80</v>
      </c>
      <c r="F51" s="139">
        <v>57</v>
      </c>
      <c r="G51" s="139">
        <v>45</v>
      </c>
      <c r="L51" s="135">
        <v>44</v>
      </c>
      <c r="M51" s="136">
        <v>3780</v>
      </c>
      <c r="N51" s="136">
        <v>1970</v>
      </c>
      <c r="W51" s="140" t="s">
        <v>360</v>
      </c>
      <c r="X51" s="140" t="s">
        <v>442</v>
      </c>
      <c r="Y51" s="137" t="s">
        <v>502</v>
      </c>
      <c r="Z51" s="141">
        <v>750</v>
      </c>
      <c r="AA51" s="141">
        <v>650</v>
      </c>
      <c r="AB51" s="142">
        <v>100</v>
      </c>
      <c r="AC51" s="143">
        <v>160</v>
      </c>
    </row>
    <row r="52" spans="1:29" x14ac:dyDescent="0.25">
      <c r="A52" s="137" t="s">
        <v>78</v>
      </c>
      <c r="B52" s="138" t="s">
        <v>421</v>
      </c>
      <c r="C52" s="137" t="s">
        <v>502</v>
      </c>
      <c r="D52" s="139">
        <v>108</v>
      </c>
      <c r="E52" s="139">
        <v>80</v>
      </c>
      <c r="F52" s="139">
        <v>57</v>
      </c>
      <c r="G52" s="139">
        <v>45</v>
      </c>
      <c r="L52" s="135">
        <v>45</v>
      </c>
      <c r="M52" s="136">
        <v>3850</v>
      </c>
      <c r="N52" s="136">
        <v>2010</v>
      </c>
      <c r="W52" s="140" t="s">
        <v>98</v>
      </c>
      <c r="X52" s="140" t="s">
        <v>445</v>
      </c>
      <c r="Y52" s="137" t="s">
        <v>502</v>
      </c>
      <c r="Z52" s="141">
        <v>750</v>
      </c>
      <c r="AA52" s="141">
        <v>650</v>
      </c>
      <c r="AB52" s="142">
        <v>100</v>
      </c>
      <c r="AC52" s="143">
        <v>160</v>
      </c>
    </row>
    <row r="53" spans="1:29" x14ac:dyDescent="0.25">
      <c r="A53" s="137" t="s">
        <v>79</v>
      </c>
      <c r="B53" s="138" t="s">
        <v>422</v>
      </c>
      <c r="C53" s="137" t="s">
        <v>502</v>
      </c>
      <c r="D53" s="139">
        <v>47</v>
      </c>
      <c r="E53" s="139">
        <v>33</v>
      </c>
      <c r="F53" s="139">
        <v>22</v>
      </c>
      <c r="G53" s="139">
        <v>17</v>
      </c>
      <c r="L53" s="135">
        <v>46</v>
      </c>
      <c r="M53" s="136">
        <v>3920</v>
      </c>
      <c r="N53" s="136">
        <v>2050</v>
      </c>
      <c r="W53" s="140" t="s">
        <v>99</v>
      </c>
      <c r="X53" s="140" t="s">
        <v>446</v>
      </c>
      <c r="Y53" s="137" t="s">
        <v>502</v>
      </c>
      <c r="Z53" s="141">
        <v>750</v>
      </c>
      <c r="AA53" s="141">
        <v>650</v>
      </c>
      <c r="AB53" s="142">
        <v>100</v>
      </c>
      <c r="AC53" s="143">
        <v>160</v>
      </c>
    </row>
    <row r="54" spans="1:29" x14ac:dyDescent="0.25">
      <c r="A54" s="137" t="s">
        <v>73</v>
      </c>
      <c r="B54" s="138" t="s">
        <v>423</v>
      </c>
      <c r="C54" s="137" t="s">
        <v>502</v>
      </c>
      <c r="D54" s="139">
        <v>108</v>
      </c>
      <c r="E54" s="139">
        <v>80</v>
      </c>
      <c r="F54" s="139">
        <v>57</v>
      </c>
      <c r="G54" s="139">
        <v>45</v>
      </c>
      <c r="L54" s="135">
        <v>47</v>
      </c>
      <c r="M54" s="136">
        <v>3990</v>
      </c>
      <c r="N54" s="136">
        <v>2090</v>
      </c>
      <c r="W54" s="140" t="s">
        <v>103</v>
      </c>
      <c r="X54" s="140" t="s">
        <v>450</v>
      </c>
      <c r="Y54" s="137" t="s">
        <v>502</v>
      </c>
      <c r="Z54" s="141">
        <v>750</v>
      </c>
      <c r="AA54" s="141">
        <v>650</v>
      </c>
      <c r="AB54" s="142">
        <v>100</v>
      </c>
      <c r="AC54" s="143">
        <v>160</v>
      </c>
    </row>
    <row r="55" spans="1:29" x14ac:dyDescent="0.25">
      <c r="A55" s="137" t="s">
        <v>80</v>
      </c>
      <c r="B55" s="138" t="s">
        <v>424</v>
      </c>
      <c r="C55" s="137" t="s">
        <v>502</v>
      </c>
      <c r="D55" s="139">
        <v>77</v>
      </c>
      <c r="E55" s="139">
        <v>57</v>
      </c>
      <c r="F55" s="139">
        <v>40</v>
      </c>
      <c r="G55" s="139">
        <v>32</v>
      </c>
      <c r="L55" s="135">
        <v>48</v>
      </c>
      <c r="M55" s="136">
        <v>4060</v>
      </c>
      <c r="N55" s="136">
        <v>2130</v>
      </c>
      <c r="W55" s="140" t="s">
        <v>105</v>
      </c>
      <c r="X55" s="140" t="s">
        <v>452</v>
      </c>
      <c r="Y55" s="137" t="s">
        <v>502</v>
      </c>
      <c r="Z55" s="141">
        <v>750</v>
      </c>
      <c r="AA55" s="141">
        <v>650</v>
      </c>
      <c r="AB55" s="142">
        <v>100</v>
      </c>
      <c r="AC55" s="143">
        <v>160</v>
      </c>
    </row>
    <row r="56" spans="1:29" x14ac:dyDescent="0.25">
      <c r="A56" s="137" t="s">
        <v>81</v>
      </c>
      <c r="B56" s="138" t="s">
        <v>425</v>
      </c>
      <c r="C56" s="137" t="s">
        <v>502</v>
      </c>
      <c r="D56" s="139">
        <v>108</v>
      </c>
      <c r="E56" s="139">
        <v>80</v>
      </c>
      <c r="F56" s="139">
        <v>57</v>
      </c>
      <c r="G56" s="139">
        <v>45</v>
      </c>
      <c r="L56" s="135">
        <v>49</v>
      </c>
      <c r="M56" s="136">
        <v>4130</v>
      </c>
      <c r="N56" s="136">
        <v>2170</v>
      </c>
      <c r="W56" s="140" t="s">
        <v>106</v>
      </c>
      <c r="X56" s="140" t="s">
        <v>453</v>
      </c>
      <c r="Y56" s="137" t="s">
        <v>502</v>
      </c>
      <c r="Z56" s="141">
        <v>750</v>
      </c>
      <c r="AA56" s="141">
        <v>650</v>
      </c>
      <c r="AB56" s="142">
        <v>100</v>
      </c>
      <c r="AC56" s="143">
        <v>160</v>
      </c>
    </row>
    <row r="57" spans="1:29" x14ac:dyDescent="0.25">
      <c r="A57" s="137" t="s">
        <v>82</v>
      </c>
      <c r="B57" s="138" t="s">
        <v>426</v>
      </c>
      <c r="C57" s="137" t="s">
        <v>502</v>
      </c>
      <c r="D57" s="139">
        <v>77</v>
      </c>
      <c r="E57" s="139">
        <v>57</v>
      </c>
      <c r="F57" s="139">
        <v>40</v>
      </c>
      <c r="G57" s="139">
        <v>32</v>
      </c>
      <c r="L57" s="135">
        <v>50</v>
      </c>
      <c r="M57" s="136">
        <v>4200</v>
      </c>
      <c r="N57" s="136">
        <v>2210</v>
      </c>
      <c r="W57" s="140" t="s">
        <v>358</v>
      </c>
      <c r="X57" s="140" t="s">
        <v>458</v>
      </c>
      <c r="Y57" s="137" t="s">
        <v>502</v>
      </c>
      <c r="Z57" s="141">
        <v>750</v>
      </c>
      <c r="AA57" s="141">
        <v>650</v>
      </c>
      <c r="AB57" s="142">
        <v>100</v>
      </c>
      <c r="AC57" s="143">
        <v>160</v>
      </c>
    </row>
    <row r="58" spans="1:29" x14ac:dyDescent="0.25">
      <c r="A58" s="137" t="s">
        <v>83</v>
      </c>
      <c r="B58" s="138" t="s">
        <v>427</v>
      </c>
      <c r="C58" s="137" t="s">
        <v>502</v>
      </c>
      <c r="D58" s="139">
        <v>47</v>
      </c>
      <c r="E58" s="139">
        <v>33</v>
      </c>
      <c r="F58" s="139">
        <v>22</v>
      </c>
      <c r="G58" s="139">
        <v>17</v>
      </c>
      <c r="L58" s="135">
        <v>51</v>
      </c>
      <c r="M58" s="136">
        <v>4270</v>
      </c>
      <c r="N58" s="136">
        <v>2250</v>
      </c>
      <c r="W58" s="140" t="s">
        <v>113</v>
      </c>
      <c r="X58" s="140" t="s">
        <v>463</v>
      </c>
      <c r="Y58" s="137" t="s">
        <v>502</v>
      </c>
      <c r="Z58" s="141">
        <v>750</v>
      </c>
      <c r="AA58" s="141">
        <v>650</v>
      </c>
      <c r="AB58" s="142">
        <v>100</v>
      </c>
      <c r="AC58" s="143">
        <v>160</v>
      </c>
    </row>
    <row r="59" spans="1:29" x14ac:dyDescent="0.25">
      <c r="A59" s="137" t="s">
        <v>84</v>
      </c>
      <c r="B59" s="138" t="s">
        <v>428</v>
      </c>
      <c r="C59" s="137" t="s">
        <v>502</v>
      </c>
      <c r="D59" s="139">
        <v>77</v>
      </c>
      <c r="E59" s="139">
        <v>57</v>
      </c>
      <c r="F59" s="139">
        <v>40</v>
      </c>
      <c r="G59" s="139">
        <v>32</v>
      </c>
      <c r="L59" s="135">
        <v>52</v>
      </c>
      <c r="M59" s="136">
        <v>4340</v>
      </c>
      <c r="N59" s="136">
        <v>2290</v>
      </c>
      <c r="W59" s="140" t="s">
        <v>116</v>
      </c>
      <c r="X59" s="140" t="s">
        <v>466</v>
      </c>
      <c r="Y59" s="137" t="s">
        <v>502</v>
      </c>
      <c r="Z59" s="141">
        <v>750</v>
      </c>
      <c r="AA59" s="141">
        <v>650</v>
      </c>
      <c r="AB59" s="142">
        <v>100</v>
      </c>
      <c r="AC59" s="143">
        <v>160</v>
      </c>
    </row>
    <row r="60" spans="1:29" x14ac:dyDescent="0.25">
      <c r="A60" s="137" t="s">
        <v>85</v>
      </c>
      <c r="B60" s="138" t="s">
        <v>429</v>
      </c>
      <c r="C60" s="137" t="s">
        <v>502</v>
      </c>
      <c r="D60" s="139">
        <v>47</v>
      </c>
      <c r="E60" s="139">
        <v>33</v>
      </c>
      <c r="F60" s="139">
        <v>22</v>
      </c>
      <c r="G60" s="139">
        <v>17</v>
      </c>
      <c r="L60" s="135">
        <v>53</v>
      </c>
      <c r="M60" s="136">
        <v>4410</v>
      </c>
      <c r="N60" s="136">
        <v>2330</v>
      </c>
      <c r="W60" s="140" t="s">
        <v>119</v>
      </c>
      <c r="X60" s="140" t="s">
        <v>469</v>
      </c>
      <c r="Y60" s="137" t="s">
        <v>502</v>
      </c>
      <c r="Z60" s="141">
        <v>750</v>
      </c>
      <c r="AA60" s="141">
        <v>650</v>
      </c>
      <c r="AB60" s="142">
        <v>100</v>
      </c>
      <c r="AC60" s="143">
        <v>160</v>
      </c>
    </row>
    <row r="61" spans="1:29" x14ac:dyDescent="0.25">
      <c r="A61" s="137" t="s">
        <v>86</v>
      </c>
      <c r="B61" s="138" t="s">
        <v>430</v>
      </c>
      <c r="C61" s="137" t="s">
        <v>502</v>
      </c>
      <c r="D61" s="139">
        <v>77</v>
      </c>
      <c r="E61" s="139">
        <v>57</v>
      </c>
      <c r="F61" s="139">
        <v>40</v>
      </c>
      <c r="G61" s="139">
        <v>32</v>
      </c>
      <c r="L61" s="135">
        <v>54</v>
      </c>
      <c r="M61" s="136">
        <v>4480</v>
      </c>
      <c r="N61" s="136">
        <v>2370</v>
      </c>
      <c r="W61" s="140" t="s">
        <v>472</v>
      </c>
      <c r="X61" s="140" t="s">
        <v>471</v>
      </c>
      <c r="Y61" s="137" t="s">
        <v>502</v>
      </c>
      <c r="Z61" s="141">
        <v>750</v>
      </c>
      <c r="AA61" s="141">
        <v>650</v>
      </c>
      <c r="AB61" s="142">
        <v>100</v>
      </c>
      <c r="AC61" s="143">
        <v>160</v>
      </c>
    </row>
    <row r="62" spans="1:29" x14ac:dyDescent="0.25">
      <c r="A62" s="137" t="s">
        <v>87</v>
      </c>
      <c r="B62" s="138" t="s">
        <v>431</v>
      </c>
      <c r="C62" s="137" t="s">
        <v>502</v>
      </c>
      <c r="D62" s="139">
        <v>77</v>
      </c>
      <c r="E62" s="139">
        <v>57</v>
      </c>
      <c r="F62" s="139">
        <v>40</v>
      </c>
      <c r="G62" s="139">
        <v>32</v>
      </c>
      <c r="L62" s="135">
        <v>55</v>
      </c>
      <c r="M62" s="136">
        <v>4550</v>
      </c>
      <c r="N62" s="136">
        <v>2410</v>
      </c>
    </row>
    <row r="63" spans="1:29" x14ac:dyDescent="0.25">
      <c r="A63" s="137" t="s">
        <v>88</v>
      </c>
      <c r="B63" s="138" t="s">
        <v>432</v>
      </c>
      <c r="C63" s="137" t="s">
        <v>502</v>
      </c>
      <c r="D63" s="139">
        <v>77</v>
      </c>
      <c r="E63" s="139">
        <v>57</v>
      </c>
      <c r="F63" s="139">
        <v>40</v>
      </c>
      <c r="G63" s="139">
        <v>32</v>
      </c>
      <c r="L63" s="135">
        <v>56</v>
      </c>
      <c r="M63" s="136">
        <v>4620</v>
      </c>
      <c r="N63" s="136">
        <v>2450</v>
      </c>
    </row>
    <row r="64" spans="1:29" x14ac:dyDescent="0.25">
      <c r="A64" s="137" t="s">
        <v>89</v>
      </c>
      <c r="B64" s="138" t="s">
        <v>433</v>
      </c>
      <c r="C64" s="137" t="s">
        <v>502</v>
      </c>
      <c r="D64" s="139">
        <v>47</v>
      </c>
      <c r="E64" s="139">
        <v>33</v>
      </c>
      <c r="F64" s="139">
        <v>22</v>
      </c>
      <c r="G64" s="139">
        <v>17</v>
      </c>
      <c r="L64" s="135">
        <v>57</v>
      </c>
      <c r="M64" s="136">
        <v>4690</v>
      </c>
      <c r="N64" s="136">
        <v>2490</v>
      </c>
    </row>
    <row r="65" spans="1:14" x14ac:dyDescent="0.25">
      <c r="A65" s="137" t="s">
        <v>90</v>
      </c>
      <c r="B65" s="138" t="s">
        <v>434</v>
      </c>
      <c r="C65" s="137" t="s">
        <v>502</v>
      </c>
      <c r="D65" s="139">
        <v>47</v>
      </c>
      <c r="E65" s="139">
        <v>33</v>
      </c>
      <c r="F65" s="139">
        <v>22</v>
      </c>
      <c r="G65" s="139">
        <v>17</v>
      </c>
      <c r="L65" s="135">
        <v>58</v>
      </c>
      <c r="M65" s="136">
        <v>4760</v>
      </c>
      <c r="N65" s="136">
        <v>2530</v>
      </c>
    </row>
    <row r="66" spans="1:14" x14ac:dyDescent="0.25">
      <c r="A66" s="137" t="s">
        <v>91</v>
      </c>
      <c r="B66" s="138" t="s">
        <v>435</v>
      </c>
      <c r="C66" s="137" t="s">
        <v>502</v>
      </c>
      <c r="D66" s="139">
        <v>47</v>
      </c>
      <c r="E66" s="139">
        <v>33</v>
      </c>
      <c r="F66" s="139">
        <v>22</v>
      </c>
      <c r="G66" s="139">
        <v>17</v>
      </c>
      <c r="L66" s="135">
        <v>59</v>
      </c>
      <c r="M66" s="136">
        <v>4830</v>
      </c>
      <c r="N66" s="136">
        <v>2570</v>
      </c>
    </row>
    <row r="67" spans="1:14" x14ac:dyDescent="0.25">
      <c r="A67" s="137" t="s">
        <v>92</v>
      </c>
      <c r="B67" s="138" t="s">
        <v>436</v>
      </c>
      <c r="C67" s="137" t="s">
        <v>502</v>
      </c>
      <c r="D67" s="139">
        <v>77</v>
      </c>
      <c r="E67" s="139">
        <v>57</v>
      </c>
      <c r="F67" s="139">
        <v>40</v>
      </c>
      <c r="G67" s="139">
        <v>32</v>
      </c>
      <c r="L67" s="135">
        <v>60</v>
      </c>
      <c r="M67" s="136">
        <v>4900</v>
      </c>
      <c r="N67" s="136">
        <v>2610</v>
      </c>
    </row>
    <row r="68" spans="1:14" x14ac:dyDescent="0.25">
      <c r="A68" s="137" t="s">
        <v>93</v>
      </c>
      <c r="B68" s="138" t="s">
        <v>437</v>
      </c>
      <c r="C68" s="137" t="s">
        <v>502</v>
      </c>
      <c r="D68" s="139">
        <v>77</v>
      </c>
      <c r="E68" s="139">
        <v>57</v>
      </c>
      <c r="F68" s="139">
        <v>40</v>
      </c>
      <c r="G68" s="139">
        <v>32</v>
      </c>
      <c r="L68" s="144">
        <v>61</v>
      </c>
      <c r="M68" s="145">
        <v>4950</v>
      </c>
      <c r="N68" s="146" t="s">
        <v>558</v>
      </c>
    </row>
    <row r="69" spans="1:14" x14ac:dyDescent="0.25">
      <c r="A69" s="137" t="s">
        <v>66</v>
      </c>
      <c r="B69" s="138" t="s">
        <v>438</v>
      </c>
      <c r="C69" s="137" t="s">
        <v>502</v>
      </c>
      <c r="D69" s="139">
        <v>166</v>
      </c>
      <c r="E69" s="139">
        <v>132</v>
      </c>
      <c r="F69" s="139">
        <v>102</v>
      </c>
      <c r="G69" s="139">
        <v>92</v>
      </c>
      <c r="L69" s="147">
        <v>62</v>
      </c>
      <c r="M69" s="148">
        <v>5000</v>
      </c>
      <c r="N69" s="146" t="s">
        <v>558</v>
      </c>
    </row>
    <row r="70" spans="1:14" x14ac:dyDescent="0.25">
      <c r="A70" s="137" t="s">
        <v>94</v>
      </c>
      <c r="B70" s="138" t="s">
        <v>439</v>
      </c>
      <c r="C70" s="137" t="s">
        <v>502</v>
      </c>
      <c r="D70" s="139">
        <v>77</v>
      </c>
      <c r="E70" s="139">
        <v>57</v>
      </c>
      <c r="F70" s="139">
        <v>40</v>
      </c>
      <c r="G70" s="139">
        <v>32</v>
      </c>
      <c r="L70" s="147">
        <v>63</v>
      </c>
      <c r="M70" s="148">
        <v>5050</v>
      </c>
      <c r="N70" s="146" t="s">
        <v>558</v>
      </c>
    </row>
    <row r="71" spans="1:14" x14ac:dyDescent="0.25">
      <c r="A71" s="137" t="s">
        <v>95</v>
      </c>
      <c r="B71" s="138" t="s">
        <v>440</v>
      </c>
      <c r="C71" s="137" t="s">
        <v>502</v>
      </c>
      <c r="D71" s="139">
        <v>77</v>
      </c>
      <c r="E71" s="139">
        <v>57</v>
      </c>
      <c r="F71" s="139">
        <v>40</v>
      </c>
      <c r="G71" s="139">
        <v>32</v>
      </c>
      <c r="L71" s="147">
        <v>64</v>
      </c>
      <c r="M71" s="148">
        <v>5100</v>
      </c>
      <c r="N71" s="146" t="s">
        <v>558</v>
      </c>
    </row>
    <row r="72" spans="1:14" x14ac:dyDescent="0.25">
      <c r="A72" s="137" t="s">
        <v>530</v>
      </c>
      <c r="B72" s="138" t="s">
        <v>441</v>
      </c>
      <c r="C72" s="137" t="s">
        <v>502</v>
      </c>
      <c r="D72" s="139">
        <v>47</v>
      </c>
      <c r="E72" s="139">
        <v>33</v>
      </c>
      <c r="F72" s="139">
        <v>22</v>
      </c>
      <c r="G72" s="139">
        <v>17</v>
      </c>
      <c r="L72" s="147">
        <v>65</v>
      </c>
      <c r="M72" s="148">
        <v>5150</v>
      </c>
      <c r="N72" s="146" t="s">
        <v>558</v>
      </c>
    </row>
    <row r="73" spans="1:14" x14ac:dyDescent="0.25">
      <c r="A73" s="137" t="s">
        <v>360</v>
      </c>
      <c r="B73" s="138" t="s">
        <v>442</v>
      </c>
      <c r="C73" s="137" t="s">
        <v>502</v>
      </c>
      <c r="D73" s="139">
        <v>108</v>
      </c>
      <c r="E73" s="139">
        <v>80</v>
      </c>
      <c r="F73" s="139">
        <v>57</v>
      </c>
      <c r="G73" s="139">
        <v>45</v>
      </c>
      <c r="L73" s="147">
        <v>66</v>
      </c>
      <c r="M73" s="148">
        <v>5200</v>
      </c>
      <c r="N73" s="146" t="s">
        <v>558</v>
      </c>
    </row>
    <row r="74" spans="1:14" x14ac:dyDescent="0.25">
      <c r="A74" s="137" t="s">
        <v>96</v>
      </c>
      <c r="B74" s="138" t="s">
        <v>443</v>
      </c>
      <c r="C74" s="137" t="s">
        <v>502</v>
      </c>
      <c r="D74" s="139">
        <v>47</v>
      </c>
      <c r="E74" s="139">
        <v>33</v>
      </c>
      <c r="F74" s="139">
        <v>22</v>
      </c>
      <c r="G74" s="139">
        <v>17</v>
      </c>
      <c r="L74" s="147">
        <v>67</v>
      </c>
      <c r="M74" s="148">
        <v>5250</v>
      </c>
      <c r="N74" s="146" t="s">
        <v>558</v>
      </c>
    </row>
    <row r="75" spans="1:14" x14ac:dyDescent="0.25">
      <c r="A75" s="137" t="s">
        <v>97</v>
      </c>
      <c r="B75" s="138" t="s">
        <v>444</v>
      </c>
      <c r="C75" s="137" t="s">
        <v>502</v>
      </c>
      <c r="D75" s="139">
        <v>47</v>
      </c>
      <c r="E75" s="139">
        <v>33</v>
      </c>
      <c r="F75" s="139">
        <v>22</v>
      </c>
      <c r="G75" s="139">
        <v>17</v>
      </c>
      <c r="L75" s="147">
        <v>68</v>
      </c>
      <c r="M75" s="148">
        <v>5300</v>
      </c>
      <c r="N75" s="146" t="s">
        <v>558</v>
      </c>
    </row>
    <row r="76" spans="1:14" x14ac:dyDescent="0.25">
      <c r="A76" s="137" t="s">
        <v>98</v>
      </c>
      <c r="B76" s="138" t="s">
        <v>445</v>
      </c>
      <c r="C76" s="137" t="s">
        <v>502</v>
      </c>
      <c r="D76" s="139">
        <v>108</v>
      </c>
      <c r="E76" s="139">
        <v>80</v>
      </c>
      <c r="F76" s="139">
        <v>57</v>
      </c>
      <c r="G76" s="139">
        <v>45</v>
      </c>
      <c r="L76" s="147">
        <v>69</v>
      </c>
      <c r="M76" s="148">
        <v>5350</v>
      </c>
      <c r="N76" s="146" t="s">
        <v>558</v>
      </c>
    </row>
    <row r="77" spans="1:14" x14ac:dyDescent="0.25">
      <c r="A77" s="137" t="s">
        <v>99</v>
      </c>
      <c r="B77" s="138" t="s">
        <v>446</v>
      </c>
      <c r="C77" s="137" t="s">
        <v>502</v>
      </c>
      <c r="D77" s="139">
        <v>108</v>
      </c>
      <c r="E77" s="139">
        <v>80</v>
      </c>
      <c r="F77" s="139">
        <v>57</v>
      </c>
      <c r="G77" s="139">
        <v>45</v>
      </c>
      <c r="L77" s="147">
        <v>70</v>
      </c>
      <c r="M77" s="148">
        <v>5400</v>
      </c>
      <c r="N77" s="146" t="s">
        <v>558</v>
      </c>
    </row>
    <row r="78" spans="1:14" x14ac:dyDescent="0.25">
      <c r="A78" s="137" t="s">
        <v>100</v>
      </c>
      <c r="B78" s="138" t="s">
        <v>447</v>
      </c>
      <c r="C78" s="137" t="s">
        <v>502</v>
      </c>
      <c r="D78" s="139">
        <v>47</v>
      </c>
      <c r="E78" s="139">
        <v>33</v>
      </c>
      <c r="F78" s="139">
        <v>22</v>
      </c>
      <c r="G78" s="139">
        <v>17</v>
      </c>
      <c r="L78" s="147">
        <v>71</v>
      </c>
      <c r="M78" s="148">
        <v>5450</v>
      </c>
      <c r="N78" s="146" t="s">
        <v>558</v>
      </c>
    </row>
    <row r="79" spans="1:14" x14ac:dyDescent="0.25">
      <c r="A79" s="137" t="s">
        <v>101</v>
      </c>
      <c r="B79" s="138" t="s">
        <v>448</v>
      </c>
      <c r="C79" s="137" t="s">
        <v>502</v>
      </c>
      <c r="D79" s="139">
        <v>47</v>
      </c>
      <c r="E79" s="139">
        <v>33</v>
      </c>
      <c r="F79" s="139">
        <v>22</v>
      </c>
      <c r="G79" s="139">
        <v>17</v>
      </c>
      <c r="L79" s="147">
        <v>72</v>
      </c>
      <c r="M79" s="148">
        <v>5500</v>
      </c>
      <c r="N79" s="146" t="s">
        <v>558</v>
      </c>
    </row>
    <row r="80" spans="1:14" x14ac:dyDescent="0.25">
      <c r="A80" s="137" t="s">
        <v>102</v>
      </c>
      <c r="B80" s="138" t="s">
        <v>449</v>
      </c>
      <c r="C80" s="137" t="s">
        <v>502</v>
      </c>
      <c r="D80" s="139">
        <v>108</v>
      </c>
      <c r="E80" s="139">
        <v>80</v>
      </c>
      <c r="F80" s="139">
        <v>57</v>
      </c>
      <c r="G80" s="139">
        <v>45</v>
      </c>
      <c r="L80" s="147">
        <v>73</v>
      </c>
      <c r="M80" s="148">
        <v>5550</v>
      </c>
      <c r="N80" s="146" t="s">
        <v>558</v>
      </c>
    </row>
    <row r="81" spans="1:14" x14ac:dyDescent="0.25">
      <c r="A81" s="137" t="s">
        <v>103</v>
      </c>
      <c r="B81" s="138" t="s">
        <v>450</v>
      </c>
      <c r="C81" s="137" t="s">
        <v>502</v>
      </c>
      <c r="D81" s="139">
        <v>47</v>
      </c>
      <c r="E81" s="139">
        <v>33</v>
      </c>
      <c r="F81" s="139">
        <v>22</v>
      </c>
      <c r="G81" s="139">
        <v>17</v>
      </c>
      <c r="L81" s="147">
        <v>74</v>
      </c>
      <c r="M81" s="148">
        <v>5600</v>
      </c>
      <c r="N81" s="146" t="s">
        <v>558</v>
      </c>
    </row>
    <row r="82" spans="1:14" x14ac:dyDescent="0.25">
      <c r="A82" s="137" t="s">
        <v>104</v>
      </c>
      <c r="B82" s="138" t="s">
        <v>451</v>
      </c>
      <c r="C82" s="137" t="s">
        <v>502</v>
      </c>
      <c r="D82" s="139">
        <v>47</v>
      </c>
      <c r="E82" s="139">
        <v>33</v>
      </c>
      <c r="F82" s="139">
        <v>22</v>
      </c>
      <c r="G82" s="139">
        <v>17</v>
      </c>
      <c r="L82" s="147">
        <v>75</v>
      </c>
      <c r="M82" s="148">
        <v>5650</v>
      </c>
      <c r="N82" s="146" t="s">
        <v>558</v>
      </c>
    </row>
    <row r="83" spans="1:14" x14ac:dyDescent="0.25">
      <c r="A83" s="137" t="s">
        <v>105</v>
      </c>
      <c r="B83" s="138" t="s">
        <v>452</v>
      </c>
      <c r="C83" s="137" t="s">
        <v>502</v>
      </c>
      <c r="D83" s="139">
        <v>108</v>
      </c>
      <c r="E83" s="139">
        <v>80</v>
      </c>
      <c r="F83" s="139">
        <v>57</v>
      </c>
      <c r="G83" s="139">
        <v>45</v>
      </c>
      <c r="L83" s="147">
        <v>76</v>
      </c>
      <c r="M83" s="148">
        <v>5700</v>
      </c>
      <c r="N83" s="146" t="s">
        <v>558</v>
      </c>
    </row>
    <row r="84" spans="1:14" x14ac:dyDescent="0.25">
      <c r="A84" s="137" t="s">
        <v>106</v>
      </c>
      <c r="B84" s="138" t="s">
        <v>453</v>
      </c>
      <c r="C84" s="137" t="s">
        <v>502</v>
      </c>
      <c r="D84" s="139">
        <v>77</v>
      </c>
      <c r="E84" s="139">
        <v>57</v>
      </c>
      <c r="F84" s="139">
        <v>40</v>
      </c>
      <c r="G84" s="139">
        <v>32</v>
      </c>
      <c r="L84" s="147">
        <v>77</v>
      </c>
      <c r="M84" s="148">
        <v>5750</v>
      </c>
      <c r="N84" s="146" t="s">
        <v>558</v>
      </c>
    </row>
    <row r="85" spans="1:14" x14ac:dyDescent="0.25">
      <c r="A85" s="137" t="s">
        <v>306</v>
      </c>
      <c r="B85" s="138" t="s">
        <v>454</v>
      </c>
      <c r="C85" s="137" t="s">
        <v>502</v>
      </c>
      <c r="D85" s="139">
        <v>47</v>
      </c>
      <c r="E85" s="139">
        <v>33</v>
      </c>
      <c r="F85" s="139">
        <v>22</v>
      </c>
      <c r="G85" s="139">
        <v>17</v>
      </c>
      <c r="L85" s="147">
        <v>78</v>
      </c>
      <c r="M85" s="148">
        <v>5800</v>
      </c>
      <c r="N85" s="146" t="s">
        <v>558</v>
      </c>
    </row>
    <row r="86" spans="1:14" x14ac:dyDescent="0.25">
      <c r="A86" s="137" t="s">
        <v>107</v>
      </c>
      <c r="B86" s="138" t="s">
        <v>455</v>
      </c>
      <c r="C86" s="137" t="s">
        <v>502</v>
      </c>
      <c r="D86" s="139">
        <v>47</v>
      </c>
      <c r="E86" s="139">
        <v>33</v>
      </c>
      <c r="F86" s="139">
        <v>22</v>
      </c>
      <c r="G86" s="139">
        <v>17</v>
      </c>
      <c r="L86" s="147">
        <v>79</v>
      </c>
      <c r="M86" s="148">
        <v>5850</v>
      </c>
      <c r="N86" s="146" t="s">
        <v>558</v>
      </c>
    </row>
    <row r="87" spans="1:14" x14ac:dyDescent="0.25">
      <c r="A87" s="137" t="s">
        <v>108</v>
      </c>
      <c r="B87" s="138" t="s">
        <v>456</v>
      </c>
      <c r="C87" s="137" t="s">
        <v>502</v>
      </c>
      <c r="D87" s="139">
        <v>47</v>
      </c>
      <c r="E87" s="139">
        <v>33</v>
      </c>
      <c r="F87" s="139">
        <v>22</v>
      </c>
      <c r="G87" s="139">
        <v>17</v>
      </c>
      <c r="L87" s="147">
        <v>80</v>
      </c>
      <c r="M87" s="148">
        <v>5900</v>
      </c>
      <c r="N87" s="146" t="s">
        <v>558</v>
      </c>
    </row>
    <row r="88" spans="1:14" x14ac:dyDescent="0.25">
      <c r="A88" s="137" t="s">
        <v>109</v>
      </c>
      <c r="B88" s="138" t="s">
        <v>457</v>
      </c>
      <c r="C88" s="137" t="s">
        <v>502</v>
      </c>
      <c r="D88" s="139">
        <v>47</v>
      </c>
      <c r="E88" s="139">
        <v>33</v>
      </c>
      <c r="F88" s="139">
        <v>22</v>
      </c>
      <c r="G88" s="139">
        <v>17</v>
      </c>
      <c r="L88" s="147">
        <v>81</v>
      </c>
      <c r="M88" s="148">
        <v>5950</v>
      </c>
      <c r="N88" s="146" t="s">
        <v>558</v>
      </c>
    </row>
    <row r="89" spans="1:14" x14ac:dyDescent="0.25">
      <c r="A89" s="137" t="s">
        <v>358</v>
      </c>
      <c r="B89" s="138" t="s">
        <v>458</v>
      </c>
      <c r="C89" s="137" t="s">
        <v>502</v>
      </c>
      <c r="D89" s="139">
        <v>77</v>
      </c>
      <c r="E89" s="139">
        <v>57</v>
      </c>
      <c r="F89" s="139">
        <v>40</v>
      </c>
      <c r="G89" s="139">
        <v>32</v>
      </c>
      <c r="L89" s="147">
        <v>82</v>
      </c>
      <c r="M89" s="148">
        <v>6000</v>
      </c>
      <c r="N89" s="146" t="s">
        <v>558</v>
      </c>
    </row>
    <row r="90" spans="1:14" x14ac:dyDescent="0.25">
      <c r="A90" s="137" t="s">
        <v>110</v>
      </c>
      <c r="B90" s="138" t="s">
        <v>372</v>
      </c>
      <c r="C90" s="137" t="s">
        <v>502</v>
      </c>
      <c r="D90" s="139">
        <v>77</v>
      </c>
      <c r="E90" s="139">
        <v>57</v>
      </c>
      <c r="F90" s="139">
        <v>40</v>
      </c>
      <c r="G90" s="139">
        <v>32</v>
      </c>
      <c r="L90" s="147">
        <v>83</v>
      </c>
      <c r="M90" s="148">
        <v>6050</v>
      </c>
      <c r="N90" s="146" t="s">
        <v>558</v>
      </c>
    </row>
    <row r="91" spans="1:14" x14ac:dyDescent="0.25">
      <c r="A91" s="137" t="s">
        <v>111</v>
      </c>
      <c r="B91" s="138" t="s">
        <v>459</v>
      </c>
      <c r="C91" s="137" t="s">
        <v>502</v>
      </c>
      <c r="D91" s="139">
        <v>77</v>
      </c>
      <c r="E91" s="139">
        <v>57</v>
      </c>
      <c r="F91" s="139">
        <v>40</v>
      </c>
      <c r="G91" s="139">
        <v>32</v>
      </c>
      <c r="L91" s="147">
        <v>84</v>
      </c>
      <c r="M91" s="148">
        <v>6100</v>
      </c>
      <c r="N91" s="146" t="s">
        <v>558</v>
      </c>
    </row>
    <row r="92" spans="1:14" x14ac:dyDescent="0.25">
      <c r="A92" s="137" t="s">
        <v>305</v>
      </c>
      <c r="B92" s="138" t="s">
        <v>460</v>
      </c>
      <c r="C92" s="137" t="s">
        <v>502</v>
      </c>
      <c r="D92" s="139">
        <v>108</v>
      </c>
      <c r="E92" s="139">
        <v>80</v>
      </c>
      <c r="F92" s="139">
        <v>57</v>
      </c>
      <c r="G92" s="139">
        <v>45</v>
      </c>
      <c r="L92" s="147">
        <v>85</v>
      </c>
      <c r="M92" s="148">
        <v>6150</v>
      </c>
      <c r="N92" s="146" t="s">
        <v>558</v>
      </c>
    </row>
    <row r="93" spans="1:14" x14ac:dyDescent="0.25">
      <c r="A93" s="137" t="s">
        <v>112</v>
      </c>
      <c r="B93" s="138" t="s">
        <v>461</v>
      </c>
      <c r="C93" s="137" t="s">
        <v>502</v>
      </c>
      <c r="D93" s="139">
        <v>47</v>
      </c>
      <c r="E93" s="139">
        <v>33</v>
      </c>
      <c r="F93" s="139">
        <v>22</v>
      </c>
      <c r="G93" s="139">
        <v>17</v>
      </c>
      <c r="L93" s="147">
        <v>86</v>
      </c>
      <c r="M93" s="148">
        <v>6200</v>
      </c>
      <c r="N93" s="146" t="s">
        <v>558</v>
      </c>
    </row>
    <row r="94" spans="1:14" x14ac:dyDescent="0.25">
      <c r="A94" s="137" t="s">
        <v>478</v>
      </c>
      <c r="B94" s="138" t="s">
        <v>462</v>
      </c>
      <c r="C94" s="137" t="s">
        <v>502</v>
      </c>
      <c r="D94" s="139">
        <v>77</v>
      </c>
      <c r="E94" s="139">
        <v>57</v>
      </c>
      <c r="F94" s="139">
        <v>40</v>
      </c>
      <c r="G94" s="139">
        <v>32</v>
      </c>
      <c r="L94" s="147">
        <v>87</v>
      </c>
      <c r="M94" s="148">
        <v>6250</v>
      </c>
      <c r="N94" s="146" t="s">
        <v>558</v>
      </c>
    </row>
    <row r="95" spans="1:14" x14ac:dyDescent="0.25">
      <c r="A95" s="137" t="s">
        <v>113</v>
      </c>
      <c r="B95" s="138" t="s">
        <v>463</v>
      </c>
      <c r="C95" s="137" t="s">
        <v>502</v>
      </c>
      <c r="D95" s="139">
        <v>108</v>
      </c>
      <c r="E95" s="139">
        <v>80</v>
      </c>
      <c r="F95" s="139">
        <v>57</v>
      </c>
      <c r="G95" s="139">
        <v>45</v>
      </c>
      <c r="L95" s="147">
        <v>88</v>
      </c>
      <c r="M95" s="148">
        <v>6300</v>
      </c>
      <c r="N95" s="146" t="s">
        <v>558</v>
      </c>
    </row>
    <row r="96" spans="1:14" x14ac:dyDescent="0.25">
      <c r="A96" s="137" t="s">
        <v>114</v>
      </c>
      <c r="B96" s="138" t="s">
        <v>464</v>
      </c>
      <c r="C96" s="137" t="s">
        <v>502</v>
      </c>
      <c r="D96" s="139">
        <v>77</v>
      </c>
      <c r="E96" s="139">
        <v>57</v>
      </c>
      <c r="F96" s="139">
        <v>40</v>
      </c>
      <c r="G96" s="139">
        <v>32</v>
      </c>
      <c r="L96" s="147">
        <v>89</v>
      </c>
      <c r="M96" s="148">
        <v>6350</v>
      </c>
      <c r="N96" s="146" t="s">
        <v>558</v>
      </c>
    </row>
    <row r="97" spans="1:14" x14ac:dyDescent="0.25">
      <c r="A97" s="137" t="s">
        <v>115</v>
      </c>
      <c r="B97" s="138" t="s">
        <v>465</v>
      </c>
      <c r="C97" s="137" t="s">
        <v>502</v>
      </c>
      <c r="D97" s="139">
        <v>47</v>
      </c>
      <c r="E97" s="139">
        <v>33</v>
      </c>
      <c r="F97" s="139">
        <v>22</v>
      </c>
      <c r="G97" s="139">
        <v>17</v>
      </c>
      <c r="L97" s="147">
        <v>90</v>
      </c>
      <c r="M97" s="148">
        <v>6400</v>
      </c>
      <c r="N97" s="146" t="s">
        <v>558</v>
      </c>
    </row>
    <row r="98" spans="1:14" x14ac:dyDescent="0.25">
      <c r="A98" s="137" t="s">
        <v>116</v>
      </c>
      <c r="B98" s="138" t="s">
        <v>466</v>
      </c>
      <c r="C98" s="137" t="s">
        <v>502</v>
      </c>
      <c r="D98" s="139">
        <v>47</v>
      </c>
      <c r="E98" s="139">
        <v>33</v>
      </c>
      <c r="F98" s="139">
        <v>22</v>
      </c>
      <c r="G98" s="139">
        <v>17</v>
      </c>
      <c r="L98" s="147">
        <v>91</v>
      </c>
      <c r="M98" s="148">
        <v>6450</v>
      </c>
      <c r="N98" s="146" t="s">
        <v>558</v>
      </c>
    </row>
    <row r="99" spans="1:14" x14ac:dyDescent="0.25">
      <c r="A99" s="137" t="s">
        <v>117</v>
      </c>
      <c r="B99" s="138" t="s">
        <v>467</v>
      </c>
      <c r="C99" s="137" t="s">
        <v>502</v>
      </c>
      <c r="D99" s="139">
        <v>47</v>
      </c>
      <c r="E99" s="139">
        <v>33</v>
      </c>
      <c r="F99" s="139">
        <v>22</v>
      </c>
      <c r="G99" s="139">
        <v>17</v>
      </c>
      <c r="L99" s="147">
        <v>92</v>
      </c>
      <c r="M99" s="148">
        <v>6500</v>
      </c>
      <c r="N99" s="146" t="s">
        <v>558</v>
      </c>
    </row>
    <row r="100" spans="1:14" x14ac:dyDescent="0.25">
      <c r="A100" s="137" t="s">
        <v>118</v>
      </c>
      <c r="B100" s="138" t="s">
        <v>468</v>
      </c>
      <c r="C100" s="137" t="s">
        <v>502</v>
      </c>
      <c r="D100" s="139">
        <v>108</v>
      </c>
      <c r="E100" s="139">
        <v>80</v>
      </c>
      <c r="F100" s="139">
        <v>57</v>
      </c>
      <c r="G100" s="139">
        <v>45</v>
      </c>
      <c r="L100" s="147">
        <v>93</v>
      </c>
      <c r="M100" s="148">
        <v>6550</v>
      </c>
      <c r="N100" s="146" t="s">
        <v>558</v>
      </c>
    </row>
    <row r="101" spans="1:14" x14ac:dyDescent="0.25">
      <c r="A101" s="137" t="s">
        <v>119</v>
      </c>
      <c r="B101" s="138" t="s">
        <v>469</v>
      </c>
      <c r="C101" s="137" t="s">
        <v>502</v>
      </c>
      <c r="D101" s="139">
        <v>47</v>
      </c>
      <c r="E101" s="139">
        <v>33</v>
      </c>
      <c r="F101" s="139">
        <v>22</v>
      </c>
      <c r="G101" s="139">
        <v>17</v>
      </c>
      <c r="L101" s="147">
        <v>94</v>
      </c>
      <c r="M101" s="148">
        <v>6600</v>
      </c>
      <c r="N101" s="146" t="s">
        <v>558</v>
      </c>
    </row>
    <row r="102" spans="1:14" x14ac:dyDescent="0.25">
      <c r="A102" s="137" t="s">
        <v>120</v>
      </c>
      <c r="B102" s="138" t="s">
        <v>470</v>
      </c>
      <c r="C102" s="137" t="s">
        <v>502</v>
      </c>
      <c r="D102" s="139">
        <v>47</v>
      </c>
      <c r="E102" s="139">
        <v>33</v>
      </c>
      <c r="F102" s="139">
        <v>22</v>
      </c>
      <c r="G102" s="139">
        <v>17</v>
      </c>
      <c r="L102" s="147">
        <v>95</v>
      </c>
      <c r="M102" s="148">
        <v>6650</v>
      </c>
      <c r="N102" s="146" t="s">
        <v>558</v>
      </c>
    </row>
    <row r="103" spans="1:14" x14ac:dyDescent="0.25">
      <c r="A103" s="137" t="s">
        <v>472</v>
      </c>
      <c r="B103" s="138" t="s">
        <v>471</v>
      </c>
      <c r="C103" s="137" t="s">
        <v>502</v>
      </c>
      <c r="D103" s="139">
        <v>108</v>
      </c>
      <c r="E103" s="139">
        <v>80</v>
      </c>
      <c r="F103" s="139">
        <v>57</v>
      </c>
      <c r="G103" s="139">
        <v>45</v>
      </c>
      <c r="L103" s="147">
        <v>96</v>
      </c>
      <c r="M103" s="148">
        <v>6700</v>
      </c>
      <c r="N103" s="146" t="s">
        <v>558</v>
      </c>
    </row>
    <row r="104" spans="1:14" x14ac:dyDescent="0.25">
      <c r="A104" s="137" t="s">
        <v>121</v>
      </c>
      <c r="B104" s="138" t="s">
        <v>473</v>
      </c>
      <c r="C104" s="137" t="s">
        <v>502</v>
      </c>
      <c r="D104" s="139">
        <v>108</v>
      </c>
      <c r="E104" s="139">
        <v>80</v>
      </c>
      <c r="F104" s="139">
        <v>57</v>
      </c>
      <c r="G104" s="139">
        <v>45</v>
      </c>
      <c r="L104" s="147">
        <v>97</v>
      </c>
      <c r="M104" s="148">
        <v>6750</v>
      </c>
      <c r="N104" s="146" t="s">
        <v>558</v>
      </c>
    </row>
    <row r="105" spans="1:14" x14ac:dyDescent="0.25">
      <c r="A105" s="137" t="s">
        <v>122</v>
      </c>
      <c r="B105" s="138" t="s">
        <v>474</v>
      </c>
      <c r="C105" s="137" t="s">
        <v>502</v>
      </c>
      <c r="D105" s="139">
        <v>47</v>
      </c>
      <c r="E105" s="139">
        <v>33</v>
      </c>
      <c r="F105" s="139">
        <v>22</v>
      </c>
      <c r="G105" s="139">
        <v>17</v>
      </c>
      <c r="L105" s="147">
        <v>98</v>
      </c>
      <c r="M105" s="148">
        <v>6800</v>
      </c>
      <c r="N105" s="146" t="s">
        <v>558</v>
      </c>
    </row>
    <row r="106" spans="1:14" x14ac:dyDescent="0.25">
      <c r="A106" s="137" t="s">
        <v>123</v>
      </c>
      <c r="B106" s="138" t="s">
        <v>475</v>
      </c>
      <c r="C106" s="137" t="s">
        <v>502</v>
      </c>
      <c r="D106" s="139">
        <v>108</v>
      </c>
      <c r="E106" s="139">
        <v>80</v>
      </c>
      <c r="F106" s="139">
        <v>57</v>
      </c>
      <c r="G106" s="139">
        <v>45</v>
      </c>
      <c r="L106" s="147">
        <v>99</v>
      </c>
      <c r="M106" s="148">
        <v>6850</v>
      </c>
      <c r="N106" s="146" t="s">
        <v>558</v>
      </c>
    </row>
    <row r="107" spans="1:14" x14ac:dyDescent="0.25">
      <c r="A107" s="137" t="s">
        <v>124</v>
      </c>
      <c r="B107" s="138" t="s">
        <v>476</v>
      </c>
      <c r="C107" s="137" t="s">
        <v>502</v>
      </c>
      <c r="D107" s="139">
        <v>47</v>
      </c>
      <c r="E107" s="139">
        <v>33</v>
      </c>
      <c r="F107" s="139">
        <v>22</v>
      </c>
      <c r="G107" s="139">
        <v>17</v>
      </c>
      <c r="L107" s="147">
        <v>100</v>
      </c>
      <c r="M107" s="148">
        <v>6900</v>
      </c>
      <c r="N107" s="146" t="s">
        <v>558</v>
      </c>
    </row>
    <row r="108" spans="1:14" x14ac:dyDescent="0.25">
      <c r="A108" s="137" t="s">
        <v>125</v>
      </c>
      <c r="B108" s="138" t="s">
        <v>477</v>
      </c>
      <c r="C108" s="137" t="s">
        <v>502</v>
      </c>
      <c r="D108" s="139">
        <v>47</v>
      </c>
      <c r="E108" s="139">
        <v>33</v>
      </c>
      <c r="F108" s="139">
        <v>22</v>
      </c>
      <c r="G108" s="139">
        <v>17</v>
      </c>
      <c r="L108" s="147">
        <v>101</v>
      </c>
      <c r="M108" s="148">
        <v>6950</v>
      </c>
      <c r="N108" s="146" t="s">
        <v>558</v>
      </c>
    </row>
    <row r="109" spans="1:14" x14ac:dyDescent="0.25">
      <c r="L109" s="147">
        <v>102</v>
      </c>
      <c r="M109" s="148">
        <v>7000</v>
      </c>
      <c r="N109" s="146" t="s">
        <v>558</v>
      </c>
    </row>
    <row r="110" spans="1:14" x14ac:dyDescent="0.25">
      <c r="L110" s="147">
        <v>103</v>
      </c>
      <c r="M110" s="148">
        <v>7050</v>
      </c>
      <c r="N110" s="146" t="s">
        <v>558</v>
      </c>
    </row>
    <row r="111" spans="1:14" x14ac:dyDescent="0.25">
      <c r="L111" s="147">
        <v>104</v>
      </c>
      <c r="M111" s="148">
        <v>7100</v>
      </c>
      <c r="N111" s="146" t="s">
        <v>558</v>
      </c>
    </row>
    <row r="112" spans="1:14" x14ac:dyDescent="0.25">
      <c r="L112" s="147">
        <v>105</v>
      </c>
      <c r="M112" s="148">
        <v>7150</v>
      </c>
      <c r="N112" s="146" t="s">
        <v>558</v>
      </c>
    </row>
    <row r="113" spans="12:14" x14ac:dyDescent="0.25">
      <c r="L113" s="147">
        <v>106</v>
      </c>
      <c r="M113" s="148">
        <v>7200</v>
      </c>
      <c r="N113" s="146" t="s">
        <v>558</v>
      </c>
    </row>
    <row r="114" spans="12:14" x14ac:dyDescent="0.25">
      <c r="L114" s="147">
        <v>107</v>
      </c>
      <c r="M114" s="148">
        <v>7250</v>
      </c>
      <c r="N114" s="146" t="s">
        <v>558</v>
      </c>
    </row>
    <row r="115" spans="12:14" x14ac:dyDescent="0.25">
      <c r="L115" s="147">
        <v>108</v>
      </c>
      <c r="M115" s="148">
        <v>7300</v>
      </c>
      <c r="N115" s="146" t="s">
        <v>558</v>
      </c>
    </row>
    <row r="116" spans="12:14" x14ac:dyDescent="0.25">
      <c r="L116" s="147">
        <v>109</v>
      </c>
      <c r="M116" s="148">
        <v>7350</v>
      </c>
      <c r="N116" s="146" t="s">
        <v>558</v>
      </c>
    </row>
    <row r="117" spans="12:14" x14ac:dyDescent="0.25">
      <c r="L117" s="147">
        <v>110</v>
      </c>
      <c r="M117" s="148">
        <v>7400</v>
      </c>
      <c r="N117" s="146" t="s">
        <v>558</v>
      </c>
    </row>
    <row r="118" spans="12:14" x14ac:dyDescent="0.25">
      <c r="L118" s="147">
        <v>111</v>
      </c>
      <c r="M118" s="148">
        <v>7450</v>
      </c>
      <c r="N118" s="146" t="s">
        <v>558</v>
      </c>
    </row>
    <row r="119" spans="12:14" x14ac:dyDescent="0.25">
      <c r="L119" s="147">
        <v>112</v>
      </c>
      <c r="M119" s="148">
        <v>7500</v>
      </c>
      <c r="N119" s="146" t="s">
        <v>558</v>
      </c>
    </row>
    <row r="120" spans="12:14" x14ac:dyDescent="0.25">
      <c r="L120" s="147">
        <v>113</v>
      </c>
      <c r="M120" s="148">
        <v>7550</v>
      </c>
      <c r="N120" s="146" t="s">
        <v>558</v>
      </c>
    </row>
    <row r="121" spans="12:14" x14ac:dyDescent="0.25">
      <c r="L121" s="147">
        <v>114</v>
      </c>
      <c r="M121" s="148">
        <v>7600</v>
      </c>
      <c r="N121" s="146" t="s">
        <v>558</v>
      </c>
    </row>
    <row r="122" spans="12:14" x14ac:dyDescent="0.25">
      <c r="L122" s="147">
        <v>115</v>
      </c>
      <c r="M122" s="148">
        <v>7650</v>
      </c>
      <c r="N122" s="146" t="s">
        <v>558</v>
      </c>
    </row>
    <row r="123" spans="12:14" x14ac:dyDescent="0.25">
      <c r="L123" s="147">
        <v>116</v>
      </c>
      <c r="M123" s="148">
        <v>7700</v>
      </c>
      <c r="N123" s="146" t="s">
        <v>558</v>
      </c>
    </row>
    <row r="124" spans="12:14" x14ac:dyDescent="0.25">
      <c r="L124" s="147">
        <v>117</v>
      </c>
      <c r="M124" s="148">
        <v>7750</v>
      </c>
      <c r="N124" s="146" t="s">
        <v>558</v>
      </c>
    </row>
    <row r="125" spans="12:14" x14ac:dyDescent="0.25">
      <c r="L125" s="147">
        <v>118</v>
      </c>
      <c r="M125" s="148">
        <v>7800</v>
      </c>
      <c r="N125" s="146" t="s">
        <v>558</v>
      </c>
    </row>
    <row r="126" spans="12:14" x14ac:dyDescent="0.25">
      <c r="L126" s="147">
        <v>119</v>
      </c>
      <c r="M126" s="148">
        <v>7850</v>
      </c>
      <c r="N126" s="146" t="s">
        <v>558</v>
      </c>
    </row>
    <row r="127" spans="12:14" x14ac:dyDescent="0.25">
      <c r="L127" s="147">
        <v>120</v>
      </c>
      <c r="M127" s="148">
        <v>7900</v>
      </c>
      <c r="N127" s="146" t="s">
        <v>558</v>
      </c>
    </row>
    <row r="128" spans="12:14" x14ac:dyDescent="0.25">
      <c r="L128" s="147">
        <v>121</v>
      </c>
      <c r="M128" s="148">
        <v>7950</v>
      </c>
      <c r="N128" s="146" t="s">
        <v>558</v>
      </c>
    </row>
    <row r="129" spans="12:14" x14ac:dyDescent="0.25">
      <c r="L129" s="147">
        <v>122</v>
      </c>
      <c r="M129" s="148">
        <v>8000</v>
      </c>
      <c r="N129" s="146" t="s">
        <v>558</v>
      </c>
    </row>
    <row r="130" spans="12:14" x14ac:dyDescent="0.25">
      <c r="L130" s="147">
        <v>123</v>
      </c>
      <c r="M130" s="148">
        <v>8050</v>
      </c>
      <c r="N130" s="146" t="s">
        <v>558</v>
      </c>
    </row>
    <row r="131" spans="12:14" x14ac:dyDescent="0.25">
      <c r="L131" s="147">
        <v>124</v>
      </c>
      <c r="M131" s="148">
        <v>8100</v>
      </c>
      <c r="N131" s="146" t="s">
        <v>558</v>
      </c>
    </row>
    <row r="132" spans="12:14" x14ac:dyDescent="0.25">
      <c r="L132" s="147">
        <v>125</v>
      </c>
      <c r="M132" s="148">
        <v>8150</v>
      </c>
      <c r="N132" s="146" t="s">
        <v>558</v>
      </c>
    </row>
    <row r="133" spans="12:14" x14ac:dyDescent="0.25">
      <c r="L133" s="147">
        <v>126</v>
      </c>
      <c r="M133" s="148">
        <v>8200</v>
      </c>
      <c r="N133" s="146" t="s">
        <v>558</v>
      </c>
    </row>
    <row r="134" spans="12:14" x14ac:dyDescent="0.25">
      <c r="L134" s="147">
        <v>127</v>
      </c>
      <c r="M134" s="148">
        <v>8250</v>
      </c>
      <c r="N134" s="146" t="s">
        <v>558</v>
      </c>
    </row>
    <row r="135" spans="12:14" x14ac:dyDescent="0.25">
      <c r="L135" s="147">
        <v>128</v>
      </c>
      <c r="M135" s="148">
        <v>8300</v>
      </c>
      <c r="N135" s="146" t="s">
        <v>558</v>
      </c>
    </row>
    <row r="136" spans="12:14" x14ac:dyDescent="0.25">
      <c r="L136" s="147">
        <v>129</v>
      </c>
      <c r="M136" s="148">
        <v>8350</v>
      </c>
      <c r="N136" s="146" t="s">
        <v>558</v>
      </c>
    </row>
    <row r="137" spans="12:14" x14ac:dyDescent="0.25">
      <c r="L137" s="147">
        <v>130</v>
      </c>
      <c r="M137" s="148">
        <v>8400</v>
      </c>
      <c r="N137" s="146" t="s">
        <v>558</v>
      </c>
    </row>
    <row r="138" spans="12:14" x14ac:dyDescent="0.25">
      <c r="L138" s="147">
        <v>131</v>
      </c>
      <c r="M138" s="148">
        <v>8450</v>
      </c>
      <c r="N138" s="146" t="s">
        <v>558</v>
      </c>
    </row>
    <row r="139" spans="12:14" x14ac:dyDescent="0.25">
      <c r="L139" s="147">
        <v>132</v>
      </c>
      <c r="M139" s="148">
        <v>8500</v>
      </c>
      <c r="N139" s="146" t="s">
        <v>558</v>
      </c>
    </row>
    <row r="140" spans="12:14" x14ac:dyDescent="0.25">
      <c r="L140" s="147">
        <v>133</v>
      </c>
      <c r="M140" s="148">
        <v>8550</v>
      </c>
      <c r="N140" s="146" t="s">
        <v>558</v>
      </c>
    </row>
    <row r="141" spans="12:14" x14ac:dyDescent="0.25">
      <c r="L141" s="147">
        <v>134</v>
      </c>
      <c r="M141" s="148">
        <v>8600</v>
      </c>
      <c r="N141" s="146" t="s">
        <v>558</v>
      </c>
    </row>
    <row r="142" spans="12:14" x14ac:dyDescent="0.25">
      <c r="L142" s="147">
        <v>135</v>
      </c>
      <c r="M142" s="148">
        <v>8650</v>
      </c>
      <c r="N142" s="146" t="s">
        <v>558</v>
      </c>
    </row>
    <row r="143" spans="12:14" x14ac:dyDescent="0.25">
      <c r="L143" s="147">
        <v>136</v>
      </c>
      <c r="M143" s="148">
        <v>8700</v>
      </c>
      <c r="N143" s="146" t="s">
        <v>558</v>
      </c>
    </row>
    <row r="144" spans="12:14" x14ac:dyDescent="0.25">
      <c r="L144" s="147">
        <v>137</v>
      </c>
      <c r="M144" s="148">
        <v>8750</v>
      </c>
      <c r="N144" s="146" t="s">
        <v>558</v>
      </c>
    </row>
    <row r="145" spans="12:14" x14ac:dyDescent="0.25">
      <c r="L145" s="147">
        <v>138</v>
      </c>
      <c r="M145" s="148">
        <v>8800</v>
      </c>
      <c r="N145" s="146" t="s">
        <v>558</v>
      </c>
    </row>
    <row r="146" spans="12:14" x14ac:dyDescent="0.25">
      <c r="L146" s="147">
        <v>139</v>
      </c>
      <c r="M146" s="148">
        <v>8850</v>
      </c>
      <c r="N146" s="146" t="s">
        <v>558</v>
      </c>
    </row>
    <row r="147" spans="12:14" x14ac:dyDescent="0.25">
      <c r="L147" s="147">
        <v>140</v>
      </c>
      <c r="M147" s="148">
        <v>8900</v>
      </c>
      <c r="N147" s="146" t="s">
        <v>558</v>
      </c>
    </row>
    <row r="148" spans="12:14" x14ac:dyDescent="0.25">
      <c r="L148" s="147">
        <v>141</v>
      </c>
      <c r="M148" s="148">
        <v>8950</v>
      </c>
      <c r="N148" s="146" t="s">
        <v>558</v>
      </c>
    </row>
    <row r="149" spans="12:14" x14ac:dyDescent="0.25">
      <c r="L149" s="147">
        <v>142</v>
      </c>
      <c r="M149" s="148">
        <v>9000</v>
      </c>
      <c r="N149" s="146" t="s">
        <v>558</v>
      </c>
    </row>
    <row r="150" spans="12:14" x14ac:dyDescent="0.25">
      <c r="L150" s="147">
        <v>143</v>
      </c>
      <c r="M150" s="148">
        <v>9050</v>
      </c>
      <c r="N150" s="146" t="s">
        <v>558</v>
      </c>
    </row>
    <row r="151" spans="12:14" x14ac:dyDescent="0.25">
      <c r="L151" s="147">
        <v>144</v>
      </c>
      <c r="M151" s="148">
        <v>9100</v>
      </c>
      <c r="N151" s="146" t="s">
        <v>558</v>
      </c>
    </row>
    <row r="152" spans="12:14" x14ac:dyDescent="0.25">
      <c r="L152" s="147">
        <v>145</v>
      </c>
      <c r="M152" s="148">
        <v>9150</v>
      </c>
      <c r="N152" s="146" t="s">
        <v>558</v>
      </c>
    </row>
    <row r="153" spans="12:14" x14ac:dyDescent="0.25">
      <c r="L153" s="147">
        <v>146</v>
      </c>
      <c r="M153" s="148">
        <v>9200</v>
      </c>
      <c r="N153" s="146" t="s">
        <v>558</v>
      </c>
    </row>
    <row r="154" spans="12:14" x14ac:dyDescent="0.25">
      <c r="L154" s="147">
        <v>147</v>
      </c>
      <c r="M154" s="148">
        <v>9250</v>
      </c>
      <c r="N154" s="146" t="s">
        <v>558</v>
      </c>
    </row>
    <row r="155" spans="12:14" x14ac:dyDescent="0.25">
      <c r="L155" s="147">
        <v>148</v>
      </c>
      <c r="M155" s="148">
        <v>9300</v>
      </c>
      <c r="N155" s="146" t="s">
        <v>558</v>
      </c>
    </row>
    <row r="156" spans="12:14" x14ac:dyDescent="0.25">
      <c r="L156" s="147">
        <v>149</v>
      </c>
      <c r="M156" s="148">
        <v>9350</v>
      </c>
      <c r="N156" s="146" t="s">
        <v>558</v>
      </c>
    </row>
    <row r="157" spans="12:14" x14ac:dyDescent="0.25">
      <c r="L157" s="147">
        <v>150</v>
      </c>
      <c r="M157" s="148">
        <v>9400</v>
      </c>
      <c r="N157" s="146" t="s">
        <v>558</v>
      </c>
    </row>
    <row r="158" spans="12:14" x14ac:dyDescent="0.25">
      <c r="L158" s="147">
        <v>151</v>
      </c>
      <c r="M158" s="148">
        <v>9450</v>
      </c>
      <c r="N158" s="146" t="s">
        <v>558</v>
      </c>
    </row>
    <row r="159" spans="12:14" x14ac:dyDescent="0.25">
      <c r="L159" s="147">
        <v>152</v>
      </c>
      <c r="M159" s="148">
        <v>9500</v>
      </c>
      <c r="N159" s="146" t="s">
        <v>558</v>
      </c>
    </row>
    <row r="160" spans="12:14" x14ac:dyDescent="0.25">
      <c r="L160" s="147">
        <v>153</v>
      </c>
      <c r="M160" s="148">
        <v>9550</v>
      </c>
      <c r="N160" s="146" t="s">
        <v>558</v>
      </c>
    </row>
    <row r="161" spans="12:14" x14ac:dyDescent="0.25">
      <c r="L161" s="147">
        <v>154</v>
      </c>
      <c r="M161" s="148">
        <v>9600</v>
      </c>
      <c r="N161" s="146" t="s">
        <v>558</v>
      </c>
    </row>
    <row r="162" spans="12:14" x14ac:dyDescent="0.25">
      <c r="L162" s="147">
        <v>155</v>
      </c>
      <c r="M162" s="148">
        <v>9650</v>
      </c>
      <c r="N162" s="146" t="s">
        <v>558</v>
      </c>
    </row>
    <row r="163" spans="12:14" x14ac:dyDescent="0.25">
      <c r="L163" s="147">
        <v>156</v>
      </c>
      <c r="M163" s="148">
        <v>9700</v>
      </c>
      <c r="N163" s="146" t="s">
        <v>558</v>
      </c>
    </row>
    <row r="164" spans="12:14" x14ac:dyDescent="0.25">
      <c r="L164" s="147">
        <v>157</v>
      </c>
      <c r="M164" s="148">
        <v>9750</v>
      </c>
      <c r="N164" s="146" t="s">
        <v>558</v>
      </c>
    </row>
    <row r="165" spans="12:14" x14ac:dyDescent="0.25">
      <c r="L165" s="147">
        <v>158</v>
      </c>
      <c r="M165" s="148">
        <v>9800</v>
      </c>
      <c r="N165" s="146" t="s">
        <v>558</v>
      </c>
    </row>
    <row r="166" spans="12:14" x14ac:dyDescent="0.25">
      <c r="L166" s="147">
        <v>159</v>
      </c>
      <c r="M166" s="148">
        <v>9850</v>
      </c>
      <c r="N166" s="146" t="s">
        <v>558</v>
      </c>
    </row>
    <row r="167" spans="12:14" x14ac:dyDescent="0.25">
      <c r="L167" s="147">
        <v>160</v>
      </c>
      <c r="M167" s="148">
        <v>9900</v>
      </c>
      <c r="N167" s="146" t="s">
        <v>558</v>
      </c>
    </row>
    <row r="168" spans="12:14" x14ac:dyDescent="0.25">
      <c r="L168" s="147">
        <v>161</v>
      </c>
      <c r="M168" s="148">
        <v>9950</v>
      </c>
      <c r="N168" s="146" t="s">
        <v>558</v>
      </c>
    </row>
    <row r="169" spans="12:14" x14ac:dyDescent="0.25">
      <c r="L169" s="147">
        <v>162</v>
      </c>
      <c r="M169" s="148">
        <v>10000</v>
      </c>
      <c r="N169" s="146" t="s">
        <v>558</v>
      </c>
    </row>
    <row r="170" spans="12:14" x14ac:dyDescent="0.25">
      <c r="L170" s="147">
        <v>163</v>
      </c>
      <c r="M170" s="148">
        <v>10050</v>
      </c>
      <c r="N170" s="146" t="s">
        <v>558</v>
      </c>
    </row>
    <row r="171" spans="12:14" x14ac:dyDescent="0.25">
      <c r="L171" s="147">
        <v>164</v>
      </c>
      <c r="M171" s="148">
        <v>10100</v>
      </c>
      <c r="N171" s="146" t="s">
        <v>558</v>
      </c>
    </row>
    <row r="172" spans="12:14" x14ac:dyDescent="0.25">
      <c r="L172" s="147">
        <v>165</v>
      </c>
      <c r="M172" s="148">
        <v>10150</v>
      </c>
      <c r="N172" s="146" t="s">
        <v>558</v>
      </c>
    </row>
    <row r="173" spans="12:14" x14ac:dyDescent="0.25">
      <c r="L173" s="147">
        <v>166</v>
      </c>
      <c r="M173" s="148">
        <v>10200</v>
      </c>
      <c r="N173" s="146" t="s">
        <v>558</v>
      </c>
    </row>
    <row r="174" spans="12:14" x14ac:dyDescent="0.25">
      <c r="L174" s="147">
        <v>167</v>
      </c>
      <c r="M174" s="148">
        <v>10250</v>
      </c>
      <c r="N174" s="146" t="s">
        <v>558</v>
      </c>
    </row>
    <row r="175" spans="12:14" x14ac:dyDescent="0.25">
      <c r="L175" s="147">
        <v>168</v>
      </c>
      <c r="M175" s="148">
        <v>10300</v>
      </c>
      <c r="N175" s="146" t="s">
        <v>558</v>
      </c>
    </row>
    <row r="176" spans="12:14" x14ac:dyDescent="0.25">
      <c r="L176" s="147">
        <v>169</v>
      </c>
      <c r="M176" s="148">
        <v>10350</v>
      </c>
      <c r="N176" s="146" t="s">
        <v>558</v>
      </c>
    </row>
    <row r="177" spans="12:14" x14ac:dyDescent="0.25">
      <c r="L177" s="147">
        <v>170</v>
      </c>
      <c r="M177" s="148">
        <v>10400</v>
      </c>
      <c r="N177" s="146" t="s">
        <v>558</v>
      </c>
    </row>
    <row r="178" spans="12:14" x14ac:dyDescent="0.25">
      <c r="L178" s="147">
        <v>171</v>
      </c>
      <c r="M178" s="148">
        <v>10450</v>
      </c>
      <c r="N178" s="146" t="s">
        <v>558</v>
      </c>
    </row>
    <row r="179" spans="12:14" x14ac:dyDescent="0.25">
      <c r="L179" s="147">
        <v>172</v>
      </c>
      <c r="M179" s="148">
        <v>10500</v>
      </c>
      <c r="N179" s="146" t="s">
        <v>558</v>
      </c>
    </row>
    <row r="180" spans="12:14" x14ac:dyDescent="0.25">
      <c r="L180" s="147">
        <v>173</v>
      </c>
      <c r="M180" s="148">
        <v>10550</v>
      </c>
      <c r="N180" s="146" t="s">
        <v>558</v>
      </c>
    </row>
    <row r="181" spans="12:14" x14ac:dyDescent="0.25">
      <c r="L181" s="147">
        <v>174</v>
      </c>
      <c r="M181" s="148">
        <v>10600</v>
      </c>
      <c r="N181" s="146" t="s">
        <v>558</v>
      </c>
    </row>
    <row r="182" spans="12:14" x14ac:dyDescent="0.25">
      <c r="L182" s="147">
        <v>175</v>
      </c>
      <c r="M182" s="148">
        <v>10650</v>
      </c>
      <c r="N182" s="146" t="s">
        <v>558</v>
      </c>
    </row>
    <row r="183" spans="12:14" x14ac:dyDescent="0.25">
      <c r="L183" s="147">
        <v>176</v>
      </c>
      <c r="M183" s="148">
        <v>10700</v>
      </c>
      <c r="N183" s="146" t="s">
        <v>558</v>
      </c>
    </row>
    <row r="184" spans="12:14" x14ac:dyDescent="0.25">
      <c r="L184" s="147">
        <v>177</v>
      </c>
      <c r="M184" s="148">
        <v>10750</v>
      </c>
      <c r="N184" s="146" t="s">
        <v>558</v>
      </c>
    </row>
    <row r="185" spans="12:14" x14ac:dyDescent="0.25">
      <c r="L185" s="147">
        <v>178</v>
      </c>
      <c r="M185" s="148">
        <v>10800</v>
      </c>
      <c r="N185" s="146" t="s">
        <v>558</v>
      </c>
    </row>
    <row r="186" spans="12:14" x14ac:dyDescent="0.25">
      <c r="L186" s="147">
        <v>179</v>
      </c>
      <c r="M186" s="148">
        <v>10850</v>
      </c>
      <c r="N186" s="146" t="s">
        <v>558</v>
      </c>
    </row>
    <row r="187" spans="12:14" x14ac:dyDescent="0.25">
      <c r="L187" s="147">
        <v>180</v>
      </c>
      <c r="M187" s="148">
        <v>10900</v>
      </c>
      <c r="N187" s="146" t="s">
        <v>558</v>
      </c>
    </row>
    <row r="188" spans="12:14" x14ac:dyDescent="0.25">
      <c r="L188" s="147">
        <v>181</v>
      </c>
      <c r="M188" s="148">
        <v>10950</v>
      </c>
      <c r="N188" s="146" t="s">
        <v>558</v>
      </c>
    </row>
    <row r="189" spans="12:14" x14ac:dyDescent="0.25">
      <c r="L189" s="147">
        <v>182</v>
      </c>
      <c r="M189" s="148">
        <v>11000</v>
      </c>
      <c r="N189" s="146" t="s">
        <v>558</v>
      </c>
    </row>
    <row r="190" spans="12:14" x14ac:dyDescent="0.25">
      <c r="L190" s="147">
        <v>183</v>
      </c>
      <c r="M190" s="148">
        <v>11050</v>
      </c>
      <c r="N190" s="146" t="s">
        <v>558</v>
      </c>
    </row>
    <row r="191" spans="12:14" x14ac:dyDescent="0.25">
      <c r="L191" s="147">
        <v>184</v>
      </c>
      <c r="M191" s="148">
        <v>11100</v>
      </c>
      <c r="N191" s="146" t="s">
        <v>558</v>
      </c>
    </row>
    <row r="192" spans="12:14" x14ac:dyDescent="0.25">
      <c r="L192" s="147">
        <v>185</v>
      </c>
      <c r="M192" s="148">
        <v>11150</v>
      </c>
      <c r="N192" s="146" t="s">
        <v>558</v>
      </c>
    </row>
    <row r="193" spans="12:14" x14ac:dyDescent="0.25">
      <c r="L193" s="147">
        <v>186</v>
      </c>
      <c r="M193" s="148">
        <v>11200</v>
      </c>
      <c r="N193" s="146" t="s">
        <v>558</v>
      </c>
    </row>
    <row r="194" spans="12:14" x14ac:dyDescent="0.25">
      <c r="L194" s="147">
        <v>187</v>
      </c>
      <c r="M194" s="148">
        <v>11250</v>
      </c>
      <c r="N194" s="146" t="s">
        <v>558</v>
      </c>
    </row>
    <row r="195" spans="12:14" x14ac:dyDescent="0.25">
      <c r="L195" s="147">
        <v>188</v>
      </c>
      <c r="M195" s="148">
        <v>11300</v>
      </c>
      <c r="N195" s="146" t="s">
        <v>558</v>
      </c>
    </row>
    <row r="196" spans="12:14" x14ac:dyDescent="0.25">
      <c r="L196" s="147">
        <v>189</v>
      </c>
      <c r="M196" s="148">
        <v>11350</v>
      </c>
      <c r="N196" s="146" t="s">
        <v>558</v>
      </c>
    </row>
    <row r="197" spans="12:14" x14ac:dyDescent="0.25">
      <c r="L197" s="147">
        <v>190</v>
      </c>
      <c r="M197" s="148">
        <v>11400</v>
      </c>
      <c r="N197" s="146" t="s">
        <v>558</v>
      </c>
    </row>
    <row r="198" spans="12:14" x14ac:dyDescent="0.25">
      <c r="L198" s="147">
        <v>191</v>
      </c>
      <c r="M198" s="148">
        <v>11450</v>
      </c>
      <c r="N198" s="146" t="s">
        <v>558</v>
      </c>
    </row>
    <row r="199" spans="12:14" x14ac:dyDescent="0.25">
      <c r="L199" s="147">
        <v>192</v>
      </c>
      <c r="M199" s="148">
        <v>11500</v>
      </c>
      <c r="N199" s="146" t="s">
        <v>558</v>
      </c>
    </row>
    <row r="200" spans="12:14" x14ac:dyDescent="0.25">
      <c r="L200" s="147">
        <v>193</v>
      </c>
      <c r="M200" s="148">
        <v>11550</v>
      </c>
      <c r="N200" s="146" t="s">
        <v>558</v>
      </c>
    </row>
    <row r="201" spans="12:14" x14ac:dyDescent="0.25">
      <c r="L201" s="147">
        <v>194</v>
      </c>
      <c r="M201" s="148">
        <v>11600</v>
      </c>
      <c r="N201" s="146" t="s">
        <v>558</v>
      </c>
    </row>
    <row r="202" spans="12:14" x14ac:dyDescent="0.25">
      <c r="L202" s="147">
        <v>195</v>
      </c>
      <c r="M202" s="148">
        <v>11650</v>
      </c>
      <c r="N202" s="146" t="s">
        <v>558</v>
      </c>
    </row>
    <row r="203" spans="12:14" x14ac:dyDescent="0.25">
      <c r="L203" s="147">
        <v>196</v>
      </c>
      <c r="M203" s="148">
        <v>11700</v>
      </c>
      <c r="N203" s="146" t="s">
        <v>558</v>
      </c>
    </row>
    <row r="204" spans="12:14" x14ac:dyDescent="0.25">
      <c r="L204" s="147">
        <v>197</v>
      </c>
      <c r="M204" s="148">
        <v>11750</v>
      </c>
      <c r="N204" s="146" t="s">
        <v>558</v>
      </c>
    </row>
    <row r="205" spans="12:14" x14ac:dyDescent="0.25">
      <c r="L205" s="147">
        <v>198</v>
      </c>
      <c r="M205" s="148">
        <v>11800</v>
      </c>
      <c r="N205" s="146" t="s">
        <v>558</v>
      </c>
    </row>
    <row r="206" spans="12:14" x14ac:dyDescent="0.25">
      <c r="L206" s="147">
        <v>199</v>
      </c>
      <c r="M206" s="148">
        <v>11850</v>
      </c>
      <c r="N206" s="146" t="s">
        <v>558</v>
      </c>
    </row>
    <row r="207" spans="12:14" x14ac:dyDescent="0.25">
      <c r="L207" s="147">
        <v>200</v>
      </c>
      <c r="M207" s="148">
        <v>11900</v>
      </c>
      <c r="N207" s="146" t="s">
        <v>558</v>
      </c>
    </row>
    <row r="208" spans="12:14" x14ac:dyDescent="0.25">
      <c r="L208" s="147">
        <v>201</v>
      </c>
      <c r="M208" s="148">
        <v>11950</v>
      </c>
      <c r="N208" s="146" t="s">
        <v>558</v>
      </c>
    </row>
    <row r="209" spans="12:14" x14ac:dyDescent="0.25">
      <c r="L209" s="147">
        <v>202</v>
      </c>
      <c r="M209" s="148">
        <v>12000</v>
      </c>
      <c r="N209" s="146" t="s">
        <v>558</v>
      </c>
    </row>
    <row r="210" spans="12:14" x14ac:dyDescent="0.25">
      <c r="L210" s="147">
        <v>203</v>
      </c>
      <c r="M210" s="148">
        <v>12050</v>
      </c>
      <c r="N210" s="146" t="s">
        <v>558</v>
      </c>
    </row>
    <row r="211" spans="12:14" x14ac:dyDescent="0.25">
      <c r="L211" s="147">
        <v>204</v>
      </c>
      <c r="M211" s="148">
        <v>12100</v>
      </c>
      <c r="N211" s="146" t="s">
        <v>558</v>
      </c>
    </row>
    <row r="212" spans="12:14" x14ac:dyDescent="0.25">
      <c r="L212" s="147">
        <v>205</v>
      </c>
      <c r="M212" s="148">
        <v>12150</v>
      </c>
      <c r="N212" s="146" t="s">
        <v>558</v>
      </c>
    </row>
    <row r="213" spans="12:14" x14ac:dyDescent="0.25">
      <c r="L213" s="147">
        <v>206</v>
      </c>
      <c r="M213" s="148">
        <v>12200</v>
      </c>
      <c r="N213" s="146" t="s">
        <v>558</v>
      </c>
    </row>
    <row r="214" spans="12:14" x14ac:dyDescent="0.25">
      <c r="L214" s="147">
        <v>207</v>
      </c>
      <c r="M214" s="148">
        <v>12250</v>
      </c>
      <c r="N214" s="146" t="s">
        <v>558</v>
      </c>
    </row>
    <row r="215" spans="12:14" x14ac:dyDescent="0.25">
      <c r="L215" s="147">
        <v>208</v>
      </c>
      <c r="M215" s="148">
        <v>12300</v>
      </c>
      <c r="N215" s="146" t="s">
        <v>558</v>
      </c>
    </row>
    <row r="216" spans="12:14" x14ac:dyDescent="0.25">
      <c r="L216" s="147">
        <v>209</v>
      </c>
      <c r="M216" s="148">
        <v>12350</v>
      </c>
      <c r="N216" s="146" t="s">
        <v>558</v>
      </c>
    </row>
    <row r="217" spans="12:14" x14ac:dyDescent="0.25">
      <c r="L217" s="147">
        <v>210</v>
      </c>
      <c r="M217" s="148">
        <v>12400</v>
      </c>
      <c r="N217" s="146" t="s">
        <v>558</v>
      </c>
    </row>
    <row r="218" spans="12:14" x14ac:dyDescent="0.25">
      <c r="L218" s="147">
        <v>211</v>
      </c>
      <c r="M218" s="148">
        <v>12450</v>
      </c>
      <c r="N218" s="146" t="s">
        <v>558</v>
      </c>
    </row>
    <row r="219" spans="12:14" x14ac:dyDescent="0.25">
      <c r="L219" s="147">
        <v>212</v>
      </c>
      <c r="M219" s="148">
        <v>12500</v>
      </c>
      <c r="N219" s="146" t="s">
        <v>558</v>
      </c>
    </row>
    <row r="220" spans="12:14" x14ac:dyDescent="0.25">
      <c r="L220" s="147">
        <v>213</v>
      </c>
      <c r="M220" s="148">
        <v>12550</v>
      </c>
      <c r="N220" s="146" t="s">
        <v>558</v>
      </c>
    </row>
    <row r="221" spans="12:14" x14ac:dyDescent="0.25">
      <c r="L221" s="147">
        <v>214</v>
      </c>
      <c r="M221" s="148">
        <v>12600</v>
      </c>
      <c r="N221" s="146" t="s">
        <v>558</v>
      </c>
    </row>
    <row r="222" spans="12:14" x14ac:dyDescent="0.25">
      <c r="L222" s="147">
        <v>215</v>
      </c>
      <c r="M222" s="148">
        <v>12650</v>
      </c>
      <c r="N222" s="146" t="s">
        <v>558</v>
      </c>
    </row>
    <row r="223" spans="12:14" x14ac:dyDescent="0.25">
      <c r="L223" s="147">
        <v>216</v>
      </c>
      <c r="M223" s="148">
        <v>12700</v>
      </c>
      <c r="N223" s="146" t="s">
        <v>558</v>
      </c>
    </row>
    <row r="224" spans="12:14" x14ac:dyDescent="0.25">
      <c r="L224" s="147">
        <v>217</v>
      </c>
      <c r="M224" s="148">
        <v>12750</v>
      </c>
      <c r="N224" s="146" t="s">
        <v>558</v>
      </c>
    </row>
    <row r="225" spans="12:14" x14ac:dyDescent="0.25">
      <c r="L225" s="147">
        <v>218</v>
      </c>
      <c r="M225" s="148">
        <v>12800</v>
      </c>
      <c r="N225" s="146" t="s">
        <v>558</v>
      </c>
    </row>
    <row r="226" spans="12:14" x14ac:dyDescent="0.25">
      <c r="L226" s="147">
        <v>219</v>
      </c>
      <c r="M226" s="148">
        <v>12850</v>
      </c>
      <c r="N226" s="146" t="s">
        <v>558</v>
      </c>
    </row>
    <row r="227" spans="12:14" x14ac:dyDescent="0.25">
      <c r="L227" s="147">
        <v>220</v>
      </c>
      <c r="M227" s="148">
        <v>12900</v>
      </c>
      <c r="N227" s="146" t="s">
        <v>558</v>
      </c>
    </row>
    <row r="228" spans="12:14" x14ac:dyDescent="0.25">
      <c r="L228" s="147">
        <v>221</v>
      </c>
      <c r="M228" s="148">
        <v>12950</v>
      </c>
      <c r="N228" s="146" t="s">
        <v>558</v>
      </c>
    </row>
    <row r="229" spans="12:14" x14ac:dyDescent="0.25">
      <c r="L229" s="147">
        <v>222</v>
      </c>
      <c r="M229" s="148">
        <v>13000</v>
      </c>
      <c r="N229" s="146" t="s">
        <v>558</v>
      </c>
    </row>
    <row r="230" spans="12:14" x14ac:dyDescent="0.25">
      <c r="L230" s="147">
        <v>223</v>
      </c>
      <c r="M230" s="148">
        <v>13050</v>
      </c>
      <c r="N230" s="146" t="s">
        <v>558</v>
      </c>
    </row>
    <row r="231" spans="12:14" x14ac:dyDescent="0.25">
      <c r="L231" s="147">
        <v>224</v>
      </c>
      <c r="M231" s="148">
        <v>13100</v>
      </c>
      <c r="N231" s="146" t="s">
        <v>558</v>
      </c>
    </row>
    <row r="232" spans="12:14" x14ac:dyDescent="0.25">
      <c r="L232" s="147">
        <v>225</v>
      </c>
      <c r="M232" s="148">
        <v>13150</v>
      </c>
      <c r="N232" s="146" t="s">
        <v>558</v>
      </c>
    </row>
    <row r="233" spans="12:14" x14ac:dyDescent="0.25">
      <c r="L233" s="147">
        <v>226</v>
      </c>
      <c r="M233" s="148">
        <v>13200</v>
      </c>
      <c r="N233" s="146" t="s">
        <v>558</v>
      </c>
    </row>
    <row r="234" spans="12:14" x14ac:dyDescent="0.25">
      <c r="L234" s="147">
        <v>227</v>
      </c>
      <c r="M234" s="148">
        <v>13250</v>
      </c>
      <c r="N234" s="146" t="s">
        <v>558</v>
      </c>
    </row>
    <row r="235" spans="12:14" x14ac:dyDescent="0.25">
      <c r="L235" s="147">
        <v>228</v>
      </c>
      <c r="M235" s="148">
        <v>13300</v>
      </c>
      <c r="N235" s="146" t="s">
        <v>558</v>
      </c>
    </row>
    <row r="236" spans="12:14" x14ac:dyDescent="0.25">
      <c r="L236" s="147">
        <v>229</v>
      </c>
      <c r="M236" s="148">
        <v>13350</v>
      </c>
      <c r="N236" s="146" t="s">
        <v>558</v>
      </c>
    </row>
    <row r="237" spans="12:14" x14ac:dyDescent="0.25">
      <c r="L237" s="147">
        <v>230</v>
      </c>
      <c r="M237" s="148">
        <v>13400</v>
      </c>
      <c r="N237" s="146" t="s">
        <v>558</v>
      </c>
    </row>
    <row r="238" spans="12:14" x14ac:dyDescent="0.25">
      <c r="L238" s="147">
        <v>231</v>
      </c>
      <c r="M238" s="148">
        <v>13450</v>
      </c>
      <c r="N238" s="146" t="s">
        <v>558</v>
      </c>
    </row>
    <row r="239" spans="12:14" x14ac:dyDescent="0.25">
      <c r="L239" s="147">
        <v>232</v>
      </c>
      <c r="M239" s="148">
        <v>13500</v>
      </c>
      <c r="N239" s="146" t="s">
        <v>558</v>
      </c>
    </row>
    <row r="240" spans="12:14" x14ac:dyDescent="0.25">
      <c r="L240" s="147">
        <v>233</v>
      </c>
      <c r="M240" s="148">
        <v>13550</v>
      </c>
      <c r="N240" s="146" t="s">
        <v>558</v>
      </c>
    </row>
    <row r="241" spans="12:14" x14ac:dyDescent="0.25">
      <c r="L241" s="147">
        <v>234</v>
      </c>
      <c r="M241" s="148">
        <v>13600</v>
      </c>
      <c r="N241" s="146" t="s">
        <v>558</v>
      </c>
    </row>
    <row r="242" spans="12:14" x14ac:dyDescent="0.25">
      <c r="L242" s="147">
        <v>235</v>
      </c>
      <c r="M242" s="148">
        <v>13650</v>
      </c>
      <c r="N242" s="146" t="s">
        <v>558</v>
      </c>
    </row>
    <row r="243" spans="12:14" x14ac:dyDescent="0.25">
      <c r="L243" s="147">
        <v>236</v>
      </c>
      <c r="M243" s="148">
        <v>13700</v>
      </c>
      <c r="N243" s="146" t="s">
        <v>558</v>
      </c>
    </row>
    <row r="244" spans="12:14" x14ac:dyDescent="0.25">
      <c r="L244" s="147">
        <v>237</v>
      </c>
      <c r="M244" s="148">
        <v>13750</v>
      </c>
      <c r="N244" s="146" t="s">
        <v>558</v>
      </c>
    </row>
    <row r="245" spans="12:14" x14ac:dyDescent="0.25">
      <c r="L245" s="147">
        <v>238</v>
      </c>
      <c r="M245" s="148">
        <v>13800</v>
      </c>
      <c r="N245" s="146" t="s">
        <v>558</v>
      </c>
    </row>
    <row r="246" spans="12:14" x14ac:dyDescent="0.25">
      <c r="L246" s="147">
        <v>239</v>
      </c>
      <c r="M246" s="148">
        <v>13850</v>
      </c>
      <c r="N246" s="146" t="s">
        <v>558</v>
      </c>
    </row>
    <row r="247" spans="12:14" x14ac:dyDescent="0.25">
      <c r="L247" s="147">
        <v>240</v>
      </c>
      <c r="M247" s="148">
        <v>13900</v>
      </c>
      <c r="N247" s="146" t="s">
        <v>558</v>
      </c>
    </row>
    <row r="248" spans="12:14" x14ac:dyDescent="0.25">
      <c r="L248" s="147">
        <v>241</v>
      </c>
      <c r="M248" s="148">
        <v>13950</v>
      </c>
      <c r="N248" s="146" t="s">
        <v>558</v>
      </c>
    </row>
    <row r="249" spans="12:14" x14ac:dyDescent="0.25">
      <c r="L249" s="147">
        <v>242</v>
      </c>
      <c r="M249" s="148">
        <v>14000</v>
      </c>
      <c r="N249" s="146" t="s">
        <v>558</v>
      </c>
    </row>
    <row r="250" spans="12:14" x14ac:dyDescent="0.25">
      <c r="L250" s="147">
        <v>243</v>
      </c>
      <c r="M250" s="148">
        <v>14050</v>
      </c>
      <c r="N250" s="146" t="s">
        <v>558</v>
      </c>
    </row>
    <row r="251" spans="12:14" x14ac:dyDescent="0.25">
      <c r="L251" s="147">
        <v>244</v>
      </c>
      <c r="M251" s="148">
        <v>14100</v>
      </c>
      <c r="N251" s="146" t="s">
        <v>558</v>
      </c>
    </row>
    <row r="252" spans="12:14" x14ac:dyDescent="0.25">
      <c r="L252" s="147">
        <v>245</v>
      </c>
      <c r="M252" s="148">
        <v>14150</v>
      </c>
      <c r="N252" s="146" t="s">
        <v>558</v>
      </c>
    </row>
    <row r="253" spans="12:14" x14ac:dyDescent="0.25">
      <c r="L253" s="147">
        <v>246</v>
      </c>
      <c r="M253" s="148">
        <v>14200</v>
      </c>
      <c r="N253" s="146" t="s">
        <v>558</v>
      </c>
    </row>
    <row r="254" spans="12:14" x14ac:dyDescent="0.25">
      <c r="L254" s="147">
        <v>247</v>
      </c>
      <c r="M254" s="148">
        <v>14250</v>
      </c>
      <c r="N254" s="146" t="s">
        <v>558</v>
      </c>
    </row>
    <row r="255" spans="12:14" x14ac:dyDescent="0.25">
      <c r="L255" s="147">
        <v>248</v>
      </c>
      <c r="M255" s="148">
        <v>14300</v>
      </c>
      <c r="N255" s="146" t="s">
        <v>558</v>
      </c>
    </row>
    <row r="256" spans="12:14" x14ac:dyDescent="0.25">
      <c r="L256" s="147">
        <v>249</v>
      </c>
      <c r="M256" s="148">
        <v>14350</v>
      </c>
      <c r="N256" s="146" t="s">
        <v>558</v>
      </c>
    </row>
    <row r="257" spans="12:14" x14ac:dyDescent="0.25">
      <c r="L257" s="147">
        <v>250</v>
      </c>
      <c r="M257" s="148">
        <v>14400</v>
      </c>
      <c r="N257" s="146" t="s">
        <v>558</v>
      </c>
    </row>
    <row r="258" spans="12:14" x14ac:dyDescent="0.25">
      <c r="L258" s="147">
        <v>251</v>
      </c>
      <c r="M258" s="148">
        <v>14450</v>
      </c>
      <c r="N258" s="146" t="s">
        <v>558</v>
      </c>
    </row>
    <row r="259" spans="12:14" x14ac:dyDescent="0.25">
      <c r="L259" s="147">
        <v>252</v>
      </c>
      <c r="M259" s="148">
        <v>14500</v>
      </c>
      <c r="N259" s="146" t="s">
        <v>558</v>
      </c>
    </row>
    <row r="260" spans="12:14" x14ac:dyDescent="0.25">
      <c r="L260" s="147">
        <v>253</v>
      </c>
      <c r="M260" s="148">
        <v>14550</v>
      </c>
      <c r="N260" s="146" t="s">
        <v>558</v>
      </c>
    </row>
    <row r="261" spans="12:14" x14ac:dyDescent="0.25">
      <c r="L261" s="147">
        <v>254</v>
      </c>
      <c r="M261" s="148">
        <v>14600</v>
      </c>
      <c r="N261" s="146" t="s">
        <v>558</v>
      </c>
    </row>
    <row r="262" spans="12:14" x14ac:dyDescent="0.25">
      <c r="L262" s="147">
        <v>255</v>
      </c>
      <c r="M262" s="148">
        <v>14650</v>
      </c>
      <c r="N262" s="146" t="s">
        <v>558</v>
      </c>
    </row>
    <row r="263" spans="12:14" x14ac:dyDescent="0.25">
      <c r="L263" s="147">
        <v>256</v>
      </c>
      <c r="M263" s="148">
        <v>14700</v>
      </c>
      <c r="N263" s="146" t="s">
        <v>558</v>
      </c>
    </row>
    <row r="264" spans="12:14" x14ac:dyDescent="0.25">
      <c r="L264" s="147">
        <v>257</v>
      </c>
      <c r="M264" s="148">
        <v>14750</v>
      </c>
      <c r="N264" s="146" t="s">
        <v>558</v>
      </c>
    </row>
    <row r="265" spans="12:14" x14ac:dyDescent="0.25">
      <c r="L265" s="147">
        <v>258</v>
      </c>
      <c r="M265" s="148">
        <v>14800</v>
      </c>
      <c r="N265" s="146" t="s">
        <v>558</v>
      </c>
    </row>
    <row r="266" spans="12:14" x14ac:dyDescent="0.25">
      <c r="L266" s="147">
        <v>259</v>
      </c>
      <c r="M266" s="148">
        <v>14850</v>
      </c>
      <c r="N266" s="146" t="s">
        <v>558</v>
      </c>
    </row>
    <row r="267" spans="12:14" x14ac:dyDescent="0.25">
      <c r="L267" s="147">
        <v>260</v>
      </c>
      <c r="M267" s="148">
        <v>14900</v>
      </c>
      <c r="N267" s="146" t="s">
        <v>558</v>
      </c>
    </row>
    <row r="268" spans="12:14" x14ac:dyDescent="0.25">
      <c r="L268" s="147">
        <v>261</v>
      </c>
      <c r="M268" s="148">
        <v>14950</v>
      </c>
      <c r="N268" s="146" t="s">
        <v>558</v>
      </c>
    </row>
    <row r="269" spans="12:14" x14ac:dyDescent="0.25">
      <c r="L269" s="147">
        <v>262</v>
      </c>
      <c r="M269" s="148">
        <v>15000</v>
      </c>
      <c r="N269" s="146" t="s">
        <v>558</v>
      </c>
    </row>
    <row r="270" spans="12:14" x14ac:dyDescent="0.25">
      <c r="L270" s="147">
        <v>263</v>
      </c>
      <c r="M270" s="148">
        <v>15050</v>
      </c>
      <c r="N270" s="146" t="s">
        <v>558</v>
      </c>
    </row>
    <row r="271" spans="12:14" x14ac:dyDescent="0.25">
      <c r="L271" s="147">
        <v>264</v>
      </c>
      <c r="M271" s="148">
        <v>15100</v>
      </c>
      <c r="N271" s="146" t="s">
        <v>558</v>
      </c>
    </row>
    <row r="272" spans="12:14" x14ac:dyDescent="0.25">
      <c r="L272" s="147">
        <v>265</v>
      </c>
      <c r="M272" s="148">
        <v>15150</v>
      </c>
      <c r="N272" s="146" t="s">
        <v>558</v>
      </c>
    </row>
    <row r="273" spans="12:14" x14ac:dyDescent="0.25">
      <c r="L273" s="147">
        <v>266</v>
      </c>
      <c r="M273" s="148">
        <v>15200</v>
      </c>
      <c r="N273" s="146" t="s">
        <v>558</v>
      </c>
    </row>
    <row r="274" spans="12:14" x14ac:dyDescent="0.25">
      <c r="L274" s="147">
        <v>267</v>
      </c>
      <c r="M274" s="148">
        <v>15250</v>
      </c>
      <c r="N274" s="146" t="s">
        <v>558</v>
      </c>
    </row>
    <row r="275" spans="12:14" x14ac:dyDescent="0.25">
      <c r="L275" s="147">
        <v>268</v>
      </c>
      <c r="M275" s="148">
        <v>15300</v>
      </c>
      <c r="N275" s="146" t="s">
        <v>558</v>
      </c>
    </row>
    <row r="276" spans="12:14" x14ac:dyDescent="0.25">
      <c r="L276" s="147">
        <v>269</v>
      </c>
      <c r="M276" s="148">
        <v>15350</v>
      </c>
      <c r="N276" s="146" t="s">
        <v>558</v>
      </c>
    </row>
    <row r="277" spans="12:14" x14ac:dyDescent="0.25">
      <c r="L277" s="147">
        <v>270</v>
      </c>
      <c r="M277" s="148">
        <v>15400</v>
      </c>
      <c r="N277" s="146" t="s">
        <v>558</v>
      </c>
    </row>
    <row r="278" spans="12:14" x14ac:dyDescent="0.25">
      <c r="L278" s="147">
        <v>271</v>
      </c>
      <c r="M278" s="148">
        <v>15450</v>
      </c>
      <c r="N278" s="146" t="s">
        <v>558</v>
      </c>
    </row>
    <row r="279" spans="12:14" x14ac:dyDescent="0.25">
      <c r="L279" s="147">
        <v>272</v>
      </c>
      <c r="M279" s="148">
        <v>15500</v>
      </c>
      <c r="N279" s="146" t="s">
        <v>558</v>
      </c>
    </row>
    <row r="280" spans="12:14" x14ac:dyDescent="0.25">
      <c r="L280" s="147">
        <v>273</v>
      </c>
      <c r="M280" s="148">
        <v>15550</v>
      </c>
      <c r="N280" s="146" t="s">
        <v>558</v>
      </c>
    </row>
    <row r="281" spans="12:14" x14ac:dyDescent="0.25">
      <c r="L281" s="147">
        <v>274</v>
      </c>
      <c r="M281" s="148">
        <v>15600</v>
      </c>
      <c r="N281" s="146" t="s">
        <v>558</v>
      </c>
    </row>
    <row r="282" spans="12:14" x14ac:dyDescent="0.25">
      <c r="L282" s="147">
        <v>275</v>
      </c>
      <c r="M282" s="148">
        <v>15650</v>
      </c>
      <c r="N282" s="146" t="s">
        <v>558</v>
      </c>
    </row>
    <row r="283" spans="12:14" x14ac:dyDescent="0.25">
      <c r="L283" s="147">
        <v>276</v>
      </c>
      <c r="M283" s="148">
        <v>15700</v>
      </c>
      <c r="N283" s="146" t="s">
        <v>558</v>
      </c>
    </row>
    <row r="284" spans="12:14" x14ac:dyDescent="0.25">
      <c r="L284" s="147">
        <v>277</v>
      </c>
      <c r="M284" s="148">
        <v>15750</v>
      </c>
      <c r="N284" s="146" t="s">
        <v>558</v>
      </c>
    </row>
    <row r="285" spans="12:14" x14ac:dyDescent="0.25">
      <c r="L285" s="147">
        <v>278</v>
      </c>
      <c r="M285" s="148">
        <v>15800</v>
      </c>
      <c r="N285" s="146" t="s">
        <v>558</v>
      </c>
    </row>
    <row r="286" spans="12:14" x14ac:dyDescent="0.25">
      <c r="L286" s="147">
        <v>279</v>
      </c>
      <c r="M286" s="148">
        <v>15850</v>
      </c>
      <c r="N286" s="146" t="s">
        <v>558</v>
      </c>
    </row>
    <row r="287" spans="12:14" x14ac:dyDescent="0.25">
      <c r="L287" s="147">
        <v>280</v>
      </c>
      <c r="M287" s="148">
        <v>15900</v>
      </c>
      <c r="N287" s="146" t="s">
        <v>558</v>
      </c>
    </row>
    <row r="288" spans="12:14" x14ac:dyDescent="0.25">
      <c r="L288" s="147">
        <v>281</v>
      </c>
      <c r="M288" s="148">
        <v>15950</v>
      </c>
      <c r="N288" s="146" t="s">
        <v>558</v>
      </c>
    </row>
    <row r="289" spans="12:14" x14ac:dyDescent="0.25">
      <c r="L289" s="147">
        <v>282</v>
      </c>
      <c r="M289" s="148">
        <v>16000</v>
      </c>
      <c r="N289" s="146" t="s">
        <v>558</v>
      </c>
    </row>
    <row r="290" spans="12:14" x14ac:dyDescent="0.25">
      <c r="L290" s="147">
        <v>283</v>
      </c>
      <c r="M290" s="148">
        <v>16050</v>
      </c>
      <c r="N290" s="146" t="s">
        <v>558</v>
      </c>
    </row>
    <row r="291" spans="12:14" x14ac:dyDescent="0.25">
      <c r="L291" s="147">
        <v>284</v>
      </c>
      <c r="M291" s="148">
        <v>16100</v>
      </c>
      <c r="N291" s="146" t="s">
        <v>558</v>
      </c>
    </row>
    <row r="292" spans="12:14" x14ac:dyDescent="0.25">
      <c r="L292" s="147">
        <v>285</v>
      </c>
      <c r="M292" s="148">
        <v>16150</v>
      </c>
      <c r="N292" s="146" t="s">
        <v>558</v>
      </c>
    </row>
    <row r="293" spans="12:14" x14ac:dyDescent="0.25">
      <c r="L293" s="147">
        <v>286</v>
      </c>
      <c r="M293" s="148">
        <v>16200</v>
      </c>
      <c r="N293" s="146" t="s">
        <v>558</v>
      </c>
    </row>
    <row r="294" spans="12:14" x14ac:dyDescent="0.25">
      <c r="L294" s="147">
        <v>287</v>
      </c>
      <c r="M294" s="148">
        <v>16250</v>
      </c>
      <c r="N294" s="146" t="s">
        <v>558</v>
      </c>
    </row>
    <row r="295" spans="12:14" x14ac:dyDescent="0.25">
      <c r="L295" s="147">
        <v>288</v>
      </c>
      <c r="M295" s="148">
        <v>16300</v>
      </c>
      <c r="N295" s="146" t="s">
        <v>558</v>
      </c>
    </row>
    <row r="296" spans="12:14" x14ac:dyDescent="0.25">
      <c r="L296" s="147">
        <v>289</v>
      </c>
      <c r="M296" s="148">
        <v>16350</v>
      </c>
      <c r="N296" s="146" t="s">
        <v>558</v>
      </c>
    </row>
    <row r="297" spans="12:14" x14ac:dyDescent="0.25">
      <c r="L297" s="147">
        <v>290</v>
      </c>
      <c r="M297" s="148">
        <v>16400</v>
      </c>
      <c r="N297" s="146" t="s">
        <v>558</v>
      </c>
    </row>
    <row r="298" spans="12:14" x14ac:dyDescent="0.25">
      <c r="L298" s="147">
        <v>291</v>
      </c>
      <c r="M298" s="148">
        <v>16450</v>
      </c>
      <c r="N298" s="146" t="s">
        <v>558</v>
      </c>
    </row>
    <row r="299" spans="12:14" x14ac:dyDescent="0.25">
      <c r="L299" s="147">
        <v>292</v>
      </c>
      <c r="M299" s="148">
        <v>16500</v>
      </c>
      <c r="N299" s="146" t="s">
        <v>558</v>
      </c>
    </row>
    <row r="300" spans="12:14" x14ac:dyDescent="0.25">
      <c r="L300" s="147">
        <v>293</v>
      </c>
      <c r="M300" s="148">
        <v>16550</v>
      </c>
      <c r="N300" s="146" t="s">
        <v>558</v>
      </c>
    </row>
    <row r="301" spans="12:14" x14ac:dyDescent="0.25">
      <c r="L301" s="147">
        <v>294</v>
      </c>
      <c r="M301" s="148">
        <v>16600</v>
      </c>
      <c r="N301" s="146" t="s">
        <v>558</v>
      </c>
    </row>
    <row r="302" spans="12:14" x14ac:dyDescent="0.25">
      <c r="L302" s="147">
        <v>295</v>
      </c>
      <c r="M302" s="148">
        <v>16650</v>
      </c>
      <c r="N302" s="146" t="s">
        <v>558</v>
      </c>
    </row>
    <row r="303" spans="12:14" x14ac:dyDescent="0.25">
      <c r="L303" s="147">
        <v>296</v>
      </c>
      <c r="M303" s="148">
        <v>16700</v>
      </c>
      <c r="N303" s="146" t="s">
        <v>558</v>
      </c>
    </row>
    <row r="304" spans="12:14" x14ac:dyDescent="0.25">
      <c r="L304" s="147">
        <v>297</v>
      </c>
      <c r="M304" s="148">
        <v>16750</v>
      </c>
      <c r="N304" s="146" t="s">
        <v>558</v>
      </c>
    </row>
    <row r="305" spans="12:14" x14ac:dyDescent="0.25">
      <c r="L305" s="147">
        <v>298</v>
      </c>
      <c r="M305" s="148">
        <v>16800</v>
      </c>
      <c r="N305" s="146" t="s">
        <v>558</v>
      </c>
    </row>
    <row r="306" spans="12:14" x14ac:dyDescent="0.25">
      <c r="L306" s="147">
        <v>299</v>
      </c>
      <c r="M306" s="148">
        <v>16850</v>
      </c>
      <c r="N306" s="146" t="s">
        <v>558</v>
      </c>
    </row>
    <row r="307" spans="12:14" x14ac:dyDescent="0.25">
      <c r="L307" s="147">
        <v>300</v>
      </c>
      <c r="M307" s="148">
        <v>16900</v>
      </c>
      <c r="N307" s="146" t="s">
        <v>558</v>
      </c>
    </row>
    <row r="308" spans="12:14" x14ac:dyDescent="0.25">
      <c r="L308" s="147">
        <v>301</v>
      </c>
      <c r="M308" s="148">
        <v>16950</v>
      </c>
      <c r="N308" s="146" t="s">
        <v>558</v>
      </c>
    </row>
    <row r="309" spans="12:14" x14ac:dyDescent="0.25">
      <c r="L309" s="147">
        <v>302</v>
      </c>
      <c r="M309" s="148">
        <v>17000</v>
      </c>
      <c r="N309" s="146" t="s">
        <v>558</v>
      </c>
    </row>
    <row r="310" spans="12:14" x14ac:dyDescent="0.25">
      <c r="L310" s="147">
        <v>303</v>
      </c>
      <c r="M310" s="148">
        <v>17050</v>
      </c>
      <c r="N310" s="146" t="s">
        <v>558</v>
      </c>
    </row>
    <row r="311" spans="12:14" x14ac:dyDescent="0.25">
      <c r="L311" s="147">
        <v>304</v>
      </c>
      <c r="M311" s="148">
        <v>17100</v>
      </c>
      <c r="N311" s="146" t="s">
        <v>558</v>
      </c>
    </row>
    <row r="312" spans="12:14" x14ac:dyDescent="0.25">
      <c r="L312" s="147">
        <v>305</v>
      </c>
      <c r="M312" s="148">
        <v>17150</v>
      </c>
      <c r="N312" s="146" t="s">
        <v>558</v>
      </c>
    </row>
    <row r="313" spans="12:14" x14ac:dyDescent="0.25">
      <c r="L313" s="147">
        <v>306</v>
      </c>
      <c r="M313" s="148">
        <v>17200</v>
      </c>
      <c r="N313" s="146" t="s">
        <v>558</v>
      </c>
    </row>
    <row r="314" spans="12:14" x14ac:dyDescent="0.25">
      <c r="L314" s="147">
        <v>307</v>
      </c>
      <c r="M314" s="148">
        <v>17250</v>
      </c>
      <c r="N314" s="146" t="s">
        <v>558</v>
      </c>
    </row>
    <row r="315" spans="12:14" x14ac:dyDescent="0.25">
      <c r="L315" s="147">
        <v>308</v>
      </c>
      <c r="M315" s="148">
        <v>17300</v>
      </c>
      <c r="N315" s="146" t="s">
        <v>558</v>
      </c>
    </row>
    <row r="316" spans="12:14" x14ac:dyDescent="0.25">
      <c r="L316" s="147">
        <v>309</v>
      </c>
      <c r="M316" s="148">
        <v>17350</v>
      </c>
      <c r="N316" s="146" t="s">
        <v>558</v>
      </c>
    </row>
    <row r="317" spans="12:14" x14ac:dyDescent="0.25">
      <c r="L317" s="147">
        <v>310</v>
      </c>
      <c r="M317" s="148">
        <v>17400</v>
      </c>
      <c r="N317" s="146" t="s">
        <v>558</v>
      </c>
    </row>
    <row r="318" spans="12:14" x14ac:dyDescent="0.25">
      <c r="L318" s="147">
        <v>311</v>
      </c>
      <c r="M318" s="148">
        <v>17450</v>
      </c>
      <c r="N318" s="146" t="s">
        <v>558</v>
      </c>
    </row>
    <row r="319" spans="12:14" x14ac:dyDescent="0.25">
      <c r="L319" s="147">
        <v>312</v>
      </c>
      <c r="M319" s="148">
        <v>17500</v>
      </c>
      <c r="N319" s="146" t="s">
        <v>558</v>
      </c>
    </row>
    <row r="320" spans="12:14" x14ac:dyDescent="0.25">
      <c r="L320" s="147">
        <v>313</v>
      </c>
      <c r="M320" s="148">
        <v>17550</v>
      </c>
      <c r="N320" s="146" t="s">
        <v>558</v>
      </c>
    </row>
    <row r="321" spans="12:14" x14ac:dyDescent="0.25">
      <c r="L321" s="147">
        <v>314</v>
      </c>
      <c r="M321" s="148">
        <v>17600</v>
      </c>
      <c r="N321" s="146" t="s">
        <v>558</v>
      </c>
    </row>
    <row r="322" spans="12:14" x14ac:dyDescent="0.25">
      <c r="L322" s="147">
        <v>315</v>
      </c>
      <c r="M322" s="148">
        <v>17650</v>
      </c>
      <c r="N322" s="146" t="s">
        <v>558</v>
      </c>
    </row>
    <row r="323" spans="12:14" x14ac:dyDescent="0.25">
      <c r="L323" s="147">
        <v>316</v>
      </c>
      <c r="M323" s="148">
        <v>17700</v>
      </c>
      <c r="N323" s="146" t="s">
        <v>558</v>
      </c>
    </row>
    <row r="324" spans="12:14" x14ac:dyDescent="0.25">
      <c r="L324" s="147">
        <v>317</v>
      </c>
      <c r="M324" s="148">
        <v>17750</v>
      </c>
      <c r="N324" s="146" t="s">
        <v>558</v>
      </c>
    </row>
    <row r="325" spans="12:14" x14ac:dyDescent="0.25">
      <c r="L325" s="147">
        <v>318</v>
      </c>
      <c r="M325" s="148">
        <v>17800</v>
      </c>
      <c r="N325" s="146" t="s">
        <v>558</v>
      </c>
    </row>
    <row r="326" spans="12:14" x14ac:dyDescent="0.25">
      <c r="L326" s="147">
        <v>319</v>
      </c>
      <c r="M326" s="148">
        <v>17850</v>
      </c>
      <c r="N326" s="146" t="s">
        <v>558</v>
      </c>
    </row>
    <row r="327" spans="12:14" x14ac:dyDescent="0.25">
      <c r="L327" s="147">
        <v>320</v>
      </c>
      <c r="M327" s="148">
        <v>17900</v>
      </c>
      <c r="N327" s="146" t="s">
        <v>558</v>
      </c>
    </row>
    <row r="328" spans="12:14" x14ac:dyDescent="0.25">
      <c r="L328" s="147">
        <v>321</v>
      </c>
      <c r="M328" s="148">
        <v>17950</v>
      </c>
      <c r="N328" s="146" t="s">
        <v>558</v>
      </c>
    </row>
    <row r="329" spans="12:14" x14ac:dyDescent="0.25">
      <c r="L329" s="147">
        <v>322</v>
      </c>
      <c r="M329" s="148">
        <v>18000</v>
      </c>
      <c r="N329" s="146" t="s">
        <v>558</v>
      </c>
    </row>
    <row r="330" spans="12:14" x14ac:dyDescent="0.25">
      <c r="L330" s="147">
        <v>323</v>
      </c>
      <c r="M330" s="148">
        <v>18050</v>
      </c>
      <c r="N330" s="146" t="s">
        <v>558</v>
      </c>
    </row>
    <row r="331" spans="12:14" x14ac:dyDescent="0.25">
      <c r="L331" s="147">
        <v>324</v>
      </c>
      <c r="M331" s="148">
        <v>18100</v>
      </c>
      <c r="N331" s="146" t="s">
        <v>558</v>
      </c>
    </row>
    <row r="332" spans="12:14" x14ac:dyDescent="0.25">
      <c r="L332" s="147">
        <v>325</v>
      </c>
      <c r="M332" s="148">
        <v>18150</v>
      </c>
      <c r="N332" s="146" t="s">
        <v>558</v>
      </c>
    </row>
    <row r="333" spans="12:14" x14ac:dyDescent="0.25">
      <c r="L333" s="147">
        <v>326</v>
      </c>
      <c r="M333" s="148">
        <v>18200</v>
      </c>
      <c r="N333" s="146" t="s">
        <v>558</v>
      </c>
    </row>
    <row r="334" spans="12:14" x14ac:dyDescent="0.25">
      <c r="L334" s="147">
        <v>327</v>
      </c>
      <c r="M334" s="148">
        <v>18250</v>
      </c>
      <c r="N334" s="146" t="s">
        <v>558</v>
      </c>
    </row>
    <row r="335" spans="12:14" x14ac:dyDescent="0.25">
      <c r="L335" s="147">
        <v>328</v>
      </c>
      <c r="M335" s="148">
        <v>18300</v>
      </c>
      <c r="N335" s="146" t="s">
        <v>558</v>
      </c>
    </row>
    <row r="336" spans="12:14" x14ac:dyDescent="0.25">
      <c r="L336" s="147">
        <v>329</v>
      </c>
      <c r="M336" s="148">
        <v>18350</v>
      </c>
      <c r="N336" s="146" t="s">
        <v>558</v>
      </c>
    </row>
    <row r="337" spans="12:14" x14ac:dyDescent="0.25">
      <c r="L337" s="147">
        <v>330</v>
      </c>
      <c r="M337" s="148">
        <v>18400</v>
      </c>
      <c r="N337" s="146" t="s">
        <v>558</v>
      </c>
    </row>
    <row r="338" spans="12:14" x14ac:dyDescent="0.25">
      <c r="L338" s="147">
        <v>331</v>
      </c>
      <c r="M338" s="148">
        <v>18450</v>
      </c>
      <c r="N338" s="146" t="s">
        <v>558</v>
      </c>
    </row>
    <row r="339" spans="12:14" x14ac:dyDescent="0.25">
      <c r="L339" s="147">
        <v>332</v>
      </c>
      <c r="M339" s="148">
        <v>18500</v>
      </c>
      <c r="N339" s="146" t="s">
        <v>558</v>
      </c>
    </row>
    <row r="340" spans="12:14" x14ac:dyDescent="0.25">
      <c r="L340" s="147">
        <v>333</v>
      </c>
      <c r="M340" s="148">
        <v>18550</v>
      </c>
      <c r="N340" s="146" t="s">
        <v>558</v>
      </c>
    </row>
    <row r="341" spans="12:14" x14ac:dyDescent="0.25">
      <c r="L341" s="147">
        <v>334</v>
      </c>
      <c r="M341" s="148">
        <v>18600</v>
      </c>
      <c r="N341" s="146" t="s">
        <v>558</v>
      </c>
    </row>
    <row r="342" spans="12:14" x14ac:dyDescent="0.25">
      <c r="L342" s="147">
        <v>335</v>
      </c>
      <c r="M342" s="148">
        <v>18650</v>
      </c>
      <c r="N342" s="146" t="s">
        <v>558</v>
      </c>
    </row>
    <row r="343" spans="12:14" x14ac:dyDescent="0.25">
      <c r="L343" s="147">
        <v>336</v>
      </c>
      <c r="M343" s="148">
        <v>18700</v>
      </c>
      <c r="N343" s="146" t="s">
        <v>558</v>
      </c>
    </row>
    <row r="344" spans="12:14" x14ac:dyDescent="0.25">
      <c r="L344" s="147">
        <v>337</v>
      </c>
      <c r="M344" s="148">
        <v>18750</v>
      </c>
      <c r="N344" s="146" t="s">
        <v>558</v>
      </c>
    </row>
    <row r="345" spans="12:14" x14ac:dyDescent="0.25">
      <c r="L345" s="147">
        <v>338</v>
      </c>
      <c r="M345" s="148">
        <v>18800</v>
      </c>
      <c r="N345" s="146" t="s">
        <v>558</v>
      </c>
    </row>
    <row r="346" spans="12:14" x14ac:dyDescent="0.25">
      <c r="L346" s="147">
        <v>339</v>
      </c>
      <c r="M346" s="148">
        <v>18850</v>
      </c>
      <c r="N346" s="146" t="s">
        <v>558</v>
      </c>
    </row>
    <row r="347" spans="12:14" x14ac:dyDescent="0.25">
      <c r="L347" s="147">
        <v>340</v>
      </c>
      <c r="M347" s="148">
        <v>18900</v>
      </c>
      <c r="N347" s="146" t="s">
        <v>558</v>
      </c>
    </row>
    <row r="348" spans="12:14" x14ac:dyDescent="0.25">
      <c r="L348" s="147">
        <v>341</v>
      </c>
      <c r="M348" s="148">
        <v>18950</v>
      </c>
      <c r="N348" s="146" t="s">
        <v>558</v>
      </c>
    </row>
    <row r="349" spans="12:14" x14ac:dyDescent="0.25">
      <c r="L349" s="147">
        <v>342</v>
      </c>
      <c r="M349" s="148">
        <v>19000</v>
      </c>
      <c r="N349" s="146" t="s">
        <v>558</v>
      </c>
    </row>
    <row r="350" spans="12:14" x14ac:dyDescent="0.25">
      <c r="L350" s="147">
        <v>343</v>
      </c>
      <c r="M350" s="148">
        <v>19050</v>
      </c>
      <c r="N350" s="146" t="s">
        <v>558</v>
      </c>
    </row>
    <row r="351" spans="12:14" x14ac:dyDescent="0.25">
      <c r="L351" s="147">
        <v>344</v>
      </c>
      <c r="M351" s="148">
        <v>19100</v>
      </c>
      <c r="N351" s="146" t="s">
        <v>558</v>
      </c>
    </row>
    <row r="352" spans="12:14" x14ac:dyDescent="0.25">
      <c r="L352" s="147">
        <v>345</v>
      </c>
      <c r="M352" s="148">
        <v>19150</v>
      </c>
      <c r="N352" s="146" t="s">
        <v>558</v>
      </c>
    </row>
    <row r="353" spans="12:14" x14ac:dyDescent="0.25">
      <c r="L353" s="147">
        <v>346</v>
      </c>
      <c r="M353" s="148">
        <v>19200</v>
      </c>
      <c r="N353" s="146" t="s">
        <v>558</v>
      </c>
    </row>
    <row r="354" spans="12:14" x14ac:dyDescent="0.25">
      <c r="L354" s="147">
        <v>347</v>
      </c>
      <c r="M354" s="148">
        <v>19250</v>
      </c>
      <c r="N354" s="146" t="s">
        <v>558</v>
      </c>
    </row>
    <row r="355" spans="12:14" x14ac:dyDescent="0.25">
      <c r="L355" s="147">
        <v>348</v>
      </c>
      <c r="M355" s="148">
        <v>19300</v>
      </c>
      <c r="N355" s="146" t="s">
        <v>558</v>
      </c>
    </row>
    <row r="356" spans="12:14" x14ac:dyDescent="0.25">
      <c r="L356" s="147">
        <v>349</v>
      </c>
      <c r="M356" s="148">
        <v>19350</v>
      </c>
      <c r="N356" s="146" t="s">
        <v>558</v>
      </c>
    </row>
    <row r="357" spans="12:14" x14ac:dyDescent="0.25">
      <c r="L357" s="147">
        <v>350</v>
      </c>
      <c r="M357" s="148">
        <v>19400</v>
      </c>
      <c r="N357" s="146" t="s">
        <v>558</v>
      </c>
    </row>
    <row r="358" spans="12:14" x14ac:dyDescent="0.25">
      <c r="L358" s="147">
        <v>351</v>
      </c>
      <c r="M358" s="148">
        <v>19450</v>
      </c>
      <c r="N358" s="146" t="s">
        <v>558</v>
      </c>
    </row>
    <row r="359" spans="12:14" x14ac:dyDescent="0.25">
      <c r="L359" s="147">
        <v>352</v>
      </c>
      <c r="M359" s="148">
        <v>19500</v>
      </c>
      <c r="N359" s="146" t="s">
        <v>558</v>
      </c>
    </row>
    <row r="360" spans="12:14" x14ac:dyDescent="0.25">
      <c r="L360" s="147">
        <v>353</v>
      </c>
      <c r="M360" s="148">
        <v>19550</v>
      </c>
      <c r="N360" s="146" t="s">
        <v>558</v>
      </c>
    </row>
    <row r="361" spans="12:14" x14ac:dyDescent="0.25">
      <c r="L361" s="147">
        <v>354</v>
      </c>
      <c r="M361" s="148">
        <v>19600</v>
      </c>
      <c r="N361" s="146" t="s">
        <v>558</v>
      </c>
    </row>
    <row r="362" spans="12:14" x14ac:dyDescent="0.25">
      <c r="L362" s="147">
        <v>355</v>
      </c>
      <c r="M362" s="148">
        <v>19650</v>
      </c>
      <c r="N362" s="146" t="s">
        <v>558</v>
      </c>
    </row>
    <row r="363" spans="12:14" x14ac:dyDescent="0.25">
      <c r="L363" s="147">
        <v>356</v>
      </c>
      <c r="M363" s="148">
        <v>19700</v>
      </c>
      <c r="N363" s="146" t="s">
        <v>558</v>
      </c>
    </row>
    <row r="364" spans="12:14" x14ac:dyDescent="0.25">
      <c r="L364" s="147">
        <v>357</v>
      </c>
      <c r="M364" s="148">
        <v>19750</v>
      </c>
      <c r="N364" s="146" t="s">
        <v>558</v>
      </c>
    </row>
    <row r="365" spans="12:14" x14ac:dyDescent="0.25">
      <c r="L365" s="147">
        <v>358</v>
      </c>
      <c r="M365" s="148">
        <v>19800</v>
      </c>
      <c r="N365" s="146" t="s">
        <v>558</v>
      </c>
    </row>
    <row r="366" spans="12:14" x14ac:dyDescent="0.25">
      <c r="L366" s="147">
        <v>359</v>
      </c>
      <c r="M366" s="148">
        <v>19850</v>
      </c>
      <c r="N366" s="146" t="s">
        <v>558</v>
      </c>
    </row>
    <row r="367" spans="12:14" x14ac:dyDescent="0.25">
      <c r="L367" s="147">
        <v>360</v>
      </c>
      <c r="M367" s="148">
        <v>19900</v>
      </c>
      <c r="N367" s="146" t="s">
        <v>558</v>
      </c>
    </row>
    <row r="368" spans="12:14" x14ac:dyDescent="0.25">
      <c r="L368" s="147">
        <v>361</v>
      </c>
      <c r="M368" s="148">
        <v>19950</v>
      </c>
      <c r="N368" s="146" t="s">
        <v>558</v>
      </c>
    </row>
    <row r="369" spans="12:14" x14ac:dyDescent="0.25">
      <c r="L369" s="147">
        <v>362</v>
      </c>
      <c r="M369" s="148">
        <v>20000</v>
      </c>
      <c r="N369" s="146" t="s">
        <v>558</v>
      </c>
    </row>
    <row r="370" spans="12:14" x14ac:dyDescent="0.25">
      <c r="L370" s="147">
        <v>363</v>
      </c>
      <c r="M370" s="148">
        <v>20050</v>
      </c>
      <c r="N370" s="146" t="s">
        <v>558</v>
      </c>
    </row>
    <row r="371" spans="12:14" x14ac:dyDescent="0.25">
      <c r="L371" s="147">
        <v>364</v>
      </c>
      <c r="M371" s="148">
        <v>20100</v>
      </c>
      <c r="N371" s="146" t="s">
        <v>558</v>
      </c>
    </row>
    <row r="372" spans="12:14" x14ac:dyDescent="0.25">
      <c r="L372" s="147">
        <v>365</v>
      </c>
      <c r="M372" s="148">
        <v>20150</v>
      </c>
      <c r="N372" s="146" t="s">
        <v>558</v>
      </c>
    </row>
  </sheetData>
  <sheetProtection password="E359" sheet="1" objects="1" scenarios="1" selectLockedCells="1"/>
  <mergeCells count="18">
    <mergeCell ref="P7:Q7"/>
    <mergeCell ref="S7:U7"/>
    <mergeCell ref="A5:G6"/>
    <mergeCell ref="I5:J6"/>
    <mergeCell ref="L5:N6"/>
    <mergeCell ref="P5:Q6"/>
    <mergeCell ref="S5:U6"/>
    <mergeCell ref="W5:AC5"/>
    <mergeCell ref="W6:AC6"/>
    <mergeCell ref="A1:AC1"/>
    <mergeCell ref="A4:G4"/>
    <mergeCell ref="I4:J4"/>
    <mergeCell ref="L4:N4"/>
    <mergeCell ref="P4:Q4"/>
    <mergeCell ref="S4:U4"/>
    <mergeCell ref="W4:AC4"/>
    <mergeCell ref="B3:H3"/>
    <mergeCell ref="B2:H2"/>
  </mergeCells>
  <hyperlinks>
    <hyperlink ref="B2" r:id="rId1"/>
    <hyperlink ref="B3" r:id="rId2"/>
  </hyperlinks>
  <pageMargins left="0.7" right="0.7" top="0.75" bottom="0.75" header="0.3" footer="0.3"/>
  <pageSetup paperSize="9" scale="10" orientation="landscape" r:id="rId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ct:contentTypeSchema xmlns:ct="http://schemas.microsoft.com/office/2006/metadata/contentType" xmlns:ma="http://schemas.microsoft.com/office/2006/metadata/properties/metaAttributes" ct:_="" ma:_="" ma:contentTypeName="Document" ma:contentTypeID="0x0101001D064EDA8D54A746B4AFB9B8DA9CF420" ma:contentTypeVersion="3" ma:contentTypeDescription="Create a new document." ma:contentTypeScope="" ma:versionID="c1d4cdee0e9381974a459762b30c79b1">
  <xsd:schema xmlns:xsd="http://www.w3.org/2001/XMLSchema" xmlns:xs="http://www.w3.org/2001/XMLSchema" xmlns:p="http://schemas.microsoft.com/office/2006/metadata/properties" targetNamespace="http://schemas.microsoft.com/office/2006/metadata/properties" ma:root="true" ma:fieldsID="9ae757f7b8b52896942f31a7e220db76">
    <xsd:element name="properties">
      <xsd:complexType>
        <xsd:sequence>
          <xsd:element name="documentManagement">
            <xsd:complexType>
              <xsd:all/>
            </xsd:complexType>
          </xsd:element>
        </xsd:sequence>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p:properties xmlns:p="http://schemas.microsoft.com/office/2006/metadata/properties" xmlns:xsi="http://www.w3.org/2001/XMLSchema-instance" xmlns:pc="http://schemas.microsoft.com/office/infopath/2007/PartnerControls">
  <documentManagement/>
</p:properties>
</file>

<file path=customXml/itemProps1.xml><?xml version="1.0" encoding="utf-8"?>
<ds:datastoreItem xmlns:ds="http://schemas.openxmlformats.org/officeDocument/2006/customXml" ds:itemID="{DD25AC76-73EC-4808-94BA-4863B589F5DA}">
  <ds:schemaRefs>
    <ds:schemaRef ds:uri="http://schemas.microsoft.com/sharepoint/v3/contenttype/forms"/>
  </ds:schemaRefs>
</ds:datastoreItem>
</file>

<file path=customXml/itemProps2.xml><?xml version="1.0" encoding="utf-8"?>
<ds:datastoreItem xmlns:ds="http://schemas.openxmlformats.org/officeDocument/2006/customXml" ds:itemID="{4B91489F-FE4A-47B2-96B3-2DD11B60A097}">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http://schemas.openxmlformats.org/package/2006/metadata/core-properties"/>
    <ds:schemaRef ds:uri="http://purl.org/dc/elements/1.1/"/>
    <ds:schemaRef ds:uri="http://purl.org/dc/terms/"/>
    <ds:schemaRef ds:uri="http://schemas.microsoft.com/internal/obd"/>
    <ds:schemaRef ds:uri="http://schemas.microsoft.com/office/infopath/2007/PartnerControls"/>
  </ds:schemaRefs>
</ds:datastoreItem>
</file>

<file path=customXml/itemProps3.xml><?xml version="1.0" encoding="utf-8"?>
<ds:datastoreItem xmlns:ds="http://schemas.openxmlformats.org/officeDocument/2006/customXml" ds:itemID="{B5FB2861-ECA0-4B0A-9CC6-B62988A7DC03}">
  <ds:schemaRefs>
    <ds:schemaRef ds:uri="http://schemas.microsoft.com/office/2006/documentManagement/types"/>
    <ds:schemaRef ds:uri="http://schemas.openxmlformats.org/package/2006/metadata/core-properties"/>
    <ds:schemaRef ds:uri="http://purl.org/dc/elements/1.1/"/>
    <ds:schemaRef ds:uri="http://purl.org/dc/dcmitype/"/>
    <ds:schemaRef ds:uri="http://schemas.microsoft.com/office/2006/metadata/properties"/>
    <ds:schemaRef ds:uri="http://www.w3.org/XML/1998/namespace"/>
    <ds:schemaRef ds:uri="http://purl.org/dc/terms/"/>
    <ds:schemaRef ds:uri="http://schemas.microsoft.com/office/infopath/2007/PartnerControl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Листы</vt:lpstr>
      </vt:variant>
      <vt:variant>
        <vt:i4>12</vt:i4>
      </vt:variant>
      <vt:variant>
        <vt:lpstr>Именованные диапазоны</vt:lpstr>
      </vt:variant>
      <vt:variant>
        <vt:i4>29</vt:i4>
      </vt:variant>
    </vt:vector>
  </HeadingPairs>
  <TitlesOfParts>
    <vt:vector size="41" baseType="lpstr">
      <vt:lpstr>Overview</vt:lpstr>
      <vt:lpstr>Translation</vt:lpstr>
      <vt:lpstr>1. Staff costs</vt:lpstr>
      <vt:lpstr>2-3. Travel Costs&amp;Costs of Stay</vt:lpstr>
      <vt:lpstr>4. Equipment Costs</vt:lpstr>
      <vt:lpstr>5. Subcontracting Costs</vt:lpstr>
      <vt:lpstr>B. Special Mob Strand - Student</vt:lpstr>
      <vt:lpstr>B. Special Mob Strand - Staff</vt:lpstr>
      <vt:lpstr>Co-financing</vt:lpstr>
      <vt:lpstr>Breakdown &amp; Project Funding</vt:lpstr>
      <vt:lpstr>Rates</vt:lpstr>
      <vt:lpstr>UNIT COSTS &amp; FUNDING RULES</vt:lpstr>
      <vt:lpstr>CostCat</vt:lpstr>
      <vt:lpstr>CostDays</vt:lpstr>
      <vt:lpstr>CostRates</vt:lpstr>
      <vt:lpstr>Staff</vt:lpstr>
      <vt:lpstr>Student</vt:lpstr>
      <vt:lpstr>'UNIT COSTS &amp; FUNDING RULES'!SubCat</vt:lpstr>
      <vt:lpstr>SubCat</vt:lpstr>
      <vt:lpstr>'UNIT COSTS &amp; FUNDING RULES'!SubCountry</vt:lpstr>
      <vt:lpstr>SubCountry</vt:lpstr>
      <vt:lpstr>'UNIT COSTS &amp; FUNDING RULES'!SubCountryEU</vt:lpstr>
      <vt:lpstr>SubCountryEU</vt:lpstr>
      <vt:lpstr>'UNIT COSTS &amp; FUNDING RULES'!SubRates</vt:lpstr>
      <vt:lpstr>SubRates</vt:lpstr>
      <vt:lpstr>'2-3. Travel Costs&amp;Costs of Stay'!Заголовки_для_печати</vt:lpstr>
      <vt:lpstr>'4. Equipment Costs'!Заголовки_для_печати</vt:lpstr>
      <vt:lpstr>'5. Subcontracting Costs'!Заголовки_для_печати</vt:lpstr>
      <vt:lpstr>'B. Special Mob Strand - Staff'!Заголовки_для_печати</vt:lpstr>
      <vt:lpstr>'B. Special Mob Strand - Student'!Заголовки_для_печати</vt:lpstr>
      <vt:lpstr>'Breakdown &amp; Project Funding'!Заголовки_для_печати</vt:lpstr>
      <vt:lpstr>'Co-financing'!Заголовки_для_печати</vt:lpstr>
      <vt:lpstr>'1. Staff costs'!Область_печати</vt:lpstr>
      <vt:lpstr>'2-3. Travel Costs&amp;Costs of Stay'!Область_печати</vt:lpstr>
      <vt:lpstr>'4. Equipment Costs'!Область_печати</vt:lpstr>
      <vt:lpstr>'5. Subcontracting Costs'!Область_печати</vt:lpstr>
      <vt:lpstr>'B. Special Mob Strand - Staff'!Область_печати</vt:lpstr>
      <vt:lpstr>'B. Special Mob Strand - Student'!Область_печати</vt:lpstr>
      <vt:lpstr>'Breakdown &amp; Project Funding'!Область_печати</vt:lpstr>
      <vt:lpstr>'Co-financing'!Область_печати</vt:lpstr>
      <vt:lpstr>Overview!Область_печати</vt:lpstr>
    </vt:vector>
  </TitlesOfParts>
  <Company>European Commission</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Alliaces detailed Budget v.1.0</dc:title>
  <dc:creator>CARBONI Damiano (EACEA)</dc:creator>
  <dc:description>Alliances detailed budget V.1.0</dc:description>
  <cp:lastModifiedBy>Salamander</cp:lastModifiedBy>
  <cp:lastPrinted>2014-11-03T09:11:16Z</cp:lastPrinted>
  <dcterms:created xsi:type="dcterms:W3CDTF">2013-09-27T15:40:24Z</dcterms:created>
  <dcterms:modified xsi:type="dcterms:W3CDTF">2015-02-10T04:10:44Z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0x0101001D064EDA8D54A746B4AFB9B8DA9CF420</vt:lpwstr>
  </property>
</Properties>
</file>